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n2613\Downloads\"/>
    </mc:Choice>
  </mc:AlternateContent>
  <xr:revisionPtr revIDLastSave="0" documentId="13_ncr:1_{C2073702-405C-4EA4-917C-8D73FAAE071B}" xr6:coauthVersionLast="47" xr6:coauthVersionMax="47" xr10:uidLastSave="{00000000-0000-0000-0000-000000000000}"/>
  <workbookProtection workbookAlgorithmName="SHA-512" workbookHashValue="w5qEtcy+7L/MgBz+42nhFo1aqZ7Uz8+fBxpAGuHwe7wZgW0RgMeTqVPrtYhXoEGeL08aPc00LhC5jrzPSACRiQ==" workbookSaltValue="B0dpjimf5o66ouurqloC4A==" workbookSpinCount="100000" lockStructure="1"/>
  <bookViews>
    <workbookView xWindow="28680" yWindow="-120" windowWidth="29040" windowHeight="15720" tabRatio="452" activeTab="2" xr2:uid="{00000000-000D-0000-FFFF-FFFF00000000}"/>
  </bookViews>
  <sheets>
    <sheet name="Scoring 2026" sheetId="1" r:id="rId1"/>
    <sheet name="Restaurant Dashboard" sheetId="2" r:id="rId2"/>
    <sheet name="Scorecard" sheetId="3" r:id="rId3"/>
    <sheet name="Restaurant Base (Hidden)" sheetId="4" state="hidden" r:id="rId4"/>
    <sheet name="Previous Scorecard" sheetId="5" state="hidden" r:id="rId5"/>
  </sheets>
  <definedNames>
    <definedName name="_xlnm._FilterDatabase" localSheetId="1" hidden="1">'Restaurant Dashboard'!$A$6:$AB$459</definedName>
    <definedName name="_xlnm.Print_Area" localSheetId="4">'Previous Scorecard'!$A$1:$H$44</definedName>
    <definedName name="_xlnm.Print_Area" localSheetId="2">Scorecard!$A$1:$J$55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5" l="1"/>
  <c r="F12" i="5"/>
  <c r="G11" i="5"/>
  <c r="F11" i="5"/>
  <c r="G10" i="5"/>
  <c r="F10" i="5"/>
  <c r="G9" i="5"/>
  <c r="F9" i="5"/>
  <c r="G8" i="5"/>
  <c r="F8" i="5"/>
  <c r="G7" i="5"/>
  <c r="F7" i="5"/>
  <c r="G6" i="5"/>
  <c r="F6" i="5"/>
  <c r="G5" i="5"/>
  <c r="F5" i="5"/>
  <c r="G2" i="5"/>
  <c r="C459" i="2"/>
  <c r="AA459" i="2" s="1"/>
  <c r="B459" i="2"/>
  <c r="A459" i="2"/>
  <c r="C458" i="2"/>
  <c r="V458" i="2" s="1"/>
  <c r="B458" i="2"/>
  <c r="A458" i="2"/>
  <c r="C457" i="2"/>
  <c r="G457" i="2" s="1"/>
  <c r="B457" i="2"/>
  <c r="A457" i="2"/>
  <c r="C456" i="2"/>
  <c r="F456" i="2" s="1"/>
  <c r="B456" i="2"/>
  <c r="A456" i="2"/>
  <c r="C455" i="2"/>
  <c r="AE455" i="2" s="1"/>
  <c r="B455" i="2"/>
  <c r="A455" i="2"/>
  <c r="C454" i="2"/>
  <c r="AE454" i="2" s="1"/>
  <c r="B454" i="2"/>
  <c r="A454" i="2"/>
  <c r="C453" i="2"/>
  <c r="R453" i="2" s="1"/>
  <c r="B453" i="2"/>
  <c r="A453" i="2"/>
  <c r="C452" i="2"/>
  <c r="AD452" i="2" s="1"/>
  <c r="B452" i="2"/>
  <c r="A452" i="2"/>
  <c r="C451" i="2"/>
  <c r="AE451" i="2" s="1"/>
  <c r="B451" i="2"/>
  <c r="A451" i="2"/>
  <c r="C450" i="2"/>
  <c r="B450" i="2"/>
  <c r="A450" i="2"/>
  <c r="C449" i="2"/>
  <c r="H449" i="2" s="1"/>
  <c r="B449" i="2"/>
  <c r="A449" i="2"/>
  <c r="C448" i="2"/>
  <c r="B448" i="2"/>
  <c r="A448" i="2"/>
  <c r="C447" i="2"/>
  <c r="B447" i="2"/>
  <c r="A447" i="2"/>
  <c r="C446" i="2"/>
  <c r="V446" i="2" s="1"/>
  <c r="B446" i="2"/>
  <c r="A446" i="2"/>
  <c r="C445" i="2"/>
  <c r="B445" i="2"/>
  <c r="A445" i="2"/>
  <c r="C444" i="2"/>
  <c r="B444" i="2"/>
  <c r="A444" i="2"/>
  <c r="C443" i="2"/>
  <c r="P443" i="2" s="1"/>
  <c r="B443" i="2"/>
  <c r="A443" i="2"/>
  <c r="C442" i="2"/>
  <c r="N442" i="2" s="1"/>
  <c r="B442" i="2"/>
  <c r="A442" i="2"/>
  <c r="C441" i="2"/>
  <c r="B441" i="2"/>
  <c r="A441" i="2"/>
  <c r="C440" i="2"/>
  <c r="V440" i="2" s="1"/>
  <c r="B440" i="2"/>
  <c r="A440" i="2"/>
  <c r="C439" i="2"/>
  <c r="H439" i="2" s="1"/>
  <c r="B439" i="2"/>
  <c r="A439" i="2"/>
  <c r="C438" i="2"/>
  <c r="B438" i="2"/>
  <c r="A438" i="2"/>
  <c r="C437" i="2"/>
  <c r="R437" i="2" s="1"/>
  <c r="B437" i="2"/>
  <c r="A437" i="2"/>
  <c r="C436" i="2"/>
  <c r="AE436" i="2" s="1"/>
  <c r="B436" i="2"/>
  <c r="A436" i="2"/>
  <c r="C435" i="2"/>
  <c r="Z435" i="2" s="1"/>
  <c r="B435" i="2"/>
  <c r="A435" i="2"/>
  <c r="C434" i="2"/>
  <c r="I434" i="2" s="1"/>
  <c r="B434" i="2"/>
  <c r="A434" i="2"/>
  <c r="C433" i="2"/>
  <c r="B433" i="2"/>
  <c r="A433" i="2"/>
  <c r="C432" i="2"/>
  <c r="B432" i="2"/>
  <c r="A432" i="2"/>
  <c r="C431" i="2"/>
  <c r="K431" i="2" s="1"/>
  <c r="B431" i="2"/>
  <c r="A431" i="2"/>
  <c r="C430" i="2"/>
  <c r="B430" i="2"/>
  <c r="A430" i="2"/>
  <c r="C429" i="2"/>
  <c r="B429" i="2"/>
  <c r="A429" i="2"/>
  <c r="C428" i="2"/>
  <c r="P428" i="2" s="1"/>
  <c r="B428" i="2"/>
  <c r="A428" i="2"/>
  <c r="C427" i="2"/>
  <c r="B427" i="2"/>
  <c r="A427" i="2"/>
  <c r="C426" i="2"/>
  <c r="T426" i="2" s="1"/>
  <c r="B426" i="2"/>
  <c r="A426" i="2"/>
  <c r="C425" i="2"/>
  <c r="AG425" i="2" s="1"/>
  <c r="B425" i="2"/>
  <c r="A425" i="2"/>
  <c r="C424" i="2"/>
  <c r="F424" i="2" s="1"/>
  <c r="B424" i="2"/>
  <c r="A424" i="2"/>
  <c r="C423" i="2"/>
  <c r="M423" i="2" s="1"/>
  <c r="B423" i="2"/>
  <c r="A423" i="2"/>
  <c r="C422" i="2"/>
  <c r="N422" i="2" s="1"/>
  <c r="B422" i="2"/>
  <c r="A422" i="2"/>
  <c r="C421" i="2"/>
  <c r="B421" i="2"/>
  <c r="A421" i="2"/>
  <c r="C420" i="2"/>
  <c r="V420" i="2" s="1"/>
  <c r="B420" i="2"/>
  <c r="A420" i="2"/>
  <c r="C419" i="2"/>
  <c r="B419" i="2"/>
  <c r="A419" i="2"/>
  <c r="C418" i="2"/>
  <c r="B418" i="2"/>
  <c r="A418" i="2"/>
  <c r="C417" i="2"/>
  <c r="U417" i="2" s="1"/>
  <c r="B417" i="2"/>
  <c r="A417" i="2"/>
  <c r="C416" i="2"/>
  <c r="T416" i="2" s="1"/>
  <c r="B416" i="2"/>
  <c r="A416" i="2"/>
  <c r="C415" i="2"/>
  <c r="U415" i="2" s="1"/>
  <c r="B415" i="2"/>
  <c r="A415" i="2"/>
  <c r="C414" i="2"/>
  <c r="E414" i="2" s="1"/>
  <c r="D414" i="2" s="1"/>
  <c r="B414" i="2"/>
  <c r="A414" i="2"/>
  <c r="C413" i="2"/>
  <c r="P413" i="2" s="1"/>
  <c r="B413" i="2"/>
  <c r="A413" i="2"/>
  <c r="C412" i="2"/>
  <c r="AB412" i="2" s="1"/>
  <c r="B412" i="2"/>
  <c r="A412" i="2"/>
  <c r="C411" i="2"/>
  <c r="AF411" i="2" s="1"/>
  <c r="B411" i="2"/>
  <c r="A411" i="2"/>
  <c r="C410" i="2"/>
  <c r="N410" i="2" s="1"/>
  <c r="B410" i="2"/>
  <c r="A410" i="2"/>
  <c r="C409" i="2"/>
  <c r="B409" i="2"/>
  <c r="A409" i="2"/>
  <c r="C408" i="2"/>
  <c r="B408" i="2"/>
  <c r="A408" i="2"/>
  <c r="C407" i="2"/>
  <c r="S407" i="2" s="1"/>
  <c r="B407" i="2"/>
  <c r="A407" i="2"/>
  <c r="C406" i="2"/>
  <c r="AB406" i="2" s="1"/>
  <c r="B406" i="2"/>
  <c r="A406" i="2"/>
  <c r="C405" i="2"/>
  <c r="B405" i="2"/>
  <c r="A405" i="2"/>
  <c r="C404" i="2"/>
  <c r="K404" i="2" s="1"/>
  <c r="B404" i="2"/>
  <c r="A404" i="2"/>
  <c r="C403" i="2"/>
  <c r="H403" i="2" s="1"/>
  <c r="B403" i="2"/>
  <c r="A403" i="2"/>
  <c r="C402" i="2"/>
  <c r="B402" i="2"/>
  <c r="A402" i="2"/>
  <c r="C401" i="2"/>
  <c r="Q401" i="2" s="1"/>
  <c r="B401" i="2"/>
  <c r="A401" i="2"/>
  <c r="C400" i="2"/>
  <c r="AB400" i="2" s="1"/>
  <c r="B400" i="2"/>
  <c r="A400" i="2"/>
  <c r="C399" i="2"/>
  <c r="J399" i="2" s="1"/>
  <c r="B399" i="2"/>
  <c r="A399" i="2"/>
  <c r="C398" i="2"/>
  <c r="B398" i="2"/>
  <c r="A398" i="2"/>
  <c r="C397" i="2"/>
  <c r="G397" i="2" s="1"/>
  <c r="B397" i="2"/>
  <c r="A397" i="2"/>
  <c r="C396" i="2"/>
  <c r="B396" i="2"/>
  <c r="A396" i="2"/>
  <c r="C395" i="2"/>
  <c r="H395" i="2" s="1"/>
  <c r="B395" i="2"/>
  <c r="A395" i="2"/>
  <c r="C394" i="2"/>
  <c r="B394" i="2"/>
  <c r="A394" i="2"/>
  <c r="C393" i="2"/>
  <c r="B393" i="2"/>
  <c r="A393" i="2"/>
  <c r="C392" i="2"/>
  <c r="AG392" i="2" s="1"/>
  <c r="B392" i="2"/>
  <c r="A392" i="2"/>
  <c r="C391" i="2"/>
  <c r="AG391" i="2" s="1"/>
  <c r="B391" i="2"/>
  <c r="A391" i="2"/>
  <c r="C390" i="2"/>
  <c r="AC390" i="2" s="1"/>
  <c r="B390" i="2"/>
  <c r="A390" i="2"/>
  <c r="C389" i="2"/>
  <c r="B389" i="2"/>
  <c r="A389" i="2"/>
  <c r="C388" i="2"/>
  <c r="W388" i="2" s="1"/>
  <c r="B388" i="2"/>
  <c r="A388" i="2"/>
  <c r="C387" i="2"/>
  <c r="B387" i="2"/>
  <c r="A387" i="2"/>
  <c r="C386" i="2"/>
  <c r="B386" i="2"/>
  <c r="A386" i="2"/>
  <c r="C385" i="2"/>
  <c r="AG385" i="2" s="1"/>
  <c r="B385" i="2"/>
  <c r="A385" i="2"/>
  <c r="C384" i="2"/>
  <c r="P384" i="2" s="1"/>
  <c r="B384" i="2"/>
  <c r="A384" i="2"/>
  <c r="C383" i="2"/>
  <c r="B383" i="2"/>
  <c r="A383" i="2"/>
  <c r="C382" i="2"/>
  <c r="B382" i="2"/>
  <c r="A382" i="2"/>
  <c r="AB381" i="2"/>
  <c r="C381" i="2"/>
  <c r="AA381" i="2" s="1"/>
  <c r="B381" i="2"/>
  <c r="A381" i="2"/>
  <c r="C380" i="2"/>
  <c r="B380" i="2"/>
  <c r="A380" i="2"/>
  <c r="C379" i="2"/>
  <c r="AA379" i="2" s="1"/>
  <c r="B379" i="2"/>
  <c r="A379" i="2"/>
  <c r="C378" i="2"/>
  <c r="B378" i="2"/>
  <c r="A378" i="2"/>
  <c r="C377" i="2"/>
  <c r="Q377" i="2" s="1"/>
  <c r="B377" i="2"/>
  <c r="A377" i="2"/>
  <c r="C376" i="2"/>
  <c r="AD376" i="2" s="1"/>
  <c r="B376" i="2"/>
  <c r="A376" i="2"/>
  <c r="C375" i="2"/>
  <c r="B375" i="2"/>
  <c r="A375" i="2"/>
  <c r="C374" i="2"/>
  <c r="B374" i="2"/>
  <c r="A374" i="2"/>
  <c r="C373" i="2"/>
  <c r="B373" i="2"/>
  <c r="A373" i="2"/>
  <c r="C372" i="2"/>
  <c r="AB372" i="2" s="1"/>
  <c r="B372" i="2"/>
  <c r="A372" i="2"/>
  <c r="C371" i="2"/>
  <c r="B371" i="2"/>
  <c r="A371" i="2"/>
  <c r="C370" i="2"/>
  <c r="H370" i="2" s="1"/>
  <c r="B370" i="2"/>
  <c r="A370" i="2"/>
  <c r="C369" i="2"/>
  <c r="B369" i="2"/>
  <c r="A369" i="2"/>
  <c r="C368" i="2"/>
  <c r="B368" i="2"/>
  <c r="A368" i="2"/>
  <c r="C367" i="2"/>
  <c r="AA367" i="2" s="1"/>
  <c r="B367" i="2"/>
  <c r="A367" i="2"/>
  <c r="C366" i="2"/>
  <c r="Y366" i="2" s="1"/>
  <c r="B366" i="2"/>
  <c r="A366" i="2"/>
  <c r="C365" i="2"/>
  <c r="B365" i="2"/>
  <c r="A365" i="2"/>
  <c r="C364" i="2"/>
  <c r="E364" i="2" s="1"/>
  <c r="B364" i="2"/>
  <c r="A364" i="2"/>
  <c r="C363" i="2"/>
  <c r="B363" i="2"/>
  <c r="A363" i="2"/>
  <c r="C362" i="2"/>
  <c r="AA362" i="2" s="1"/>
  <c r="B362" i="2"/>
  <c r="A362" i="2"/>
  <c r="C361" i="2"/>
  <c r="AD361" i="2" s="1"/>
  <c r="B361" i="2"/>
  <c r="A361" i="2"/>
  <c r="C360" i="2"/>
  <c r="B360" i="2"/>
  <c r="A360" i="2"/>
  <c r="C359" i="2"/>
  <c r="K359" i="2" s="1"/>
  <c r="B359" i="2"/>
  <c r="A359" i="2"/>
  <c r="C358" i="2"/>
  <c r="W358" i="2" s="1"/>
  <c r="B358" i="2"/>
  <c r="A358" i="2"/>
  <c r="C357" i="2"/>
  <c r="E357" i="2" s="1"/>
  <c r="B357" i="2"/>
  <c r="A357" i="2"/>
  <c r="C356" i="2"/>
  <c r="B356" i="2"/>
  <c r="A356" i="2"/>
  <c r="C355" i="2"/>
  <c r="B355" i="2"/>
  <c r="A355" i="2"/>
  <c r="C354" i="2"/>
  <c r="AC354" i="2" s="1"/>
  <c r="B354" i="2"/>
  <c r="A354" i="2"/>
  <c r="C353" i="2"/>
  <c r="B353" i="2"/>
  <c r="A353" i="2"/>
  <c r="C352" i="2"/>
  <c r="B352" i="2"/>
  <c r="A352" i="2"/>
  <c r="C351" i="2"/>
  <c r="R351" i="2" s="1"/>
  <c r="B351" i="2"/>
  <c r="A351" i="2"/>
  <c r="C350" i="2"/>
  <c r="B350" i="2"/>
  <c r="A350" i="2"/>
  <c r="C349" i="2"/>
  <c r="Y349" i="2" s="1"/>
  <c r="B349" i="2"/>
  <c r="A349" i="2"/>
  <c r="C348" i="2"/>
  <c r="B348" i="2"/>
  <c r="A348" i="2"/>
  <c r="C347" i="2"/>
  <c r="B347" i="2"/>
  <c r="A347" i="2"/>
  <c r="C346" i="2"/>
  <c r="B346" i="2"/>
  <c r="A346" i="2"/>
  <c r="C345" i="2"/>
  <c r="AF345" i="2" s="1"/>
  <c r="B345" i="2"/>
  <c r="A345" i="2"/>
  <c r="C344" i="2"/>
  <c r="AE344" i="2" s="1"/>
  <c r="B344" i="2"/>
  <c r="A344" i="2"/>
  <c r="C343" i="2"/>
  <c r="B343" i="2"/>
  <c r="A343" i="2"/>
  <c r="C342" i="2"/>
  <c r="U342" i="2" s="1"/>
  <c r="B342" i="2"/>
  <c r="A342" i="2"/>
  <c r="C341" i="2"/>
  <c r="W341" i="2" s="1"/>
  <c r="B341" i="2"/>
  <c r="A341" i="2"/>
  <c r="C340" i="2"/>
  <c r="B340" i="2"/>
  <c r="A340" i="2"/>
  <c r="C339" i="2"/>
  <c r="AD339" i="2" s="1"/>
  <c r="B339" i="2"/>
  <c r="A339" i="2"/>
  <c r="C338" i="2"/>
  <c r="Z338" i="2" s="1"/>
  <c r="B338" i="2"/>
  <c r="A338" i="2"/>
  <c r="C337" i="2"/>
  <c r="O337" i="2" s="1"/>
  <c r="B337" i="2"/>
  <c r="A337" i="2"/>
  <c r="C336" i="2"/>
  <c r="B336" i="2"/>
  <c r="A336" i="2"/>
  <c r="C335" i="2"/>
  <c r="G335" i="2" s="1"/>
  <c r="B335" i="2"/>
  <c r="A335" i="2"/>
  <c r="C334" i="2"/>
  <c r="H334" i="2" s="1"/>
  <c r="B334" i="2"/>
  <c r="A334" i="2"/>
  <c r="C333" i="2"/>
  <c r="B333" i="2"/>
  <c r="A333" i="2"/>
  <c r="C332" i="2"/>
  <c r="O332" i="2" s="1"/>
  <c r="B332" i="2"/>
  <c r="A332" i="2"/>
  <c r="C331" i="2"/>
  <c r="U331" i="2" s="1"/>
  <c r="B331" i="2"/>
  <c r="A331" i="2"/>
  <c r="C330" i="2"/>
  <c r="M330" i="2" s="1"/>
  <c r="B330" i="2"/>
  <c r="A330" i="2"/>
  <c r="C329" i="2"/>
  <c r="B329" i="2"/>
  <c r="A329" i="2"/>
  <c r="C328" i="2"/>
  <c r="B328" i="2"/>
  <c r="A328" i="2"/>
  <c r="C327" i="2"/>
  <c r="L327" i="2" s="1"/>
  <c r="B327" i="2"/>
  <c r="A327" i="2"/>
  <c r="C326" i="2"/>
  <c r="B326" i="2"/>
  <c r="A326" i="2"/>
  <c r="C325" i="2"/>
  <c r="J325" i="2" s="1"/>
  <c r="B325" i="2"/>
  <c r="A325" i="2"/>
  <c r="C324" i="2"/>
  <c r="B324" i="2"/>
  <c r="A324" i="2"/>
  <c r="C323" i="2"/>
  <c r="B323" i="2"/>
  <c r="A323" i="2"/>
  <c r="C322" i="2"/>
  <c r="O322" i="2" s="1"/>
  <c r="B322" i="2"/>
  <c r="A322" i="2"/>
  <c r="C321" i="2"/>
  <c r="V321" i="2" s="1"/>
  <c r="B321" i="2"/>
  <c r="A321" i="2"/>
  <c r="C320" i="2"/>
  <c r="G320" i="2" s="1"/>
  <c r="B320" i="2"/>
  <c r="A320" i="2"/>
  <c r="C319" i="2"/>
  <c r="B319" i="2"/>
  <c r="A319" i="2"/>
  <c r="C318" i="2"/>
  <c r="Z318" i="2" s="1"/>
  <c r="B318" i="2"/>
  <c r="A318" i="2"/>
  <c r="C317" i="2"/>
  <c r="F317" i="2" s="1"/>
  <c r="B317" i="2"/>
  <c r="A317" i="2"/>
  <c r="C316" i="2"/>
  <c r="AF316" i="2" s="1"/>
  <c r="B316" i="2"/>
  <c r="A316" i="2"/>
  <c r="C315" i="2"/>
  <c r="B315" i="2"/>
  <c r="A315" i="2"/>
  <c r="C314" i="2"/>
  <c r="Y314" i="2" s="1"/>
  <c r="B314" i="2"/>
  <c r="A314" i="2"/>
  <c r="C313" i="2"/>
  <c r="W313" i="2" s="1"/>
  <c r="B313" i="2"/>
  <c r="A313" i="2"/>
  <c r="C312" i="2"/>
  <c r="J312" i="2" s="1"/>
  <c r="B312" i="2"/>
  <c r="A312" i="2"/>
  <c r="C311" i="2"/>
  <c r="T311" i="2" s="1"/>
  <c r="B311" i="2"/>
  <c r="A311" i="2"/>
  <c r="C310" i="2"/>
  <c r="B310" i="2"/>
  <c r="A310" i="2"/>
  <c r="C309" i="2"/>
  <c r="AG309" i="2" s="1"/>
  <c r="B309" i="2"/>
  <c r="A309" i="2"/>
  <c r="C308" i="2"/>
  <c r="B308" i="2"/>
  <c r="A308" i="2"/>
  <c r="C307" i="2"/>
  <c r="AG307" i="2" s="1"/>
  <c r="B307" i="2"/>
  <c r="A307" i="2"/>
  <c r="C306" i="2"/>
  <c r="X306" i="2" s="1"/>
  <c r="B306" i="2"/>
  <c r="A306" i="2"/>
  <c r="C305" i="2"/>
  <c r="U305" i="2" s="1"/>
  <c r="B305" i="2"/>
  <c r="A305" i="2"/>
  <c r="C304" i="2"/>
  <c r="B304" i="2"/>
  <c r="A304" i="2"/>
  <c r="C303" i="2"/>
  <c r="B303" i="2"/>
  <c r="A303" i="2"/>
  <c r="C302" i="2"/>
  <c r="F302" i="2" s="1"/>
  <c r="B302" i="2"/>
  <c r="A302" i="2"/>
  <c r="C301" i="2"/>
  <c r="B301" i="2"/>
  <c r="A301" i="2"/>
  <c r="C300" i="2"/>
  <c r="B300" i="2"/>
  <c r="A300" i="2"/>
  <c r="C299" i="2"/>
  <c r="W299" i="2" s="1"/>
  <c r="B299" i="2"/>
  <c r="A299" i="2"/>
  <c r="C298" i="2"/>
  <c r="J298" i="2" s="1"/>
  <c r="B298" i="2"/>
  <c r="A298" i="2"/>
  <c r="C297" i="2"/>
  <c r="B297" i="2"/>
  <c r="A297" i="2"/>
  <c r="C296" i="2"/>
  <c r="U296" i="2" s="1"/>
  <c r="B296" i="2"/>
  <c r="A296" i="2"/>
  <c r="C295" i="2"/>
  <c r="B295" i="2"/>
  <c r="A295" i="2"/>
  <c r="C294" i="2"/>
  <c r="AF294" i="2" s="1"/>
  <c r="B294" i="2"/>
  <c r="A294" i="2"/>
  <c r="C293" i="2"/>
  <c r="B293" i="2"/>
  <c r="A293" i="2"/>
  <c r="C292" i="2"/>
  <c r="N292" i="2" s="1"/>
  <c r="B292" i="2"/>
  <c r="A292" i="2"/>
  <c r="C291" i="2"/>
  <c r="E291" i="2" s="1"/>
  <c r="B291" i="2"/>
  <c r="A291" i="2"/>
  <c r="C290" i="2"/>
  <c r="AC290" i="2" s="1"/>
  <c r="B290" i="2"/>
  <c r="A290" i="2"/>
  <c r="C289" i="2"/>
  <c r="E289" i="2" s="1"/>
  <c r="B289" i="2"/>
  <c r="A289" i="2"/>
  <c r="C288" i="2"/>
  <c r="B288" i="2"/>
  <c r="A288" i="2"/>
  <c r="C287" i="2"/>
  <c r="AE287" i="2" s="1"/>
  <c r="B287" i="2"/>
  <c r="A287" i="2"/>
  <c r="C286" i="2"/>
  <c r="AE286" i="2" s="1"/>
  <c r="B286" i="2"/>
  <c r="A286" i="2"/>
  <c r="C285" i="2"/>
  <c r="B285" i="2"/>
  <c r="A285" i="2"/>
  <c r="C284" i="2"/>
  <c r="X284" i="2" s="1"/>
  <c r="B284" i="2"/>
  <c r="A284" i="2"/>
  <c r="C283" i="2"/>
  <c r="B283" i="2"/>
  <c r="A283" i="2"/>
  <c r="C282" i="2"/>
  <c r="AE282" i="2" s="1"/>
  <c r="B282" i="2"/>
  <c r="A282" i="2"/>
  <c r="C281" i="2"/>
  <c r="X281" i="2" s="1"/>
  <c r="B281" i="2"/>
  <c r="A281" i="2"/>
  <c r="C280" i="2"/>
  <c r="M280" i="2" s="1"/>
  <c r="B280" i="2"/>
  <c r="A280" i="2"/>
  <c r="C279" i="2"/>
  <c r="B279" i="2"/>
  <c r="A279" i="2"/>
  <c r="C278" i="2"/>
  <c r="B278" i="2"/>
  <c r="A278" i="2"/>
  <c r="C277" i="2"/>
  <c r="B277" i="2"/>
  <c r="A277" i="2"/>
  <c r="C276" i="2"/>
  <c r="B276" i="2"/>
  <c r="A276" i="2"/>
  <c r="C275" i="2"/>
  <c r="B275" i="2"/>
  <c r="A275" i="2"/>
  <c r="C274" i="2"/>
  <c r="B274" i="2"/>
  <c r="A274" i="2"/>
  <c r="C273" i="2"/>
  <c r="G273" i="2" s="1"/>
  <c r="B273" i="2"/>
  <c r="A273" i="2"/>
  <c r="C272" i="2"/>
  <c r="B272" i="2"/>
  <c r="A272" i="2"/>
  <c r="C271" i="2"/>
  <c r="B271" i="2"/>
  <c r="A271" i="2"/>
  <c r="C270" i="2"/>
  <c r="K270" i="2" s="1"/>
  <c r="B270" i="2"/>
  <c r="A270" i="2"/>
  <c r="C269" i="2"/>
  <c r="B269" i="2"/>
  <c r="A269" i="2"/>
  <c r="C268" i="2"/>
  <c r="J268" i="2" s="1"/>
  <c r="B268" i="2"/>
  <c r="A268" i="2"/>
  <c r="C267" i="2"/>
  <c r="Y267" i="2" s="1"/>
  <c r="B267" i="2"/>
  <c r="A267" i="2"/>
  <c r="C266" i="2"/>
  <c r="I266" i="2" s="1"/>
  <c r="B266" i="2"/>
  <c r="A266" i="2"/>
  <c r="C265" i="2"/>
  <c r="B265" i="2"/>
  <c r="A265" i="2"/>
  <c r="C264" i="2"/>
  <c r="B264" i="2"/>
  <c r="A264" i="2"/>
  <c r="V263" i="2"/>
  <c r="C263" i="2"/>
  <c r="E263" i="2" s="1"/>
  <c r="B263" i="2"/>
  <c r="A263" i="2"/>
  <c r="C262" i="2"/>
  <c r="AB262" i="2" s="1"/>
  <c r="B262" i="2"/>
  <c r="A262" i="2"/>
  <c r="C261" i="2"/>
  <c r="E261" i="2" s="1"/>
  <c r="B261" i="2"/>
  <c r="A261" i="2"/>
  <c r="C260" i="2"/>
  <c r="X260" i="2" s="1"/>
  <c r="B260" i="2"/>
  <c r="A260" i="2"/>
  <c r="C259" i="2"/>
  <c r="AD259" i="2" s="1"/>
  <c r="B259" i="2"/>
  <c r="A259" i="2"/>
  <c r="C258" i="2"/>
  <c r="B258" i="2"/>
  <c r="A258" i="2"/>
  <c r="C257" i="2"/>
  <c r="B257" i="2"/>
  <c r="A257" i="2"/>
  <c r="C256" i="2"/>
  <c r="B256" i="2"/>
  <c r="A256" i="2"/>
  <c r="C255" i="2"/>
  <c r="E255" i="2" s="1"/>
  <c r="B255" i="2"/>
  <c r="A255" i="2"/>
  <c r="C254" i="2"/>
  <c r="B254" i="2"/>
  <c r="A254" i="2"/>
  <c r="C253" i="2"/>
  <c r="B253" i="2"/>
  <c r="A253" i="2"/>
  <c r="C252" i="2"/>
  <c r="U252" i="2" s="1"/>
  <c r="B252" i="2"/>
  <c r="A252" i="2"/>
  <c r="C251" i="2"/>
  <c r="B251" i="2"/>
  <c r="A251" i="2"/>
  <c r="C250" i="2"/>
  <c r="B250" i="2"/>
  <c r="A250" i="2"/>
  <c r="C249" i="2"/>
  <c r="AC249" i="2" s="1"/>
  <c r="B249" i="2"/>
  <c r="A249" i="2"/>
  <c r="C248" i="2"/>
  <c r="AA248" i="2" s="1"/>
  <c r="B248" i="2"/>
  <c r="A248" i="2"/>
  <c r="C247" i="2"/>
  <c r="B247" i="2"/>
  <c r="A247" i="2"/>
  <c r="C246" i="2"/>
  <c r="B246" i="2"/>
  <c r="A246" i="2"/>
  <c r="C245" i="2"/>
  <c r="B245" i="2"/>
  <c r="A245" i="2"/>
  <c r="C244" i="2"/>
  <c r="K244" i="2" s="1"/>
  <c r="B244" i="2"/>
  <c r="A244" i="2"/>
  <c r="C243" i="2"/>
  <c r="P243" i="2" s="1"/>
  <c r="B243" i="2"/>
  <c r="A243" i="2"/>
  <c r="C242" i="2"/>
  <c r="V242" i="2" s="1"/>
  <c r="B242" i="2"/>
  <c r="A242" i="2"/>
  <c r="C241" i="2"/>
  <c r="F241" i="2" s="1"/>
  <c r="B241" i="2"/>
  <c r="A241" i="2"/>
  <c r="C240" i="2"/>
  <c r="G240" i="2" s="1"/>
  <c r="B240" i="2"/>
  <c r="A240" i="2"/>
  <c r="C239" i="2"/>
  <c r="B239" i="2"/>
  <c r="A239" i="2"/>
  <c r="C238" i="2"/>
  <c r="AF238" i="2" s="1"/>
  <c r="B238" i="2"/>
  <c r="A238" i="2"/>
  <c r="C237" i="2"/>
  <c r="B237" i="2"/>
  <c r="A237" i="2"/>
  <c r="C236" i="2"/>
  <c r="X236" i="2" s="1"/>
  <c r="B236" i="2"/>
  <c r="A236" i="2"/>
  <c r="C235" i="2"/>
  <c r="Q235" i="2" s="1"/>
  <c r="B235" i="2"/>
  <c r="A235" i="2"/>
  <c r="C234" i="2"/>
  <c r="B234" i="2"/>
  <c r="A234" i="2"/>
  <c r="C233" i="2"/>
  <c r="X233" i="2" s="1"/>
  <c r="B233" i="2"/>
  <c r="A233" i="2"/>
  <c r="C232" i="2"/>
  <c r="B232" i="2"/>
  <c r="A232" i="2"/>
  <c r="C231" i="2"/>
  <c r="T231" i="2" s="1"/>
  <c r="B231" i="2"/>
  <c r="A231" i="2"/>
  <c r="C230" i="2"/>
  <c r="W230" i="2" s="1"/>
  <c r="B230" i="2"/>
  <c r="A230" i="2"/>
  <c r="C229" i="2"/>
  <c r="E229" i="2" s="1"/>
  <c r="B229" i="2"/>
  <c r="A229" i="2"/>
  <c r="C228" i="2"/>
  <c r="L228" i="2" s="1"/>
  <c r="B228" i="2"/>
  <c r="A228" i="2"/>
  <c r="C227" i="2"/>
  <c r="L227" i="2" s="1"/>
  <c r="B227" i="2"/>
  <c r="A227" i="2"/>
  <c r="C226" i="2"/>
  <c r="B226" i="2"/>
  <c r="A226" i="2"/>
  <c r="C225" i="2"/>
  <c r="T225" i="2" s="1"/>
  <c r="B225" i="2"/>
  <c r="A225" i="2"/>
  <c r="C224" i="2"/>
  <c r="E224" i="2" s="1"/>
  <c r="B224" i="2"/>
  <c r="A224" i="2"/>
  <c r="C223" i="2"/>
  <c r="X223" i="2" s="1"/>
  <c r="B223" i="2"/>
  <c r="A223" i="2"/>
  <c r="C222" i="2"/>
  <c r="V222" i="2" s="1"/>
  <c r="B222" i="2"/>
  <c r="A222" i="2"/>
  <c r="C221" i="2"/>
  <c r="B221" i="2"/>
  <c r="A221" i="2"/>
  <c r="C220" i="2"/>
  <c r="AE220" i="2" s="1"/>
  <c r="B220" i="2"/>
  <c r="A220" i="2"/>
  <c r="C219" i="2"/>
  <c r="AG219" i="2" s="1"/>
  <c r="B219" i="2"/>
  <c r="A219" i="2"/>
  <c r="C218" i="2"/>
  <c r="B218" i="2"/>
  <c r="A218" i="2"/>
  <c r="C217" i="2"/>
  <c r="L217" i="2" s="1"/>
  <c r="B217" i="2"/>
  <c r="A217" i="2"/>
  <c r="C216" i="2"/>
  <c r="Q216" i="2" s="1"/>
  <c r="B216" i="2"/>
  <c r="A216" i="2"/>
  <c r="C215" i="2"/>
  <c r="B215" i="2"/>
  <c r="A215" i="2"/>
  <c r="AG214" i="2"/>
  <c r="C214" i="2"/>
  <c r="R214" i="2" s="1"/>
  <c r="B214" i="2"/>
  <c r="A214" i="2"/>
  <c r="C213" i="2"/>
  <c r="J213" i="2" s="1"/>
  <c r="B213" i="2"/>
  <c r="A213" i="2"/>
  <c r="C212" i="2"/>
  <c r="I212" i="2" s="1"/>
  <c r="B212" i="2"/>
  <c r="A212" i="2"/>
  <c r="C211" i="2"/>
  <c r="B211" i="2"/>
  <c r="A211" i="2"/>
  <c r="C210" i="2"/>
  <c r="T210" i="2" s="1"/>
  <c r="B210" i="2"/>
  <c r="A210" i="2"/>
  <c r="C209" i="2"/>
  <c r="B209" i="2"/>
  <c r="A209" i="2"/>
  <c r="C208" i="2"/>
  <c r="AE208" i="2" s="1"/>
  <c r="B208" i="2"/>
  <c r="A208" i="2"/>
  <c r="C207" i="2"/>
  <c r="R207" i="2" s="1"/>
  <c r="B207" i="2"/>
  <c r="A207" i="2"/>
  <c r="C206" i="2"/>
  <c r="B206" i="2"/>
  <c r="A206" i="2"/>
  <c r="C205" i="2"/>
  <c r="Y205" i="2" s="1"/>
  <c r="B205" i="2"/>
  <c r="A205" i="2"/>
  <c r="C204" i="2"/>
  <c r="X204" i="2" s="1"/>
  <c r="B204" i="2"/>
  <c r="A204" i="2"/>
  <c r="C203" i="2"/>
  <c r="M203" i="2" s="1"/>
  <c r="B203" i="2"/>
  <c r="A203" i="2"/>
  <c r="C202" i="2"/>
  <c r="B202" i="2"/>
  <c r="A202" i="2"/>
  <c r="C201" i="2"/>
  <c r="G201" i="2" s="1"/>
  <c r="B201" i="2"/>
  <c r="A201" i="2"/>
  <c r="C200" i="2"/>
  <c r="B200" i="2"/>
  <c r="A200" i="2"/>
  <c r="C199" i="2"/>
  <c r="N199" i="2" s="1"/>
  <c r="B199" i="2"/>
  <c r="A199" i="2"/>
  <c r="C198" i="2"/>
  <c r="R198" i="2" s="1"/>
  <c r="B198" i="2"/>
  <c r="A198" i="2"/>
  <c r="C197" i="2"/>
  <c r="B197" i="2"/>
  <c r="A197" i="2"/>
  <c r="C196" i="2"/>
  <c r="V196" i="2" s="1"/>
  <c r="B196" i="2"/>
  <c r="A196" i="2"/>
  <c r="C195" i="2"/>
  <c r="Q195" i="2" s="1"/>
  <c r="B195" i="2"/>
  <c r="A195" i="2"/>
  <c r="C194" i="2"/>
  <c r="B194" i="2"/>
  <c r="A194" i="2"/>
  <c r="C193" i="2"/>
  <c r="Y193" i="2" s="1"/>
  <c r="B193" i="2"/>
  <c r="A193" i="2"/>
  <c r="C192" i="2"/>
  <c r="AD192" i="2" s="1"/>
  <c r="B192" i="2"/>
  <c r="A192" i="2"/>
  <c r="C191" i="2"/>
  <c r="B191" i="2"/>
  <c r="A191" i="2"/>
  <c r="C190" i="2"/>
  <c r="AG190" i="2" s="1"/>
  <c r="B190" i="2"/>
  <c r="A190" i="2"/>
  <c r="C189" i="2"/>
  <c r="H189" i="2" s="1"/>
  <c r="B189" i="2"/>
  <c r="A189" i="2"/>
  <c r="C188" i="2"/>
  <c r="AD188" i="2" s="1"/>
  <c r="B188" i="2"/>
  <c r="A188" i="2"/>
  <c r="C187" i="2"/>
  <c r="H187" i="2" s="1"/>
  <c r="B187" i="2"/>
  <c r="A187" i="2"/>
  <c r="C186" i="2"/>
  <c r="B186" i="2"/>
  <c r="A186" i="2"/>
  <c r="C185" i="2"/>
  <c r="B185" i="2"/>
  <c r="A185" i="2"/>
  <c r="C184" i="2"/>
  <c r="T184" i="2" s="1"/>
  <c r="B184" i="2"/>
  <c r="A184" i="2"/>
  <c r="C183" i="2"/>
  <c r="H183" i="2" s="1"/>
  <c r="B183" i="2"/>
  <c r="A183" i="2"/>
  <c r="C182" i="2"/>
  <c r="J182" i="2" s="1"/>
  <c r="B182" i="2"/>
  <c r="A182" i="2"/>
  <c r="C181" i="2"/>
  <c r="AF181" i="2" s="1"/>
  <c r="B181" i="2"/>
  <c r="A181" i="2"/>
  <c r="C180" i="2"/>
  <c r="B180" i="2"/>
  <c r="A180" i="2"/>
  <c r="C179" i="2"/>
  <c r="B179" i="2"/>
  <c r="A179" i="2"/>
  <c r="C178" i="2"/>
  <c r="AB178" i="2" s="1"/>
  <c r="B178" i="2"/>
  <c r="A178" i="2"/>
  <c r="C177" i="2"/>
  <c r="I177" i="2" s="1"/>
  <c r="B177" i="2"/>
  <c r="A177" i="2"/>
  <c r="C176" i="2"/>
  <c r="B176" i="2"/>
  <c r="A176" i="2"/>
  <c r="C175" i="2"/>
  <c r="I175" i="2" s="1"/>
  <c r="B175" i="2"/>
  <c r="A175" i="2"/>
  <c r="C174" i="2"/>
  <c r="B174" i="2"/>
  <c r="A174" i="2"/>
  <c r="C173" i="2"/>
  <c r="I173" i="2" s="1"/>
  <c r="B173" i="2"/>
  <c r="A173" i="2"/>
  <c r="C172" i="2"/>
  <c r="R172" i="2" s="1"/>
  <c r="B172" i="2"/>
  <c r="A172" i="2"/>
  <c r="C171" i="2"/>
  <c r="V171" i="2" s="1"/>
  <c r="B171" i="2"/>
  <c r="A171" i="2"/>
  <c r="C170" i="2"/>
  <c r="AG170" i="2" s="1"/>
  <c r="B170" i="2"/>
  <c r="A170" i="2"/>
  <c r="C169" i="2"/>
  <c r="I169" i="2" s="1"/>
  <c r="B169" i="2"/>
  <c r="A169" i="2"/>
  <c r="C168" i="2"/>
  <c r="X168" i="2" s="1"/>
  <c r="B168" i="2"/>
  <c r="A168" i="2"/>
  <c r="C167" i="2"/>
  <c r="B167" i="2"/>
  <c r="A167" i="2"/>
  <c r="C166" i="2"/>
  <c r="P166" i="2" s="1"/>
  <c r="B166" i="2"/>
  <c r="A166" i="2"/>
  <c r="C165" i="2"/>
  <c r="J165" i="2" s="1"/>
  <c r="B165" i="2"/>
  <c r="A165" i="2"/>
  <c r="C164" i="2"/>
  <c r="B164" i="2"/>
  <c r="A164" i="2"/>
  <c r="C163" i="2"/>
  <c r="Y163" i="2" s="1"/>
  <c r="B163" i="2"/>
  <c r="A163" i="2"/>
  <c r="C162" i="2"/>
  <c r="R162" i="2" s="1"/>
  <c r="B162" i="2"/>
  <c r="A162" i="2"/>
  <c r="C161" i="2"/>
  <c r="M161" i="2" s="1"/>
  <c r="B161" i="2"/>
  <c r="A161" i="2"/>
  <c r="C160" i="2"/>
  <c r="AB160" i="2" s="1"/>
  <c r="B160" i="2"/>
  <c r="A160" i="2"/>
  <c r="C159" i="2"/>
  <c r="W159" i="2" s="1"/>
  <c r="B159" i="2"/>
  <c r="A159" i="2"/>
  <c r="C158" i="2"/>
  <c r="B158" i="2"/>
  <c r="A158" i="2"/>
  <c r="C157" i="2"/>
  <c r="B157" i="2"/>
  <c r="A157" i="2"/>
  <c r="C156" i="2"/>
  <c r="AE156" i="2" s="1"/>
  <c r="B156" i="2"/>
  <c r="A156" i="2"/>
  <c r="C155" i="2"/>
  <c r="B155" i="2"/>
  <c r="A155" i="2"/>
  <c r="C154" i="2"/>
  <c r="K154" i="2" s="1"/>
  <c r="B154" i="2"/>
  <c r="A154" i="2"/>
  <c r="C153" i="2"/>
  <c r="M153" i="2" s="1"/>
  <c r="B153" i="2"/>
  <c r="A153" i="2"/>
  <c r="C152" i="2"/>
  <c r="B152" i="2"/>
  <c r="A152" i="2"/>
  <c r="C151" i="2"/>
  <c r="B151" i="2"/>
  <c r="A151" i="2"/>
  <c r="C150" i="2"/>
  <c r="B150" i="2"/>
  <c r="A150" i="2"/>
  <c r="C149" i="2"/>
  <c r="H149" i="2" s="1"/>
  <c r="B149" i="2"/>
  <c r="A149" i="2"/>
  <c r="C148" i="2"/>
  <c r="Q148" i="2" s="1"/>
  <c r="B148" i="2"/>
  <c r="A148" i="2"/>
  <c r="C147" i="2"/>
  <c r="B147" i="2"/>
  <c r="A147" i="2"/>
  <c r="C146" i="2"/>
  <c r="J146" i="2" s="1"/>
  <c r="B146" i="2"/>
  <c r="A146" i="2"/>
  <c r="C145" i="2"/>
  <c r="AB145" i="2" s="1"/>
  <c r="B145" i="2"/>
  <c r="A145" i="2"/>
  <c r="C144" i="2"/>
  <c r="B144" i="2"/>
  <c r="A144" i="2"/>
  <c r="C143" i="2"/>
  <c r="V143" i="2" s="1"/>
  <c r="B143" i="2"/>
  <c r="A143" i="2"/>
  <c r="C142" i="2"/>
  <c r="Y142" i="2" s="1"/>
  <c r="B142" i="2"/>
  <c r="A142" i="2"/>
  <c r="C141" i="2"/>
  <c r="B141" i="2"/>
  <c r="A141" i="2"/>
  <c r="C140" i="2"/>
  <c r="Z140" i="2" s="1"/>
  <c r="B140" i="2"/>
  <c r="A140" i="2"/>
  <c r="C139" i="2"/>
  <c r="AD139" i="2" s="1"/>
  <c r="B139" i="2"/>
  <c r="A139" i="2"/>
  <c r="C138" i="2"/>
  <c r="AF138" i="2" s="1"/>
  <c r="B138" i="2"/>
  <c r="A138" i="2"/>
  <c r="C137" i="2"/>
  <c r="Q137" i="2" s="1"/>
  <c r="B137" i="2"/>
  <c r="A137" i="2"/>
  <c r="C136" i="2"/>
  <c r="L136" i="2" s="1"/>
  <c r="B136" i="2"/>
  <c r="A136" i="2"/>
  <c r="C135" i="2"/>
  <c r="AF135" i="2" s="1"/>
  <c r="B135" i="2"/>
  <c r="A135" i="2"/>
  <c r="C134" i="2"/>
  <c r="J134" i="2" s="1"/>
  <c r="B134" i="2"/>
  <c r="A134" i="2"/>
  <c r="C133" i="2"/>
  <c r="B133" i="2"/>
  <c r="A133" i="2"/>
  <c r="C132" i="2"/>
  <c r="L132" i="2" s="1"/>
  <c r="B132" i="2"/>
  <c r="A132" i="2"/>
  <c r="C131" i="2"/>
  <c r="B131" i="2"/>
  <c r="A131" i="2"/>
  <c r="C130" i="2"/>
  <c r="AE130" i="2" s="1"/>
  <c r="B130" i="2"/>
  <c r="A130" i="2"/>
  <c r="C129" i="2"/>
  <c r="G129" i="2" s="1"/>
  <c r="B129" i="2"/>
  <c r="A129" i="2"/>
  <c r="C128" i="2"/>
  <c r="Z128" i="2" s="1"/>
  <c r="B128" i="2"/>
  <c r="A128" i="2"/>
  <c r="C127" i="2"/>
  <c r="B127" i="2"/>
  <c r="A127" i="2"/>
  <c r="C126" i="2"/>
  <c r="B126" i="2"/>
  <c r="A126" i="2"/>
  <c r="C125" i="2"/>
  <c r="Z125" i="2" s="1"/>
  <c r="B125" i="2"/>
  <c r="A125" i="2"/>
  <c r="C124" i="2"/>
  <c r="B124" i="2"/>
  <c r="A124" i="2"/>
  <c r="C123" i="2"/>
  <c r="B123" i="2"/>
  <c r="A123" i="2"/>
  <c r="C122" i="2"/>
  <c r="AF122" i="2" s="1"/>
  <c r="B122" i="2"/>
  <c r="A122" i="2"/>
  <c r="C121" i="2"/>
  <c r="AG121" i="2" s="1"/>
  <c r="B121" i="2"/>
  <c r="A121" i="2"/>
  <c r="C120" i="2"/>
  <c r="B120" i="2"/>
  <c r="A120" i="2"/>
  <c r="C119" i="2"/>
  <c r="X119" i="2" s="1"/>
  <c r="B119" i="2"/>
  <c r="A119" i="2"/>
  <c r="C118" i="2"/>
  <c r="I118" i="2" s="1"/>
  <c r="B118" i="2"/>
  <c r="A118" i="2"/>
  <c r="C117" i="2"/>
  <c r="J117" i="2" s="1"/>
  <c r="B117" i="2"/>
  <c r="A117" i="2"/>
  <c r="C116" i="2"/>
  <c r="B116" i="2"/>
  <c r="A116" i="2"/>
  <c r="C115" i="2"/>
  <c r="B115" i="2"/>
  <c r="A115" i="2"/>
  <c r="C114" i="2"/>
  <c r="B114" i="2"/>
  <c r="A114" i="2"/>
  <c r="C113" i="2"/>
  <c r="B113" i="2"/>
  <c r="A113" i="2"/>
  <c r="C112" i="2"/>
  <c r="W112" i="2" s="1"/>
  <c r="B112" i="2"/>
  <c r="A112" i="2"/>
  <c r="C111" i="2"/>
  <c r="V111" i="2" s="1"/>
  <c r="B111" i="2"/>
  <c r="A111" i="2"/>
  <c r="C110" i="2"/>
  <c r="V110" i="2" s="1"/>
  <c r="B110" i="2"/>
  <c r="A110" i="2"/>
  <c r="C109" i="2"/>
  <c r="E109" i="2" s="1"/>
  <c r="B109" i="2"/>
  <c r="A109" i="2"/>
  <c r="C108" i="2"/>
  <c r="B108" i="2"/>
  <c r="A108" i="2"/>
  <c r="C107" i="2"/>
  <c r="B107" i="2"/>
  <c r="A107" i="2"/>
  <c r="C106" i="2"/>
  <c r="AB106" i="2" s="1"/>
  <c r="B106" i="2"/>
  <c r="A106" i="2"/>
  <c r="C105" i="2"/>
  <c r="B105" i="2"/>
  <c r="A105" i="2"/>
  <c r="C104" i="2"/>
  <c r="AD104" i="2" s="1"/>
  <c r="B104" i="2"/>
  <c r="A104" i="2"/>
  <c r="C103" i="2"/>
  <c r="AB103" i="2" s="1"/>
  <c r="B103" i="2"/>
  <c r="A103" i="2"/>
  <c r="C102" i="2"/>
  <c r="K102" i="2" s="1"/>
  <c r="B102" i="2"/>
  <c r="A102" i="2"/>
  <c r="C101" i="2"/>
  <c r="X101" i="2" s="1"/>
  <c r="B101" i="2"/>
  <c r="A101" i="2"/>
  <c r="C100" i="2"/>
  <c r="AE100" i="2" s="1"/>
  <c r="B100" i="2"/>
  <c r="A100" i="2"/>
  <c r="C99" i="2"/>
  <c r="AB99" i="2" s="1"/>
  <c r="B99" i="2"/>
  <c r="A99" i="2"/>
  <c r="C98" i="2"/>
  <c r="V98" i="2" s="1"/>
  <c r="B98" i="2"/>
  <c r="A98" i="2"/>
  <c r="C97" i="2"/>
  <c r="Y97" i="2" s="1"/>
  <c r="B97" i="2"/>
  <c r="A97" i="2"/>
  <c r="C96" i="2"/>
  <c r="B96" i="2"/>
  <c r="A96" i="2"/>
  <c r="C95" i="2"/>
  <c r="AA95" i="2" s="1"/>
  <c r="B95" i="2"/>
  <c r="A95" i="2"/>
  <c r="C94" i="2"/>
  <c r="AB94" i="2" s="1"/>
  <c r="B94" i="2"/>
  <c r="A94" i="2"/>
  <c r="C93" i="2"/>
  <c r="B93" i="2"/>
  <c r="A93" i="2"/>
  <c r="C92" i="2"/>
  <c r="J92" i="2" s="1"/>
  <c r="B92" i="2"/>
  <c r="A92" i="2"/>
  <c r="C91" i="2"/>
  <c r="AE91" i="2" s="1"/>
  <c r="B91" i="2"/>
  <c r="A91" i="2"/>
  <c r="C90" i="2"/>
  <c r="E90" i="2" s="1"/>
  <c r="B90" i="2"/>
  <c r="A90" i="2"/>
  <c r="C89" i="2"/>
  <c r="G89" i="2" s="1"/>
  <c r="B89" i="2"/>
  <c r="A89" i="2"/>
  <c r="C88" i="2"/>
  <c r="B88" i="2"/>
  <c r="A88" i="2"/>
  <c r="C87" i="2"/>
  <c r="AF87" i="2" s="1"/>
  <c r="B87" i="2"/>
  <c r="A87" i="2"/>
  <c r="C86" i="2"/>
  <c r="AG86" i="2" s="1"/>
  <c r="B86" i="2"/>
  <c r="A86" i="2"/>
  <c r="C85" i="2"/>
  <c r="Z85" i="2" s="1"/>
  <c r="B85" i="2"/>
  <c r="A85" i="2"/>
  <c r="C84" i="2"/>
  <c r="X84" i="2" s="1"/>
  <c r="B84" i="2"/>
  <c r="A84" i="2"/>
  <c r="C83" i="2"/>
  <c r="U83" i="2" s="1"/>
  <c r="B83" i="2"/>
  <c r="A83" i="2"/>
  <c r="C82" i="2"/>
  <c r="AC82" i="2" s="1"/>
  <c r="B82" i="2"/>
  <c r="A82" i="2"/>
  <c r="C81" i="2"/>
  <c r="Y81" i="2" s="1"/>
  <c r="B81" i="2"/>
  <c r="A81" i="2"/>
  <c r="C80" i="2"/>
  <c r="M80" i="2" s="1"/>
  <c r="B80" i="2"/>
  <c r="A80" i="2"/>
  <c r="C79" i="2"/>
  <c r="N79" i="2" s="1"/>
  <c r="B79" i="2"/>
  <c r="A79" i="2"/>
  <c r="C78" i="2"/>
  <c r="S78" i="2" s="1"/>
  <c r="B78" i="2"/>
  <c r="A78" i="2"/>
  <c r="C77" i="2"/>
  <c r="AB77" i="2" s="1"/>
  <c r="B77" i="2"/>
  <c r="A77" i="2"/>
  <c r="C76" i="2"/>
  <c r="B76" i="2"/>
  <c r="A76" i="2"/>
  <c r="C75" i="2"/>
  <c r="R75" i="2" s="1"/>
  <c r="B75" i="2"/>
  <c r="A75" i="2"/>
  <c r="C74" i="2"/>
  <c r="AD74" i="2" s="1"/>
  <c r="B74" i="2"/>
  <c r="A74" i="2"/>
  <c r="C73" i="2"/>
  <c r="O73" i="2" s="1"/>
  <c r="B73" i="2"/>
  <c r="A73" i="2"/>
  <c r="C72" i="2"/>
  <c r="F72" i="2" s="1"/>
  <c r="B72" i="2"/>
  <c r="A72" i="2"/>
  <c r="C71" i="2"/>
  <c r="B71" i="2"/>
  <c r="A71" i="2"/>
  <c r="C70" i="2"/>
  <c r="O70" i="2" s="1"/>
  <c r="B70" i="2"/>
  <c r="A70" i="2"/>
  <c r="C69" i="2"/>
  <c r="AA69" i="2" s="1"/>
  <c r="B69" i="2"/>
  <c r="A69" i="2"/>
  <c r="C68" i="2"/>
  <c r="R68" i="2" s="1"/>
  <c r="B68" i="2"/>
  <c r="A68" i="2"/>
  <c r="C67" i="2"/>
  <c r="I67" i="2" s="1"/>
  <c r="B67" i="2"/>
  <c r="A67" i="2"/>
  <c r="C66" i="2"/>
  <c r="O66" i="2" s="1"/>
  <c r="B66" i="2"/>
  <c r="A66" i="2"/>
  <c r="C65" i="2"/>
  <c r="N65" i="2" s="1"/>
  <c r="B65" i="2"/>
  <c r="A65" i="2"/>
  <c r="C64" i="2"/>
  <c r="W64" i="2" s="1"/>
  <c r="B64" i="2"/>
  <c r="A64" i="2"/>
  <c r="C63" i="2"/>
  <c r="R63" i="2" s="1"/>
  <c r="B63" i="2"/>
  <c r="A63" i="2"/>
  <c r="C62" i="2"/>
  <c r="R62" i="2" s="1"/>
  <c r="B62" i="2"/>
  <c r="A62" i="2"/>
  <c r="C61" i="2"/>
  <c r="R61" i="2" s="1"/>
  <c r="B61" i="2"/>
  <c r="A61" i="2"/>
  <c r="C60" i="2"/>
  <c r="Q60" i="2" s="1"/>
  <c r="B60" i="2"/>
  <c r="A60" i="2"/>
  <c r="C59" i="2"/>
  <c r="K59" i="2" s="1"/>
  <c r="B59" i="2"/>
  <c r="A59" i="2"/>
  <c r="C58" i="2"/>
  <c r="AE58" i="2" s="1"/>
  <c r="B58" i="2"/>
  <c r="A58" i="2"/>
  <c r="C57" i="2"/>
  <c r="Q57" i="2" s="1"/>
  <c r="B57" i="2"/>
  <c r="A57" i="2"/>
  <c r="C56" i="2"/>
  <c r="AG56" i="2" s="1"/>
  <c r="B56" i="2"/>
  <c r="A56" i="2"/>
  <c r="C55" i="2"/>
  <c r="R55" i="2" s="1"/>
  <c r="B55" i="2"/>
  <c r="A55" i="2"/>
  <c r="C54" i="2"/>
  <c r="S54" i="2" s="1"/>
  <c r="B54" i="2"/>
  <c r="A54" i="2"/>
  <c r="C53" i="2"/>
  <c r="AG53" i="2" s="1"/>
  <c r="B53" i="2"/>
  <c r="A53" i="2"/>
  <c r="C52" i="2"/>
  <c r="B52" i="2"/>
  <c r="A52" i="2"/>
  <c r="C51" i="2"/>
  <c r="S51" i="2" s="1"/>
  <c r="B51" i="2"/>
  <c r="A51" i="2"/>
  <c r="C50" i="2"/>
  <c r="G50" i="2" s="1"/>
  <c r="B50" i="2"/>
  <c r="A50" i="2"/>
  <c r="C49" i="2"/>
  <c r="G49" i="2" s="1"/>
  <c r="B49" i="2"/>
  <c r="A49" i="2"/>
  <c r="C48" i="2"/>
  <c r="AG48" i="2" s="1"/>
  <c r="B48" i="2"/>
  <c r="A48" i="2"/>
  <c r="C47" i="2"/>
  <c r="M47" i="2" s="1"/>
  <c r="B47" i="2"/>
  <c r="A47" i="2"/>
  <c r="C46" i="2"/>
  <c r="L46" i="2" s="1"/>
  <c r="B46" i="2"/>
  <c r="A46" i="2"/>
  <c r="C45" i="2"/>
  <c r="T45" i="2" s="1"/>
  <c r="B45" i="2"/>
  <c r="A45" i="2"/>
  <c r="C44" i="2"/>
  <c r="AF44" i="2" s="1"/>
  <c r="B44" i="2"/>
  <c r="A44" i="2"/>
  <c r="C43" i="2"/>
  <c r="B43" i="2"/>
  <c r="A43" i="2"/>
  <c r="C42" i="2"/>
  <c r="B42" i="2"/>
  <c r="A42" i="2"/>
  <c r="C41" i="2"/>
  <c r="T41" i="2" s="1"/>
  <c r="B41" i="2"/>
  <c r="A41" i="2"/>
  <c r="C40" i="2"/>
  <c r="P40" i="2" s="1"/>
  <c r="B40" i="2"/>
  <c r="A40" i="2"/>
  <c r="C39" i="2"/>
  <c r="R39" i="2" s="1"/>
  <c r="B39" i="2"/>
  <c r="A39" i="2"/>
  <c r="C38" i="2"/>
  <c r="T38" i="2" s="1"/>
  <c r="B38" i="2"/>
  <c r="A38" i="2"/>
  <c r="C37" i="2"/>
  <c r="R37" i="2" s="1"/>
  <c r="B37" i="2"/>
  <c r="A37" i="2"/>
  <c r="C36" i="2"/>
  <c r="Z36" i="2" s="1"/>
  <c r="B36" i="2"/>
  <c r="A36" i="2"/>
  <c r="C35" i="2"/>
  <c r="X35" i="2" s="1"/>
  <c r="B35" i="2"/>
  <c r="A35" i="2"/>
  <c r="C34" i="2"/>
  <c r="Q34" i="2" s="1"/>
  <c r="B34" i="2"/>
  <c r="A34" i="2"/>
  <c r="C33" i="2"/>
  <c r="N33" i="2" s="1"/>
  <c r="B33" i="2"/>
  <c r="A33" i="2"/>
  <c r="C32" i="2"/>
  <c r="J32" i="2" s="1"/>
  <c r="B32" i="2"/>
  <c r="A32" i="2"/>
  <c r="C31" i="2"/>
  <c r="O31" i="2" s="1"/>
  <c r="B31" i="2"/>
  <c r="A31" i="2"/>
  <c r="C30" i="2"/>
  <c r="AB30" i="2" s="1"/>
  <c r="B30" i="2"/>
  <c r="A30" i="2"/>
  <c r="C29" i="2"/>
  <c r="B29" i="2"/>
  <c r="A29" i="2"/>
  <c r="C28" i="2"/>
  <c r="Z28" i="2" s="1"/>
  <c r="B28" i="2"/>
  <c r="A28" i="2"/>
  <c r="C27" i="2"/>
  <c r="AD27" i="2" s="1"/>
  <c r="B27" i="2"/>
  <c r="A27" i="2"/>
  <c r="C26" i="2"/>
  <c r="AG26" i="2" s="1"/>
  <c r="B26" i="2"/>
  <c r="A26" i="2"/>
  <c r="C25" i="2"/>
  <c r="AB25" i="2" s="1"/>
  <c r="B25" i="2"/>
  <c r="A25" i="2"/>
  <c r="C24" i="2"/>
  <c r="N24" i="2" s="1"/>
  <c r="B24" i="2"/>
  <c r="A24" i="2"/>
  <c r="C23" i="2"/>
  <c r="AG23" i="2" s="1"/>
  <c r="B23" i="2"/>
  <c r="A23" i="2"/>
  <c r="C22" i="2"/>
  <c r="AC22" i="2" s="1"/>
  <c r="B22" i="2"/>
  <c r="A22" i="2"/>
  <c r="C21" i="2"/>
  <c r="R21" i="2" s="1"/>
  <c r="B21" i="2"/>
  <c r="A21" i="2"/>
  <c r="C20" i="2"/>
  <c r="AF20" i="2" s="1"/>
  <c r="B20" i="2"/>
  <c r="A20" i="2"/>
  <c r="C19" i="2"/>
  <c r="AG19" i="2" s="1"/>
  <c r="B19" i="2"/>
  <c r="A19" i="2"/>
  <c r="C18" i="2"/>
  <c r="K18" i="2" s="1"/>
  <c r="B18" i="2"/>
  <c r="A18" i="2"/>
  <c r="C17" i="2"/>
  <c r="AF17" i="2" s="1"/>
  <c r="B17" i="2"/>
  <c r="A17" i="2"/>
  <c r="C16" i="2"/>
  <c r="AG16" i="2" s="1"/>
  <c r="B16" i="2"/>
  <c r="A16" i="2"/>
  <c r="C15" i="2"/>
  <c r="AA15" i="2" s="1"/>
  <c r="B15" i="2"/>
  <c r="A15" i="2"/>
  <c r="C14" i="2"/>
  <c r="B14" i="2"/>
  <c r="A14" i="2"/>
  <c r="C13" i="2"/>
  <c r="AA13" i="2" s="1"/>
  <c r="B13" i="2"/>
  <c r="A13" i="2"/>
  <c r="C12" i="2"/>
  <c r="S12" i="2" s="1"/>
  <c r="B12" i="2"/>
  <c r="A12" i="2"/>
  <c r="C11" i="2"/>
  <c r="B11" i="2"/>
  <c r="A11" i="2"/>
  <c r="C10" i="2"/>
  <c r="N10" i="2" s="1"/>
  <c r="B10" i="2"/>
  <c r="A10" i="2"/>
  <c r="C9" i="2"/>
  <c r="O9" i="2" s="1"/>
  <c r="B9" i="2"/>
  <c r="A9" i="2"/>
  <c r="C8" i="2"/>
  <c r="AA8" i="2" s="1"/>
  <c r="B8" i="2"/>
  <c r="A8" i="2"/>
  <c r="C7" i="2"/>
  <c r="B7" i="2"/>
  <c r="A7" i="2"/>
  <c r="E37" i="1"/>
  <c r="E32" i="1"/>
  <c r="E29" i="1"/>
  <c r="E26" i="1"/>
  <c r="E23" i="1"/>
  <c r="E18" i="1"/>
  <c r="G15" i="3"/>
  <c r="F15" i="3"/>
  <c r="G14" i="3"/>
  <c r="F14" i="3"/>
  <c r="G13" i="3"/>
  <c r="F13" i="3"/>
  <c r="G12" i="3"/>
  <c r="F12" i="3"/>
  <c r="G11" i="3"/>
  <c r="F11" i="3"/>
  <c r="G10" i="3"/>
  <c r="F10" i="3"/>
  <c r="G9" i="3"/>
  <c r="F9" i="3"/>
  <c r="G8" i="3"/>
  <c r="F8" i="3"/>
  <c r="G7" i="3"/>
  <c r="F7" i="3"/>
  <c r="G6" i="3"/>
  <c r="F6" i="3"/>
  <c r="G5" i="3"/>
  <c r="F5" i="3"/>
  <c r="G2" i="3"/>
  <c r="O189" i="2" l="1"/>
  <c r="H332" i="2"/>
  <c r="AA332" i="2"/>
  <c r="J452" i="2"/>
  <c r="K452" i="2"/>
  <c r="M345" i="2"/>
  <c r="W345" i="2"/>
  <c r="P452" i="2"/>
  <c r="Y189" i="2"/>
  <c r="AA357" i="2"/>
  <c r="W384" i="2"/>
  <c r="N431" i="2"/>
  <c r="J292" i="2"/>
  <c r="AF357" i="2"/>
  <c r="J424" i="2"/>
  <c r="AD292" i="2"/>
  <c r="R424" i="2"/>
  <c r="Q199" i="2"/>
  <c r="U345" i="2"/>
  <c r="Q190" i="2"/>
  <c r="W424" i="2"/>
  <c r="X443" i="2"/>
  <c r="R322" i="2"/>
  <c r="Z379" i="2"/>
  <c r="M410" i="2"/>
  <c r="X424" i="2"/>
  <c r="O410" i="2"/>
  <c r="AD410" i="2"/>
  <c r="O67" i="2"/>
  <c r="X67" i="2"/>
  <c r="G281" i="2"/>
  <c r="AG338" i="2"/>
  <c r="AB205" i="2"/>
  <c r="AG36" i="2"/>
  <c r="Y67" i="2"/>
  <c r="N207" i="2"/>
  <c r="G316" i="2"/>
  <c r="AG227" i="2"/>
  <c r="Q263" i="2"/>
  <c r="AD286" i="2"/>
  <c r="W238" i="2"/>
  <c r="G212" i="2"/>
  <c r="X311" i="2"/>
  <c r="X414" i="2"/>
  <c r="AB414" i="2"/>
  <c r="X149" i="2"/>
  <c r="AA160" i="2"/>
  <c r="AD190" i="2"/>
  <c r="AF309" i="2"/>
  <c r="O327" i="2"/>
  <c r="U244" i="2"/>
  <c r="U327" i="2"/>
  <c r="AC154" i="2"/>
  <c r="AC233" i="2"/>
  <c r="H302" i="2"/>
  <c r="AB327" i="2"/>
  <c r="N341" i="2"/>
  <c r="AG327" i="2"/>
  <c r="AE121" i="2"/>
  <c r="J163" i="2"/>
  <c r="W79" i="2"/>
  <c r="AB79" i="2"/>
  <c r="V24" i="2"/>
  <c r="W91" i="2"/>
  <c r="Z24" i="2"/>
  <c r="W50" i="2"/>
  <c r="S154" i="2"/>
  <c r="AB24" i="2"/>
  <c r="AG139" i="2"/>
  <c r="AG24" i="2"/>
  <c r="AA10" i="2"/>
  <c r="AB36" i="2"/>
  <c r="L18" i="2"/>
  <c r="AF36" i="2"/>
  <c r="K372" i="2"/>
  <c r="Z410" i="2"/>
  <c r="V443" i="2"/>
  <c r="I457" i="2"/>
  <c r="K219" i="2"/>
  <c r="Z248" i="2"/>
  <c r="E280" i="2"/>
  <c r="J294" i="2"/>
  <c r="E318" i="2"/>
  <c r="M339" i="2"/>
  <c r="V367" i="2"/>
  <c r="J370" i="2"/>
  <c r="L401" i="2"/>
  <c r="F412" i="2"/>
  <c r="M420" i="2"/>
  <c r="P440" i="2"/>
  <c r="G21" i="2"/>
  <c r="T87" i="2"/>
  <c r="K103" i="2"/>
  <c r="T182" i="2"/>
  <c r="K21" i="2"/>
  <c r="Q50" i="2"/>
  <c r="P79" i="2"/>
  <c r="R82" i="2"/>
  <c r="AB87" i="2"/>
  <c r="AA92" i="2"/>
  <c r="V103" i="2"/>
  <c r="AE198" i="2"/>
  <c r="M219" i="2"/>
  <c r="K280" i="2"/>
  <c r="E292" i="2"/>
  <c r="N294" i="2"/>
  <c r="L318" i="2"/>
  <c r="Y367" i="2"/>
  <c r="U370" i="2"/>
  <c r="J384" i="2"/>
  <c r="R410" i="2"/>
  <c r="H412" i="2"/>
  <c r="N417" i="2"/>
  <c r="AG198" i="2"/>
  <c r="Q219" i="2"/>
  <c r="O280" i="2"/>
  <c r="J286" i="2"/>
  <c r="G292" i="2"/>
  <c r="P294" i="2"/>
  <c r="K309" i="2"/>
  <c r="M318" i="2"/>
  <c r="S384" i="2"/>
  <c r="U410" i="2"/>
  <c r="W412" i="2"/>
  <c r="AG417" i="2"/>
  <c r="E190" i="2"/>
  <c r="U219" i="2"/>
  <c r="T280" i="2"/>
  <c r="M286" i="2"/>
  <c r="H292" i="2"/>
  <c r="U294" i="2"/>
  <c r="R309" i="2"/>
  <c r="N318" i="2"/>
  <c r="V384" i="2"/>
  <c r="V410" i="2"/>
  <c r="X412" i="2"/>
  <c r="Z219" i="2"/>
  <c r="H249" i="2"/>
  <c r="AA260" i="2"/>
  <c r="H267" i="2"/>
  <c r="Z280" i="2"/>
  <c r="U318" i="2"/>
  <c r="G388" i="2"/>
  <c r="AA399" i="2"/>
  <c r="S406" i="2"/>
  <c r="K190" i="2"/>
  <c r="K199" i="2"/>
  <c r="T205" i="2"/>
  <c r="AD235" i="2"/>
  <c r="J267" i="2"/>
  <c r="AC280" i="2"/>
  <c r="W318" i="2"/>
  <c r="R321" i="2"/>
  <c r="AD388" i="2"/>
  <c r="Y406" i="2"/>
  <c r="K435" i="2"/>
  <c r="K449" i="2"/>
  <c r="L17" i="2"/>
  <c r="P22" i="2"/>
  <c r="AF46" i="2"/>
  <c r="R87" i="2"/>
  <c r="X143" i="2"/>
  <c r="J219" i="2"/>
  <c r="L21" i="2"/>
  <c r="W103" i="2"/>
  <c r="I12" i="2"/>
  <c r="N21" i="2"/>
  <c r="G86" i="2"/>
  <c r="L12" i="2"/>
  <c r="S21" i="2"/>
  <c r="J86" i="2"/>
  <c r="I91" i="2"/>
  <c r="P172" i="2"/>
  <c r="I190" i="2"/>
  <c r="X219" i="2"/>
  <c r="V280" i="2"/>
  <c r="R318" i="2"/>
  <c r="T12" i="2"/>
  <c r="W21" i="2"/>
  <c r="K24" i="2"/>
  <c r="O86" i="2"/>
  <c r="J91" i="2"/>
  <c r="K139" i="2"/>
  <c r="J190" i="2"/>
  <c r="S205" i="2"/>
  <c r="X21" i="2"/>
  <c r="O24" i="2"/>
  <c r="AF30" i="2"/>
  <c r="Z48" i="2"/>
  <c r="X59" i="2"/>
  <c r="T69" i="2"/>
  <c r="R86" i="2"/>
  <c r="M91" i="2"/>
  <c r="O139" i="2"/>
  <c r="P24" i="2"/>
  <c r="V91" i="2"/>
  <c r="S166" i="2"/>
  <c r="N190" i="2"/>
  <c r="E212" i="2"/>
  <c r="J233" i="2"/>
  <c r="Q267" i="2"/>
  <c r="AA318" i="2"/>
  <c r="AG388" i="2"/>
  <c r="F410" i="2"/>
  <c r="I416" i="2"/>
  <c r="AB422" i="2"/>
  <c r="T435" i="2"/>
  <c r="P233" i="2"/>
  <c r="AG318" i="2"/>
  <c r="H410" i="2"/>
  <c r="AA416" i="2"/>
  <c r="AD422" i="2"/>
  <c r="Y435" i="2"/>
  <c r="V89" i="2"/>
  <c r="X91" i="2"/>
  <c r="P143" i="2"/>
  <c r="AF146" i="2"/>
  <c r="R163" i="2"/>
  <c r="S170" i="2"/>
  <c r="R190" i="2"/>
  <c r="P203" i="2"/>
  <c r="N212" i="2"/>
  <c r="H219" i="2"/>
  <c r="N224" i="2"/>
  <c r="E227" i="2"/>
  <c r="Q233" i="2"/>
  <c r="AG291" i="2"/>
  <c r="U314" i="2"/>
  <c r="W376" i="2"/>
  <c r="I410" i="2"/>
  <c r="AG416" i="2"/>
  <c r="Z190" i="2"/>
  <c r="S203" i="2"/>
  <c r="I219" i="2"/>
  <c r="Y224" i="2"/>
  <c r="K227" i="2"/>
  <c r="W233" i="2"/>
  <c r="J410" i="2"/>
  <c r="W19" i="2"/>
  <c r="R159" i="2"/>
  <c r="F165" i="2"/>
  <c r="Z181" i="2"/>
  <c r="E184" i="2"/>
  <c r="AG283" i="2"/>
  <c r="M283" i="2"/>
  <c r="X394" i="2"/>
  <c r="U394" i="2"/>
  <c r="P394" i="2"/>
  <c r="F394" i="2"/>
  <c r="AD98" i="2"/>
  <c r="H139" i="2"/>
  <c r="Y139" i="2"/>
  <c r="X139" i="2"/>
  <c r="R139" i="2"/>
  <c r="T139" i="2"/>
  <c r="G139" i="2"/>
  <c r="H153" i="2"/>
  <c r="N153" i="2"/>
  <c r="AB153" i="2"/>
  <c r="U159" i="2"/>
  <c r="L165" i="2"/>
  <c r="AA181" i="2"/>
  <c r="Q184" i="2"/>
  <c r="L283" i="2"/>
  <c r="AF22" i="2"/>
  <c r="U150" i="2"/>
  <c r="G150" i="2"/>
  <c r="O165" i="2"/>
  <c r="K214" i="2"/>
  <c r="J214" i="2"/>
  <c r="AA343" i="2"/>
  <c r="S343" i="2"/>
  <c r="P343" i="2"/>
  <c r="AE444" i="2"/>
  <c r="AF444" i="2"/>
  <c r="R444" i="2"/>
  <c r="Q17" i="2"/>
  <c r="AD22" i="2"/>
  <c r="AE72" i="2"/>
  <c r="AB72" i="2"/>
  <c r="N72" i="2"/>
  <c r="O72" i="2"/>
  <c r="AC17" i="2"/>
  <c r="AA19" i="2"/>
  <c r="AC19" i="2"/>
  <c r="J72" i="2"/>
  <c r="AE19" i="2"/>
  <c r="I36" i="2"/>
  <c r="Q36" i="2"/>
  <c r="P36" i="2"/>
  <c r="J36" i="2"/>
  <c r="AF67" i="2"/>
  <c r="AE67" i="2"/>
  <c r="AC67" i="2"/>
  <c r="U69" i="2"/>
  <c r="K72" i="2"/>
  <c r="J87" i="2"/>
  <c r="AG87" i="2"/>
  <c r="N139" i="2"/>
  <c r="AB150" i="2"/>
  <c r="Q165" i="2"/>
  <c r="R192" i="2"/>
  <c r="J196" i="2"/>
  <c r="Q196" i="2"/>
  <c r="AF199" i="2"/>
  <c r="U199" i="2"/>
  <c r="Z199" i="2"/>
  <c r="P205" i="2"/>
  <c r="J205" i="2"/>
  <c r="F205" i="2"/>
  <c r="G205" i="2"/>
  <c r="AA205" i="2"/>
  <c r="E214" i="2"/>
  <c r="W244" i="2"/>
  <c r="Y248" i="2"/>
  <c r="L248" i="2"/>
  <c r="E248" i="2"/>
  <c r="I248" i="2"/>
  <c r="I313" i="2"/>
  <c r="S165" i="2"/>
  <c r="U234" i="2"/>
  <c r="Q234" i="2"/>
  <c r="G234" i="2"/>
  <c r="Y251" i="2"/>
  <c r="R251" i="2"/>
  <c r="P251" i="2"/>
  <c r="N251" i="2"/>
  <c r="Z279" i="2"/>
  <c r="Y279" i="2"/>
  <c r="F279" i="2"/>
  <c r="L350" i="2"/>
  <c r="I350" i="2"/>
  <c r="M72" i="2"/>
  <c r="E10" i="2"/>
  <c r="AE18" i="2"/>
  <c r="P18" i="2"/>
  <c r="O50" i="2"/>
  <c r="AC86" i="2"/>
  <c r="X86" i="2"/>
  <c r="S86" i="2"/>
  <c r="V86" i="2"/>
  <c r="P103" i="2"/>
  <c r="O103" i="2"/>
  <c r="L103" i="2"/>
  <c r="M103" i="2"/>
  <c r="N121" i="2"/>
  <c r="P139" i="2"/>
  <c r="H154" i="2"/>
  <c r="V154" i="2"/>
  <c r="V160" i="2"/>
  <c r="AE214" i="2"/>
  <c r="AG234" i="2"/>
  <c r="M251" i="2"/>
  <c r="S382" i="2"/>
  <c r="L382" i="2"/>
  <c r="W184" i="2"/>
  <c r="AG184" i="2"/>
  <c r="AB184" i="2"/>
  <c r="V184" i="2"/>
  <c r="Z184" i="2"/>
  <c r="P10" i="2"/>
  <c r="W151" i="2"/>
  <c r="K151" i="2"/>
  <c r="F151" i="2"/>
  <c r="G151" i="2"/>
  <c r="AG272" i="2"/>
  <c r="X272" i="2"/>
  <c r="U272" i="2"/>
  <c r="Q272" i="2"/>
  <c r="L300" i="2"/>
  <c r="J300" i="2"/>
  <c r="G300" i="2"/>
  <c r="I143" i="2"/>
  <c r="AA143" i="2"/>
  <c r="M143" i="2"/>
  <c r="AF151" i="2"/>
  <c r="AB259" i="2"/>
  <c r="I272" i="2"/>
  <c r="I155" i="2"/>
  <c r="X155" i="2"/>
  <c r="G155" i="2"/>
  <c r="L155" i="2"/>
  <c r="H145" i="2"/>
  <c r="I145" i="2"/>
  <c r="Y413" i="2"/>
  <c r="S413" i="2"/>
  <c r="O413" i="2"/>
  <c r="N413" i="2"/>
  <c r="K413" i="2"/>
  <c r="I413" i="2"/>
  <c r="T10" i="2"/>
  <c r="T50" i="2"/>
  <c r="AC65" i="2"/>
  <c r="Z65" i="2"/>
  <c r="X65" i="2"/>
  <c r="Y10" i="2"/>
  <c r="O18" i="2"/>
  <c r="V50" i="2"/>
  <c r="K65" i="2"/>
  <c r="AE73" i="2"/>
  <c r="L86" i="2"/>
  <c r="J143" i="2"/>
  <c r="AC145" i="2"/>
  <c r="W158" i="2"/>
  <c r="AA158" i="2"/>
  <c r="AA189" i="2"/>
  <c r="P17" i="2"/>
  <c r="N17" i="2"/>
  <c r="M17" i="2"/>
  <c r="AG126" i="2"/>
  <c r="AB126" i="2"/>
  <c r="Q126" i="2"/>
  <c r="T126" i="2"/>
  <c r="G170" i="2"/>
  <c r="R170" i="2"/>
  <c r="L297" i="2"/>
  <c r="I297" i="2"/>
  <c r="O393" i="2"/>
  <c r="Y393" i="2"/>
  <c r="X393" i="2"/>
  <c r="K17" i="2"/>
  <c r="AG21" i="2"/>
  <c r="AD21" i="2"/>
  <c r="O22" i="2"/>
  <c r="P86" i="2"/>
  <c r="Z119" i="2"/>
  <c r="G126" i="2"/>
  <c r="S143" i="2"/>
  <c r="H170" i="2"/>
  <c r="O206" i="2"/>
  <c r="R206" i="2"/>
  <c r="X263" i="2"/>
  <c r="N332" i="2"/>
  <c r="Y401" i="2"/>
  <c r="AF422" i="2"/>
  <c r="AE431" i="2"/>
  <c r="Y263" i="2"/>
  <c r="W280" i="2"/>
  <c r="AB299" i="2"/>
  <c r="S332" i="2"/>
  <c r="E388" i="2"/>
  <c r="AA401" i="2"/>
  <c r="AG422" i="2"/>
  <c r="Y443" i="2"/>
  <c r="U446" i="2"/>
  <c r="L219" i="2"/>
  <c r="F233" i="2"/>
  <c r="AB263" i="2"/>
  <c r="X280" i="2"/>
  <c r="G309" i="2"/>
  <c r="V332" i="2"/>
  <c r="X338" i="2"/>
  <c r="Z332" i="2"/>
  <c r="I399" i="2"/>
  <c r="S417" i="2"/>
  <c r="S435" i="2"/>
  <c r="AC309" i="2"/>
  <c r="AB332" i="2"/>
  <c r="E117" i="2"/>
  <c r="O146" i="2"/>
  <c r="Y219" i="2"/>
  <c r="AF222" i="2"/>
  <c r="M235" i="2"/>
  <c r="I280" i="2"/>
  <c r="AG312" i="2"/>
  <c r="I325" i="2"/>
  <c r="M331" i="2"/>
  <c r="AE392" i="2"/>
  <c r="E397" i="2"/>
  <c r="T406" i="2"/>
  <c r="P416" i="2"/>
  <c r="Q454" i="2"/>
  <c r="AF38" i="2"/>
  <c r="F117" i="2"/>
  <c r="AC146" i="2"/>
  <c r="P235" i="2"/>
  <c r="J24" i="2"/>
  <c r="T59" i="2"/>
  <c r="O79" i="2"/>
  <c r="G117" i="2"/>
  <c r="AD146" i="2"/>
  <c r="L287" i="2"/>
  <c r="Z406" i="2"/>
  <c r="AE410" i="2"/>
  <c r="AD416" i="2"/>
  <c r="J422" i="2"/>
  <c r="L424" i="2"/>
  <c r="P436" i="2"/>
  <c r="Q443" i="2"/>
  <c r="G452" i="2"/>
  <c r="S454" i="2"/>
  <c r="S443" i="2"/>
  <c r="H452" i="2"/>
  <c r="O29" i="2"/>
  <c r="AA29" i="2"/>
  <c r="Z29" i="2"/>
  <c r="J138" i="2"/>
  <c r="E13" i="2"/>
  <c r="F142" i="2"/>
  <c r="G187" i="2"/>
  <c r="H30" i="2"/>
  <c r="M210" i="2"/>
  <c r="AG377" i="2"/>
  <c r="AF377" i="2"/>
  <c r="Y377" i="2"/>
  <c r="AE43" i="2"/>
  <c r="I43" i="2"/>
  <c r="H43" i="2"/>
  <c r="E142" i="2"/>
  <c r="G30" i="2"/>
  <c r="W26" i="2"/>
  <c r="P257" i="2"/>
  <c r="AE257" i="2"/>
  <c r="O257" i="2"/>
  <c r="N257" i="2"/>
  <c r="AG147" i="2"/>
  <c r="AD147" i="2"/>
  <c r="AE120" i="2"/>
  <c r="J120" i="2"/>
  <c r="I120" i="2"/>
  <c r="AC187" i="2"/>
  <c r="L187" i="2"/>
  <c r="AG187" i="2"/>
  <c r="J187" i="2"/>
  <c r="P147" i="2"/>
  <c r="O120" i="2"/>
  <c r="I136" i="2"/>
  <c r="S102" i="2"/>
  <c r="N161" i="2"/>
  <c r="AF19" i="2"/>
  <c r="S19" i="2"/>
  <c r="O19" i="2"/>
  <c r="Q85" i="2"/>
  <c r="V102" i="2"/>
  <c r="U377" i="2"/>
  <c r="AG96" i="2"/>
  <c r="Z96" i="2"/>
  <c r="AA96" i="2"/>
  <c r="I29" i="2"/>
  <c r="E19" i="2"/>
  <c r="AC120" i="2"/>
  <c r="H13" i="2"/>
  <c r="Y138" i="2"/>
  <c r="M29" i="2"/>
  <c r="AE84" i="2"/>
  <c r="AA84" i="2"/>
  <c r="R84" i="2"/>
  <c r="Q84" i="2"/>
  <c r="S164" i="2"/>
  <c r="E164" i="2"/>
  <c r="Z164" i="2"/>
  <c r="X164" i="2"/>
  <c r="Y164" i="2"/>
  <c r="K164" i="2"/>
  <c r="H26" i="2"/>
  <c r="E112" i="2"/>
  <c r="G29" i="2"/>
  <c r="AF83" i="2"/>
  <c r="P102" i="2"/>
  <c r="AE102" i="2"/>
  <c r="F112" i="2"/>
  <c r="G120" i="2"/>
  <c r="K138" i="2"/>
  <c r="L140" i="2"/>
  <c r="AF167" i="2"/>
  <c r="T167" i="2"/>
  <c r="AD173" i="2"/>
  <c r="N173" i="2"/>
  <c r="AA173" i="2"/>
  <c r="AB173" i="2"/>
  <c r="Z173" i="2"/>
  <c r="U173" i="2"/>
  <c r="Y173" i="2"/>
  <c r="M173" i="2"/>
  <c r="F13" i="2"/>
  <c r="I42" i="2"/>
  <c r="H42" i="2"/>
  <c r="K43" i="2"/>
  <c r="S81" i="2"/>
  <c r="S112" i="2"/>
  <c r="H130" i="2"/>
  <c r="L43" i="2"/>
  <c r="G45" i="2"/>
  <c r="K70" i="2"/>
  <c r="J70" i="2"/>
  <c r="U120" i="2"/>
  <c r="J130" i="2"/>
  <c r="O136" i="2"/>
  <c r="S142" i="2"/>
  <c r="K173" i="2"/>
  <c r="K13" i="2"/>
  <c r="X81" i="2"/>
  <c r="Z97" i="2"/>
  <c r="AB120" i="2"/>
  <c r="K130" i="2"/>
  <c r="N187" i="2"/>
  <c r="N204" i="2"/>
  <c r="U207" i="2"/>
  <c r="Z13" i="2"/>
  <c r="N29" i="2"/>
  <c r="Z50" i="2"/>
  <c r="W102" i="2"/>
  <c r="U130" i="2"/>
  <c r="AG136" i="2"/>
  <c r="AE138" i="2"/>
  <c r="AG371" i="2"/>
  <c r="Y371" i="2"/>
  <c r="F19" i="2"/>
  <c r="Q23" i="2"/>
  <c r="X30" i="2"/>
  <c r="V42" i="2"/>
  <c r="Y45" i="2"/>
  <c r="I81" i="2"/>
  <c r="U81" i="2"/>
  <c r="J81" i="2"/>
  <c r="H81" i="2"/>
  <c r="L239" i="2"/>
  <c r="I239" i="2"/>
  <c r="AD239" i="2"/>
  <c r="AC239" i="2"/>
  <c r="AB239" i="2"/>
  <c r="X239" i="2"/>
  <c r="Q239" i="2"/>
  <c r="N239" i="2"/>
  <c r="K239" i="2"/>
  <c r="P13" i="2"/>
  <c r="X13" i="2"/>
  <c r="U13" i="2"/>
  <c r="N81" i="2"/>
  <c r="K140" i="2"/>
  <c r="M147" i="2"/>
  <c r="AB200" i="2"/>
  <c r="R200" i="2"/>
  <c r="P200" i="2"/>
  <c r="M200" i="2"/>
  <c r="G239" i="2"/>
  <c r="I26" i="2"/>
  <c r="U63" i="2"/>
  <c r="AD124" i="2"/>
  <c r="N124" i="2"/>
  <c r="J239" i="2"/>
  <c r="X271" i="2"/>
  <c r="P271" i="2"/>
  <c r="G271" i="2"/>
  <c r="F271" i="2"/>
  <c r="E271" i="2"/>
  <c r="AG271" i="2"/>
  <c r="Y271" i="2"/>
  <c r="W271" i="2"/>
  <c r="U271" i="2"/>
  <c r="S271" i="2"/>
  <c r="R271" i="2"/>
  <c r="I271" i="2"/>
  <c r="T90" i="2"/>
  <c r="Q90" i="2"/>
  <c r="M90" i="2"/>
  <c r="K118" i="2"/>
  <c r="J118" i="2"/>
  <c r="M124" i="2"/>
  <c r="Q138" i="2"/>
  <c r="J142" i="2"/>
  <c r="Z147" i="2"/>
  <c r="Z26" i="2"/>
  <c r="K29" i="2"/>
  <c r="I30" i="2"/>
  <c r="F42" i="2"/>
  <c r="T81" i="2"/>
  <c r="K187" i="2"/>
  <c r="P204" i="2"/>
  <c r="W204" i="2"/>
  <c r="X231" i="2"/>
  <c r="J231" i="2"/>
  <c r="S231" i="2"/>
  <c r="P231" i="2"/>
  <c r="N231" i="2"/>
  <c r="L231" i="2"/>
  <c r="K231" i="2"/>
  <c r="I231" i="2"/>
  <c r="AE231" i="2"/>
  <c r="H231" i="2"/>
  <c r="AD231" i="2"/>
  <c r="G231" i="2"/>
  <c r="AC9" i="2"/>
  <c r="J30" i="2"/>
  <c r="K42" i="2"/>
  <c r="R43" i="2"/>
  <c r="O45" i="2"/>
  <c r="AG50" i="2"/>
  <c r="AB50" i="2"/>
  <c r="J50" i="2"/>
  <c r="AA50" i="2"/>
  <c r="I50" i="2"/>
  <c r="X50" i="2"/>
  <c r="W90" i="2"/>
  <c r="S116" i="2"/>
  <c r="G116" i="2"/>
  <c r="V118" i="2"/>
  <c r="AC136" i="2"/>
  <c r="AB138" i="2"/>
  <c r="AD141" i="2"/>
  <c r="R141" i="2"/>
  <c r="Q141" i="2"/>
  <c r="P141" i="2"/>
  <c r="W142" i="2"/>
  <c r="Z161" i="2"/>
  <c r="O173" i="2"/>
  <c r="T243" i="2"/>
  <c r="K257" i="2"/>
  <c r="O23" i="2"/>
  <c r="K30" i="2"/>
  <c r="O42" i="2"/>
  <c r="X43" i="2"/>
  <c r="Q45" i="2"/>
  <c r="F50" i="2"/>
  <c r="R70" i="2"/>
  <c r="E84" i="2"/>
  <c r="AB90" i="2"/>
  <c r="AB91" i="2"/>
  <c r="AE113" i="2"/>
  <c r="Z113" i="2"/>
  <c r="F116" i="2"/>
  <c r="O122" i="2"/>
  <c r="G141" i="2"/>
  <c r="F164" i="2"/>
  <c r="P173" i="2"/>
  <c r="R185" i="2"/>
  <c r="AC185" i="2"/>
  <c r="AE185" i="2"/>
  <c r="Y231" i="2"/>
  <c r="Z240" i="2"/>
  <c r="X275" i="2"/>
  <c r="AE275" i="2"/>
  <c r="I275" i="2"/>
  <c r="Y275" i="2"/>
  <c r="T275" i="2"/>
  <c r="R275" i="2"/>
  <c r="Q275" i="2"/>
  <c r="Z275" i="2"/>
  <c r="V275" i="2"/>
  <c r="N275" i="2"/>
  <c r="L275" i="2"/>
  <c r="K275" i="2"/>
  <c r="J275" i="2"/>
  <c r="H275" i="2"/>
  <c r="E275" i="2"/>
  <c r="F290" i="2"/>
  <c r="P29" i="2"/>
  <c r="Y43" i="2"/>
  <c r="AF48" i="2"/>
  <c r="AA48" i="2"/>
  <c r="AD50" i="2"/>
  <c r="V70" i="2"/>
  <c r="U74" i="2"/>
  <c r="J74" i="2"/>
  <c r="I84" i="2"/>
  <c r="AC88" i="2"/>
  <c r="Y88" i="2"/>
  <c r="AC90" i="2"/>
  <c r="AA101" i="2"/>
  <c r="AE101" i="2"/>
  <c r="X102" i="2"/>
  <c r="R113" i="2"/>
  <c r="AG120" i="2"/>
  <c r="Y122" i="2"/>
  <c r="AD130" i="2"/>
  <c r="N141" i="2"/>
  <c r="R148" i="2"/>
  <c r="U164" i="2"/>
  <c r="Y185" i="2"/>
  <c r="S198" i="2"/>
  <c r="AD198" i="2"/>
  <c r="W198" i="2"/>
  <c r="P198" i="2"/>
  <c r="N198" i="2"/>
  <c r="L198" i="2"/>
  <c r="K198" i="2"/>
  <c r="H198" i="2"/>
  <c r="AF198" i="2"/>
  <c r="Y204" i="2"/>
  <c r="F223" i="2"/>
  <c r="AB231" i="2"/>
  <c r="AF247" i="2"/>
  <c r="T247" i="2"/>
  <c r="S247" i="2"/>
  <c r="R247" i="2"/>
  <c r="N247" i="2"/>
  <c r="G247" i="2"/>
  <c r="F247" i="2"/>
  <c r="E247" i="2"/>
  <c r="AC275" i="2"/>
  <c r="U375" i="2"/>
  <c r="G375" i="2"/>
  <c r="AE375" i="2"/>
  <c r="V375" i="2"/>
  <c r="O375" i="2"/>
  <c r="AB13" i="2"/>
  <c r="X18" i="2"/>
  <c r="AA18" i="2"/>
  <c r="S18" i="2"/>
  <c r="H19" i="2"/>
  <c r="S29" i="2"/>
  <c r="Z30" i="2"/>
  <c r="F36" i="2"/>
  <c r="AC40" i="2"/>
  <c r="X42" i="2"/>
  <c r="AA43" i="2"/>
  <c r="AG45" i="2"/>
  <c r="I48" i="2"/>
  <c r="H50" i="2"/>
  <c r="AE50" i="2"/>
  <c r="E67" i="2"/>
  <c r="AC70" i="2"/>
  <c r="I74" i="2"/>
  <c r="M84" i="2"/>
  <c r="F101" i="2"/>
  <c r="AC102" i="2"/>
  <c r="Y113" i="2"/>
  <c r="S141" i="2"/>
  <c r="V148" i="2"/>
  <c r="N160" i="2"/>
  <c r="AG160" i="2"/>
  <c r="AC160" i="2"/>
  <c r="O160" i="2"/>
  <c r="V164" i="2"/>
  <c r="AC166" i="2"/>
  <c r="AF166" i="2"/>
  <c r="W166" i="2"/>
  <c r="AA166" i="2"/>
  <c r="J166" i="2"/>
  <c r="G198" i="2"/>
  <c r="Y220" i="2"/>
  <c r="AC231" i="2"/>
  <c r="AG275" i="2"/>
  <c r="AD279" i="2"/>
  <c r="S279" i="2"/>
  <c r="M279" i="2"/>
  <c r="AG279" i="2"/>
  <c r="K279" i="2"/>
  <c r="AE279" i="2"/>
  <c r="J279" i="2"/>
  <c r="AC279" i="2"/>
  <c r="I279" i="2"/>
  <c r="X279" i="2"/>
  <c r="W279" i="2"/>
  <c r="V279" i="2"/>
  <c r="U279" i="2"/>
  <c r="Q279" i="2"/>
  <c r="L279" i="2"/>
  <c r="H279" i="2"/>
  <c r="G279" i="2"/>
  <c r="AE13" i="2"/>
  <c r="X17" i="2"/>
  <c r="AA17" i="2"/>
  <c r="Z17" i="2"/>
  <c r="I18" i="2"/>
  <c r="J19" i="2"/>
  <c r="AB29" i="2"/>
  <c r="AD40" i="2"/>
  <c r="AA42" i="2"/>
  <c r="AF43" i="2"/>
  <c r="K48" i="2"/>
  <c r="K50" i="2"/>
  <c r="H65" i="2"/>
  <c r="G67" i="2"/>
  <c r="AE70" i="2"/>
  <c r="T74" i="2"/>
  <c r="P84" i="2"/>
  <c r="R98" i="2"/>
  <c r="L101" i="2"/>
  <c r="S111" i="2"/>
  <c r="I119" i="2"/>
  <c r="AE126" i="2"/>
  <c r="X126" i="2"/>
  <c r="O126" i="2"/>
  <c r="M126" i="2"/>
  <c r="AC141" i="2"/>
  <c r="Z151" i="2"/>
  <c r="Y151" i="2"/>
  <c r="M160" i="2"/>
  <c r="I166" i="2"/>
  <c r="Q198" i="2"/>
  <c r="X255" i="2"/>
  <c r="AC255" i="2"/>
  <c r="Y255" i="2"/>
  <c r="V255" i="2"/>
  <c r="U255" i="2"/>
  <c r="T255" i="2"/>
  <c r="J255" i="2"/>
  <c r="E279" i="2"/>
  <c r="I282" i="2"/>
  <c r="AD282" i="2"/>
  <c r="Z282" i="2"/>
  <c r="G43" i="2"/>
  <c r="Q81" i="2"/>
  <c r="AC42" i="2"/>
  <c r="L50" i="2"/>
  <c r="AF70" i="2"/>
  <c r="S84" i="2"/>
  <c r="K91" i="2"/>
  <c r="O91" i="2"/>
  <c r="S91" i="2"/>
  <c r="N91" i="2"/>
  <c r="AD121" i="2"/>
  <c r="AB121" i="2"/>
  <c r="P252" i="2"/>
  <c r="AG252" i="2"/>
  <c r="X252" i="2"/>
  <c r="Y326" i="2"/>
  <c r="H326" i="2"/>
  <c r="Q326" i="2"/>
  <c r="T30" i="2"/>
  <c r="P30" i="2"/>
  <c r="L30" i="2"/>
  <c r="T179" i="2"/>
  <c r="G179" i="2"/>
  <c r="O179" i="2"/>
  <c r="F179" i="2"/>
  <c r="O85" i="2"/>
  <c r="K19" i="2"/>
  <c r="AD29" i="2"/>
  <c r="AC30" i="2"/>
  <c r="L19" i="2"/>
  <c r="AE30" i="2"/>
  <c r="Q38" i="2"/>
  <c r="AD46" i="2"/>
  <c r="O46" i="2"/>
  <c r="N50" i="2"/>
  <c r="K67" i="2"/>
  <c r="H69" i="2"/>
  <c r="AG74" i="2"/>
  <c r="U84" i="2"/>
  <c r="T89" i="2"/>
  <c r="H91" i="2"/>
  <c r="X92" i="2"/>
  <c r="AC101" i="2"/>
  <c r="J121" i="2"/>
  <c r="AA131" i="2"/>
  <c r="I131" i="2"/>
  <c r="AE165" i="2"/>
  <c r="H165" i="2"/>
  <c r="AG165" i="2"/>
  <c r="AF165" i="2"/>
  <c r="AA165" i="2"/>
  <c r="U165" i="2"/>
  <c r="M165" i="2"/>
  <c r="AG189" i="2"/>
  <c r="AE189" i="2"/>
  <c r="R189" i="2"/>
  <c r="AC189" i="2"/>
  <c r="Q189" i="2"/>
  <c r="U198" i="2"/>
  <c r="T252" i="2"/>
  <c r="AE158" i="2"/>
  <c r="Q158" i="2"/>
  <c r="R235" i="2"/>
  <c r="J235" i="2"/>
  <c r="S251" i="2"/>
  <c r="V260" i="2"/>
  <c r="P260" i="2"/>
  <c r="AE300" i="2"/>
  <c r="O300" i="2"/>
  <c r="F300" i="2"/>
  <c r="Z300" i="2"/>
  <c r="V300" i="2"/>
  <c r="T300" i="2"/>
  <c r="Q300" i="2"/>
  <c r="P300" i="2"/>
  <c r="V251" i="2"/>
  <c r="AC355" i="2"/>
  <c r="H355" i="2"/>
  <c r="K386" i="2"/>
  <c r="S386" i="2"/>
  <c r="V397" i="2"/>
  <c r="R397" i="2"/>
  <c r="Q397" i="2"/>
  <c r="P397" i="2"/>
  <c r="J397" i="2"/>
  <c r="H397" i="2"/>
  <c r="AG397" i="2"/>
  <c r="AE397" i="2"/>
  <c r="AD397" i="2"/>
  <c r="Y397" i="2"/>
  <c r="T397" i="2"/>
  <c r="W289" i="2"/>
  <c r="Z289" i="2"/>
  <c r="U289" i="2"/>
  <c r="S289" i="2"/>
  <c r="J289" i="2"/>
  <c r="Z352" i="2"/>
  <c r="AD352" i="2"/>
  <c r="AB352" i="2"/>
  <c r="S352" i="2"/>
  <c r="Q352" i="2"/>
  <c r="J352" i="2"/>
  <c r="AC352" i="2"/>
  <c r="AD251" i="2"/>
  <c r="K251" i="2"/>
  <c r="AF251" i="2"/>
  <c r="J251" i="2"/>
  <c r="Z251" i="2"/>
  <c r="U293" i="2"/>
  <c r="AF293" i="2"/>
  <c r="AC293" i="2"/>
  <c r="W307" i="2"/>
  <c r="F307" i="2"/>
  <c r="AA352" i="2"/>
  <c r="V418" i="2"/>
  <c r="R418" i="2"/>
  <c r="P418" i="2"/>
  <c r="O418" i="2"/>
  <c r="M418" i="2"/>
  <c r="J418" i="2"/>
  <c r="I418" i="2"/>
  <c r="H418" i="2"/>
  <c r="AG418" i="2"/>
  <c r="AC418" i="2"/>
  <c r="AB418" i="2"/>
  <c r="V211" i="2"/>
  <c r="E211" i="2"/>
  <c r="Y211" i="2"/>
  <c r="Y86" i="2"/>
  <c r="K86" i="2"/>
  <c r="AD86" i="2"/>
  <c r="R103" i="2"/>
  <c r="X103" i="2"/>
  <c r="AF190" i="2"/>
  <c r="O193" i="2"/>
  <c r="V199" i="2"/>
  <c r="X199" i="2"/>
  <c r="S211" i="2"/>
  <c r="Y227" i="2"/>
  <c r="T235" i="2"/>
  <c r="E251" i="2"/>
  <c r="AB251" i="2"/>
  <c r="H281" i="2"/>
  <c r="N283" i="2"/>
  <c r="F289" i="2"/>
  <c r="J293" i="2"/>
  <c r="AC300" i="2"/>
  <c r="G307" i="2"/>
  <c r="AE352" i="2"/>
  <c r="V356" i="2"/>
  <c r="J356" i="2"/>
  <c r="F356" i="2"/>
  <c r="X356" i="2"/>
  <c r="AG379" i="2"/>
  <c r="W379" i="2"/>
  <c r="Y387" i="2"/>
  <c r="AB387" i="2"/>
  <c r="P387" i="2"/>
  <c r="L387" i="2"/>
  <c r="I387" i="2"/>
  <c r="H387" i="2"/>
  <c r="Z387" i="2"/>
  <c r="M387" i="2"/>
  <c r="F387" i="2"/>
  <c r="AA418" i="2"/>
  <c r="AB182" i="2"/>
  <c r="V182" i="2"/>
  <c r="I182" i="2"/>
  <c r="F12" i="2"/>
  <c r="F21" i="2"/>
  <c r="AA72" i="2"/>
  <c r="Z72" i="2"/>
  <c r="M79" i="2"/>
  <c r="E86" i="2"/>
  <c r="AF86" i="2"/>
  <c r="I103" i="2"/>
  <c r="M146" i="2"/>
  <c r="F150" i="2"/>
  <c r="N182" i="2"/>
  <c r="S193" i="2"/>
  <c r="G199" i="2"/>
  <c r="H205" i="2"/>
  <c r="N205" i="2"/>
  <c r="AC206" i="2"/>
  <c r="K206" i="2"/>
  <c r="U206" i="2"/>
  <c r="T211" i="2"/>
  <c r="S219" i="2"/>
  <c r="AB219" i="2"/>
  <c r="E219" i="2"/>
  <c r="AD219" i="2"/>
  <c r="AB227" i="2"/>
  <c r="R234" i="2"/>
  <c r="E234" i="2"/>
  <c r="X235" i="2"/>
  <c r="G251" i="2"/>
  <c r="AC251" i="2"/>
  <c r="J281" i="2"/>
  <c r="Y289" i="2"/>
  <c r="L293" i="2"/>
  <c r="K307" i="2"/>
  <c r="AD341" i="2"/>
  <c r="Q341" i="2"/>
  <c r="V379" i="2"/>
  <c r="O182" i="2"/>
  <c r="T190" i="2"/>
  <c r="P190" i="2"/>
  <c r="U193" i="2"/>
  <c r="U211" i="2"/>
  <c r="AD227" i="2"/>
  <c r="Y235" i="2"/>
  <c r="I251" i="2"/>
  <c r="AG251" i="2"/>
  <c r="AF267" i="2"/>
  <c r="AE267" i="2"/>
  <c r="V281" i="2"/>
  <c r="AC289" i="2"/>
  <c r="AF292" i="2"/>
  <c r="X292" i="2"/>
  <c r="AG292" i="2"/>
  <c r="AB292" i="2"/>
  <c r="Z292" i="2"/>
  <c r="S292" i="2"/>
  <c r="T293" i="2"/>
  <c r="P307" i="2"/>
  <c r="I382" i="2"/>
  <c r="T382" i="2"/>
  <c r="R382" i="2"/>
  <c r="G382" i="2"/>
  <c r="F382" i="2"/>
  <c r="E382" i="2"/>
  <c r="AB382" i="2"/>
  <c r="Y382" i="2"/>
  <c r="V382" i="2"/>
  <c r="G395" i="2"/>
  <c r="AE395" i="2"/>
  <c r="AA395" i="2"/>
  <c r="X395" i="2"/>
  <c r="V395" i="2"/>
  <c r="R395" i="2"/>
  <c r="N395" i="2"/>
  <c r="L395" i="2"/>
  <c r="K395" i="2"/>
  <c r="P182" i="2"/>
  <c r="AE227" i="2"/>
  <c r="E233" i="2"/>
  <c r="Y233" i="2"/>
  <c r="AB235" i="2"/>
  <c r="X249" i="2"/>
  <c r="G249" i="2"/>
  <c r="L251" i="2"/>
  <c r="AA293" i="2"/>
  <c r="AE307" i="2"/>
  <c r="Q388" i="2"/>
  <c r="AB388" i="2"/>
  <c r="V388" i="2"/>
  <c r="N388" i="2"/>
  <c r="J388" i="2"/>
  <c r="I388" i="2"/>
  <c r="P388" i="2"/>
  <c r="Z315" i="2"/>
  <c r="T315" i="2"/>
  <c r="AC338" i="2"/>
  <c r="V338" i="2"/>
  <c r="P338" i="2"/>
  <c r="N338" i="2"/>
  <c r="J338" i="2"/>
  <c r="Z353" i="2"/>
  <c r="W353" i="2"/>
  <c r="N392" i="2"/>
  <c r="W392" i="2"/>
  <c r="R392" i="2"/>
  <c r="Q392" i="2"/>
  <c r="P392" i="2"/>
  <c r="O392" i="2"/>
  <c r="M392" i="2"/>
  <c r="Z421" i="2"/>
  <c r="AD421" i="2"/>
  <c r="AB421" i="2"/>
  <c r="AA438" i="2"/>
  <c r="Z438" i="2"/>
  <c r="K438" i="2"/>
  <c r="Y438" i="2"/>
  <c r="J438" i="2"/>
  <c r="X438" i="2"/>
  <c r="I438" i="2"/>
  <c r="W438" i="2"/>
  <c r="H438" i="2"/>
  <c r="V438" i="2"/>
  <c r="G438" i="2"/>
  <c r="U438" i="2"/>
  <c r="F438" i="2"/>
  <c r="T438" i="2"/>
  <c r="E438" i="2"/>
  <c r="D438" i="2" s="1"/>
  <c r="Y313" i="2"/>
  <c r="AG313" i="2"/>
  <c r="V313" i="2"/>
  <c r="O313" i="2"/>
  <c r="H313" i="2"/>
  <c r="Y315" i="2"/>
  <c r="AG322" i="2"/>
  <c r="H322" i="2"/>
  <c r="H338" i="2"/>
  <c r="S353" i="2"/>
  <c r="AF363" i="2"/>
  <c r="O363" i="2"/>
  <c r="E392" i="2"/>
  <c r="AC402" i="2"/>
  <c r="AA402" i="2"/>
  <c r="U402" i="2"/>
  <c r="T402" i="2"/>
  <c r="L402" i="2"/>
  <c r="L421" i="2"/>
  <c r="Y448" i="2"/>
  <c r="AD448" i="2"/>
  <c r="V448" i="2"/>
  <c r="P448" i="2"/>
  <c r="O448" i="2"/>
  <c r="M448" i="2"/>
  <c r="P451" i="2"/>
  <c r="L458" i="2"/>
  <c r="G272" i="2"/>
  <c r="L291" i="2"/>
  <c r="G313" i="2"/>
  <c r="I322" i="2"/>
  <c r="F335" i="2"/>
  <c r="K338" i="2"/>
  <c r="G363" i="2"/>
  <c r="L392" i="2"/>
  <c r="AE394" i="2"/>
  <c r="E394" i="2"/>
  <c r="AG394" i="2"/>
  <c r="AB394" i="2"/>
  <c r="AA394" i="2"/>
  <c r="AD402" i="2"/>
  <c r="T412" i="2"/>
  <c r="V412" i="2"/>
  <c r="S412" i="2"/>
  <c r="P412" i="2"/>
  <c r="M412" i="2"/>
  <c r="L412" i="2"/>
  <c r="K412" i="2"/>
  <c r="AE412" i="2"/>
  <c r="I412" i="2"/>
  <c r="O421" i="2"/>
  <c r="W434" i="2"/>
  <c r="AC434" i="2"/>
  <c r="Z434" i="2"/>
  <c r="Y434" i="2"/>
  <c r="L438" i="2"/>
  <c r="L448" i="2"/>
  <c r="AA456" i="2"/>
  <c r="AD456" i="2"/>
  <c r="AC456" i="2"/>
  <c r="W456" i="2"/>
  <c r="V456" i="2"/>
  <c r="T456" i="2"/>
  <c r="G456" i="2"/>
  <c r="O338" i="2"/>
  <c r="R343" i="2"/>
  <c r="I343" i="2"/>
  <c r="S367" i="2"/>
  <c r="F367" i="2"/>
  <c r="V392" i="2"/>
  <c r="R421" i="2"/>
  <c r="AE432" i="2"/>
  <c r="O432" i="2"/>
  <c r="L432" i="2"/>
  <c r="K432" i="2"/>
  <c r="H432" i="2"/>
  <c r="G432" i="2"/>
  <c r="AF432" i="2"/>
  <c r="F432" i="2"/>
  <c r="Z432" i="2"/>
  <c r="E432" i="2"/>
  <c r="D432" i="2" s="1"/>
  <c r="M438" i="2"/>
  <c r="J272" i="2"/>
  <c r="R294" i="2"/>
  <c r="AG294" i="2"/>
  <c r="R299" i="2"/>
  <c r="T313" i="2"/>
  <c r="Q322" i="2"/>
  <c r="G331" i="2"/>
  <c r="U338" i="2"/>
  <c r="N343" i="2"/>
  <c r="F360" i="2"/>
  <c r="AD360" i="2"/>
  <c r="AC360" i="2"/>
  <c r="H367" i="2"/>
  <c r="X376" i="2"/>
  <c r="U376" i="2"/>
  <c r="Q376" i="2"/>
  <c r="O376" i="2"/>
  <c r="H381" i="2"/>
  <c r="Y381" i="2"/>
  <c r="Z392" i="2"/>
  <c r="H394" i="2"/>
  <c r="Y400" i="2"/>
  <c r="G412" i="2"/>
  <c r="S432" i="2"/>
  <c r="J434" i="2"/>
  <c r="N438" i="2"/>
  <c r="T432" i="2"/>
  <c r="N434" i="2"/>
  <c r="R438" i="2"/>
  <c r="W432" i="2"/>
  <c r="Q434" i="2"/>
  <c r="S438" i="2"/>
  <c r="AD457" i="2"/>
  <c r="AG457" i="2"/>
  <c r="U457" i="2"/>
  <c r="T457" i="2"/>
  <c r="S457" i="2"/>
  <c r="K457" i="2"/>
  <c r="J457" i="2"/>
  <c r="V427" i="2"/>
  <c r="T427" i="2"/>
  <c r="AF430" i="2"/>
  <c r="AB430" i="2"/>
  <c r="U430" i="2"/>
  <c r="M430" i="2"/>
  <c r="X432" i="2"/>
  <c r="AB438" i="2"/>
  <c r="AG343" i="2"/>
  <c r="AA358" i="2"/>
  <c r="O358" i="2"/>
  <c r="J358" i="2"/>
  <c r="I358" i="2"/>
  <c r="K384" i="2"/>
  <c r="E384" i="2"/>
  <c r="Y412" i="2"/>
  <c r="M427" i="2"/>
  <c r="Y432" i="2"/>
  <c r="AD438" i="2"/>
  <c r="H457" i="2"/>
  <c r="S427" i="2"/>
  <c r="AF438" i="2"/>
  <c r="AF450" i="2"/>
  <c r="AD450" i="2"/>
  <c r="AC450" i="2"/>
  <c r="Z450" i="2"/>
  <c r="L450" i="2"/>
  <c r="F450" i="2"/>
  <c r="AD412" i="2"/>
  <c r="AG438" i="2"/>
  <c r="AD332" i="2"/>
  <c r="AB410" i="2"/>
  <c r="Z413" i="2"/>
  <c r="AF424" i="2"/>
  <c r="AE443" i="2"/>
  <c r="AC413" i="2"/>
  <c r="AG443" i="2"/>
  <c r="F350" i="2"/>
  <c r="AD413" i="2"/>
  <c r="M417" i="2"/>
  <c r="H423" i="2"/>
  <c r="M436" i="2"/>
  <c r="E446" i="2"/>
  <c r="D446" i="2" s="1"/>
  <c r="AE413" i="2"/>
  <c r="K332" i="2"/>
  <c r="T350" i="2"/>
  <c r="I401" i="2"/>
  <c r="F413" i="2"/>
  <c r="G416" i="2"/>
  <c r="Q417" i="2"/>
  <c r="H443" i="2"/>
  <c r="I443" i="2"/>
  <c r="J413" i="2"/>
  <c r="O416" i="2"/>
  <c r="AD417" i="2"/>
  <c r="J435" i="2"/>
  <c r="J443" i="2"/>
  <c r="V452" i="2"/>
  <c r="V114" i="2"/>
  <c r="R114" i="2"/>
  <c r="Q114" i="2"/>
  <c r="U176" i="2"/>
  <c r="W176" i="2"/>
  <c r="Q110" i="2"/>
  <c r="F176" i="2"/>
  <c r="E9" i="2"/>
  <c r="U10" i="2"/>
  <c r="Y13" i="2"/>
  <c r="R15" i="2"/>
  <c r="G25" i="2"/>
  <c r="M28" i="2"/>
  <c r="L41" i="2"/>
  <c r="H56" i="2"/>
  <c r="L58" i="2"/>
  <c r="AF73" i="2"/>
  <c r="Q73" i="2"/>
  <c r="L74" i="2"/>
  <c r="N77" i="2"/>
  <c r="F83" i="2"/>
  <c r="S85" i="2"/>
  <c r="Y89" i="2"/>
  <c r="AB92" i="2"/>
  <c r="AB96" i="2"/>
  <c r="I104" i="2"/>
  <c r="W110" i="2"/>
  <c r="AE114" i="2"/>
  <c r="AF117" i="2"/>
  <c r="Z117" i="2"/>
  <c r="Y117" i="2"/>
  <c r="Y118" i="2"/>
  <c r="P118" i="2"/>
  <c r="O118" i="2"/>
  <c r="Y119" i="2"/>
  <c r="K119" i="2"/>
  <c r="J119" i="2"/>
  <c r="J125" i="2"/>
  <c r="N135" i="2"/>
  <c r="R137" i="2"/>
  <c r="Z155" i="2"/>
  <c r="W155" i="2"/>
  <c r="N155" i="2"/>
  <c r="K155" i="2"/>
  <c r="V176" i="2"/>
  <c r="R179" i="2"/>
  <c r="M179" i="2"/>
  <c r="L179" i="2"/>
  <c r="AG179" i="2"/>
  <c r="K179" i="2"/>
  <c r="AF179" i="2"/>
  <c r="H179" i="2"/>
  <c r="Z179" i="2"/>
  <c r="E179" i="2"/>
  <c r="AE181" i="2"/>
  <c r="AA240" i="2"/>
  <c r="H240" i="2"/>
  <c r="T240" i="2"/>
  <c r="L240" i="2"/>
  <c r="I240" i="2"/>
  <c r="Y240" i="2"/>
  <c r="V240" i="2"/>
  <c r="J240" i="2"/>
  <c r="Z129" i="2"/>
  <c r="M129" i="2"/>
  <c r="H129" i="2"/>
  <c r="N217" i="2"/>
  <c r="X217" i="2"/>
  <c r="W217" i="2"/>
  <c r="S217" i="2"/>
  <c r="AE217" i="2"/>
  <c r="AC217" i="2"/>
  <c r="AB217" i="2"/>
  <c r="V217" i="2"/>
  <c r="O217" i="2"/>
  <c r="M217" i="2"/>
  <c r="K217" i="2"/>
  <c r="H217" i="2"/>
  <c r="E217" i="2"/>
  <c r="G104" i="2"/>
  <c r="H114" i="2"/>
  <c r="I125" i="2"/>
  <c r="I25" i="2"/>
  <c r="AG28" i="2"/>
  <c r="AD33" i="2"/>
  <c r="U33" i="2"/>
  <c r="Q41" i="2"/>
  <c r="I56" i="2"/>
  <c r="N58" i="2"/>
  <c r="AD65" i="2"/>
  <c r="I65" i="2"/>
  <c r="AA65" i="2"/>
  <c r="G65" i="2"/>
  <c r="P74" i="2"/>
  <c r="O77" i="2"/>
  <c r="G83" i="2"/>
  <c r="Y85" i="2"/>
  <c r="AB89" i="2"/>
  <c r="AE96" i="2"/>
  <c r="V104" i="2"/>
  <c r="AC110" i="2"/>
  <c r="V129" i="2"/>
  <c r="U135" i="2"/>
  <c r="U137" i="2"/>
  <c r="AB149" i="2"/>
  <c r="G149" i="2"/>
  <c r="AB151" i="2"/>
  <c r="S151" i="2"/>
  <c r="N151" i="2"/>
  <c r="AG151" i="2"/>
  <c r="M151" i="2"/>
  <c r="AA151" i="2"/>
  <c r="J151" i="2"/>
  <c r="AE151" i="2"/>
  <c r="AC157" i="2"/>
  <c r="AD157" i="2"/>
  <c r="AF176" i="2"/>
  <c r="AC278" i="2"/>
  <c r="AG278" i="2"/>
  <c r="G278" i="2"/>
  <c r="AF278" i="2"/>
  <c r="Y278" i="2"/>
  <c r="W278" i="2"/>
  <c r="E278" i="2"/>
  <c r="AG83" i="2"/>
  <c r="F129" i="2"/>
  <c r="F9" i="2"/>
  <c r="J9" i="2"/>
  <c r="Z10" i="2"/>
  <c r="L25" i="2"/>
  <c r="E33" i="2"/>
  <c r="G39" i="2"/>
  <c r="U39" i="2"/>
  <c r="R56" i="2"/>
  <c r="R74" i="2"/>
  <c r="I83" i="2"/>
  <c r="AB104" i="2"/>
  <c r="AC129" i="2"/>
  <c r="Y41" i="2"/>
  <c r="Z41" i="2"/>
  <c r="U71" i="2"/>
  <c r="AF71" i="2"/>
  <c r="O71" i="2"/>
  <c r="M83" i="2"/>
  <c r="X85" i="2"/>
  <c r="R85" i="2"/>
  <c r="AB85" i="2"/>
  <c r="AA93" i="2"/>
  <c r="AD93" i="2"/>
  <c r="O96" i="2"/>
  <c r="N96" i="2"/>
  <c r="L96" i="2"/>
  <c r="I96" i="2"/>
  <c r="AA108" i="2"/>
  <c r="V108" i="2"/>
  <c r="R122" i="2"/>
  <c r="M122" i="2"/>
  <c r="I122" i="2"/>
  <c r="AD129" i="2"/>
  <c r="AD134" i="2"/>
  <c r="Q134" i="2"/>
  <c r="K134" i="2"/>
  <c r="S181" i="2"/>
  <c r="Q181" i="2"/>
  <c r="N181" i="2"/>
  <c r="M181" i="2"/>
  <c r="L181" i="2"/>
  <c r="K181" i="2"/>
  <c r="AB181" i="2"/>
  <c r="F181" i="2"/>
  <c r="M9" i="2"/>
  <c r="H10" i="2"/>
  <c r="AB10" i="2"/>
  <c r="N12" i="2"/>
  <c r="I13" i="2"/>
  <c r="AC13" i="2"/>
  <c r="AD17" i="2"/>
  <c r="AB18" i="2"/>
  <c r="R19" i="2"/>
  <c r="AB21" i="2"/>
  <c r="AA24" i="2"/>
  <c r="W25" i="2"/>
  <c r="O27" i="2"/>
  <c r="AE29" i="2"/>
  <c r="O30" i="2"/>
  <c r="AG30" i="2"/>
  <c r="O33" i="2"/>
  <c r="P49" i="2"/>
  <c r="L65" i="2"/>
  <c r="S70" i="2"/>
  <c r="P70" i="2"/>
  <c r="K71" i="2"/>
  <c r="U72" i="2"/>
  <c r="O83" i="2"/>
  <c r="F85" i="2"/>
  <c r="AD85" i="2"/>
  <c r="P87" i="2"/>
  <c r="S87" i="2"/>
  <c r="O87" i="2"/>
  <c r="M87" i="2"/>
  <c r="P90" i="2"/>
  <c r="AG90" i="2"/>
  <c r="I93" i="2"/>
  <c r="E96" i="2"/>
  <c r="U111" i="2"/>
  <c r="F111" i="2"/>
  <c r="I117" i="2"/>
  <c r="L118" i="2"/>
  <c r="E122" i="2"/>
  <c r="G131" i="2"/>
  <c r="I134" i="2"/>
  <c r="X138" i="2"/>
  <c r="G138" i="2"/>
  <c r="Z141" i="2"/>
  <c r="F146" i="2"/>
  <c r="AE146" i="2"/>
  <c r="AA149" i="2"/>
  <c r="H151" i="2"/>
  <c r="AE154" i="2"/>
  <c r="AA154" i="2"/>
  <c r="Y154" i="2"/>
  <c r="P154" i="2"/>
  <c r="M155" i="2"/>
  <c r="V161" i="2"/>
  <c r="AF169" i="2"/>
  <c r="G169" i="2"/>
  <c r="Z169" i="2"/>
  <c r="O169" i="2"/>
  <c r="J169" i="2"/>
  <c r="AF177" i="2"/>
  <c r="M177" i="2"/>
  <c r="S179" i="2"/>
  <c r="E181" i="2"/>
  <c r="O196" i="2"/>
  <c r="AB196" i="2"/>
  <c r="Z196" i="2"/>
  <c r="Y196" i="2"/>
  <c r="M196" i="2"/>
  <c r="AF209" i="2"/>
  <c r="P209" i="2"/>
  <c r="N209" i="2"/>
  <c r="K209" i="2"/>
  <c r="R285" i="2"/>
  <c r="Q285" i="2"/>
  <c r="AD285" i="2"/>
  <c r="K285" i="2"/>
  <c r="AB285" i="2"/>
  <c r="J285" i="2"/>
  <c r="AA285" i="2"/>
  <c r="G285" i="2"/>
  <c r="Z285" i="2"/>
  <c r="F285" i="2"/>
  <c r="Y285" i="2"/>
  <c r="E285" i="2"/>
  <c r="O285" i="2"/>
  <c r="AF285" i="2"/>
  <c r="AE285" i="2"/>
  <c r="X285" i="2"/>
  <c r="V285" i="2"/>
  <c r="T285" i="2"/>
  <c r="N285" i="2"/>
  <c r="M285" i="2"/>
  <c r="L285" i="2"/>
  <c r="AF9" i="2"/>
  <c r="U56" i="2"/>
  <c r="AA56" i="2"/>
  <c r="P54" i="2"/>
  <c r="T54" i="2"/>
  <c r="V56" i="2"/>
  <c r="I10" i="2"/>
  <c r="AC10" i="2"/>
  <c r="S74" i="2"/>
  <c r="AF74" i="2"/>
  <c r="M74" i="2"/>
  <c r="AC74" i="2"/>
  <c r="K74" i="2"/>
  <c r="V74" i="2"/>
  <c r="S76" i="2"/>
  <c r="AC76" i="2"/>
  <c r="T83" i="2"/>
  <c r="S93" i="2"/>
  <c r="G96" i="2"/>
  <c r="AD97" i="2"/>
  <c r="G97" i="2"/>
  <c r="H181" i="2"/>
  <c r="O8" i="2"/>
  <c r="T9" i="2"/>
  <c r="K10" i="2"/>
  <c r="AD10" i="2"/>
  <c r="W12" i="2"/>
  <c r="L13" i="2"/>
  <c r="U19" i="2"/>
  <c r="AE21" i="2"/>
  <c r="AF24" i="2"/>
  <c r="AE27" i="2"/>
  <c r="R30" i="2"/>
  <c r="Q33" i="2"/>
  <c r="U36" i="2"/>
  <c r="E36" i="2"/>
  <c r="AB42" i="2"/>
  <c r="Z42" i="2"/>
  <c r="U43" i="2"/>
  <c r="N43" i="2"/>
  <c r="AG43" i="2"/>
  <c r="AB48" i="2"/>
  <c r="N48" i="2"/>
  <c r="J48" i="2"/>
  <c r="P65" i="2"/>
  <c r="V67" i="2"/>
  <c r="N67" i="2"/>
  <c r="J67" i="2"/>
  <c r="AB71" i="2"/>
  <c r="E74" i="2"/>
  <c r="W74" i="2"/>
  <c r="M76" i="2"/>
  <c r="AG82" i="2"/>
  <c r="M82" i="2"/>
  <c r="I85" i="2"/>
  <c r="AF85" i="2"/>
  <c r="G92" i="2"/>
  <c r="T93" i="2"/>
  <c r="M96" i="2"/>
  <c r="H97" i="2"/>
  <c r="X116" i="2"/>
  <c r="AG116" i="2"/>
  <c r="W116" i="2"/>
  <c r="O117" i="2"/>
  <c r="AB118" i="2"/>
  <c r="N120" i="2"/>
  <c r="X120" i="2"/>
  <c r="Q120" i="2"/>
  <c r="P120" i="2"/>
  <c r="X121" i="2"/>
  <c r="M121" i="2"/>
  <c r="L121" i="2"/>
  <c r="S122" i="2"/>
  <c r="G128" i="2"/>
  <c r="W130" i="2"/>
  <c r="AA130" i="2"/>
  <c r="Q130" i="2"/>
  <c r="O130" i="2"/>
  <c r="X131" i="2"/>
  <c r="Y134" i="2"/>
  <c r="L151" i="2"/>
  <c r="AB155" i="2"/>
  <c r="AA161" i="2"/>
  <c r="F171" i="2"/>
  <c r="V179" i="2"/>
  <c r="I181" i="2"/>
  <c r="I184" i="2"/>
  <c r="P184" i="2"/>
  <c r="O184" i="2"/>
  <c r="L184" i="2"/>
  <c r="F184" i="2"/>
  <c r="AA184" i="2"/>
  <c r="S266" i="2"/>
  <c r="AD266" i="2"/>
  <c r="H266" i="2"/>
  <c r="AB266" i="2"/>
  <c r="E266" i="2"/>
  <c r="W266" i="2"/>
  <c r="U266" i="2"/>
  <c r="R266" i="2"/>
  <c r="P266" i="2"/>
  <c r="F266" i="2"/>
  <c r="AF266" i="2"/>
  <c r="Z266" i="2"/>
  <c r="Y266" i="2"/>
  <c r="O266" i="2"/>
  <c r="N266" i="2"/>
  <c r="J266" i="2"/>
  <c r="R83" i="2"/>
  <c r="S83" i="2"/>
  <c r="N83" i="2"/>
  <c r="AC100" i="2"/>
  <c r="L9" i="2"/>
  <c r="W49" i="2"/>
  <c r="N71" i="2"/>
  <c r="U89" i="2"/>
  <c r="E89" i="2"/>
  <c r="AG89" i="2"/>
  <c r="AF89" i="2"/>
  <c r="Q8" i="2"/>
  <c r="X9" i="2"/>
  <c r="L10" i="2"/>
  <c r="AA12" i="2"/>
  <c r="M13" i="2"/>
  <c r="AF27" i="2"/>
  <c r="U30" i="2"/>
  <c r="AC33" i="2"/>
  <c r="Q65" i="2"/>
  <c r="F74" i="2"/>
  <c r="X74" i="2"/>
  <c r="O76" i="2"/>
  <c r="X83" i="2"/>
  <c r="J85" i="2"/>
  <c r="AG85" i="2"/>
  <c r="H89" i="2"/>
  <c r="I92" i="2"/>
  <c r="S96" i="2"/>
  <c r="N97" i="2"/>
  <c r="T117" i="2"/>
  <c r="AD118" i="2"/>
  <c r="T122" i="2"/>
  <c r="J128" i="2"/>
  <c r="AF134" i="2"/>
  <c r="R151" i="2"/>
  <c r="AF155" i="2"/>
  <c r="W179" i="2"/>
  <c r="T181" i="2"/>
  <c r="Q229" i="2"/>
  <c r="T229" i="2"/>
  <c r="S229" i="2"/>
  <c r="P229" i="2"/>
  <c r="H229" i="2"/>
  <c r="AF229" i="2"/>
  <c r="AE229" i="2"/>
  <c r="Y229" i="2"/>
  <c r="M229" i="2"/>
  <c r="G229" i="2"/>
  <c r="F229" i="2"/>
  <c r="U25" i="2"/>
  <c r="AG41" i="2"/>
  <c r="Q9" i="2"/>
  <c r="AD25" i="2"/>
  <c r="Q27" i="2"/>
  <c r="P33" i="2"/>
  <c r="G85" i="2"/>
  <c r="AE85" i="2"/>
  <c r="AE8" i="2"/>
  <c r="Z9" i="2"/>
  <c r="M10" i="2"/>
  <c r="AC12" i="2"/>
  <c r="O13" i="2"/>
  <c r="X19" i="2"/>
  <c r="E30" i="2"/>
  <c r="V30" i="2"/>
  <c r="AE33" i="2"/>
  <c r="AC46" i="2"/>
  <c r="N46" i="2"/>
  <c r="S55" i="2"/>
  <c r="R57" i="2"/>
  <c r="T65" i="2"/>
  <c r="G74" i="2"/>
  <c r="Y74" i="2"/>
  <c r="AG76" i="2"/>
  <c r="AA83" i="2"/>
  <c r="L85" i="2"/>
  <c r="O89" i="2"/>
  <c r="V96" i="2"/>
  <c r="O97" i="2"/>
  <c r="AC117" i="2"/>
  <c r="AE118" i="2"/>
  <c r="U122" i="2"/>
  <c r="U145" i="2"/>
  <c r="Y145" i="2"/>
  <c r="U151" i="2"/>
  <c r="AC153" i="2"/>
  <c r="Y153" i="2"/>
  <c r="X153" i="2"/>
  <c r="L153" i="2"/>
  <c r="L170" i="2"/>
  <c r="Q170" i="2"/>
  <c r="AC170" i="2"/>
  <c r="X170" i="2"/>
  <c r="V170" i="2"/>
  <c r="U170" i="2"/>
  <c r="I170" i="2"/>
  <c r="AA179" i="2"/>
  <c r="X181" i="2"/>
  <c r="Z194" i="2"/>
  <c r="F194" i="2"/>
  <c r="X194" i="2"/>
  <c r="AF203" i="2"/>
  <c r="AE203" i="2"/>
  <c r="AG203" i="2"/>
  <c r="AB203" i="2"/>
  <c r="R203" i="2"/>
  <c r="Q203" i="2"/>
  <c r="F25" i="2"/>
  <c r="L28" i="2"/>
  <c r="H135" i="2"/>
  <c r="Z92" i="2"/>
  <c r="O92" i="2"/>
  <c r="L92" i="2"/>
  <c r="AA9" i="2"/>
  <c r="AG12" i="2"/>
  <c r="R13" i="2"/>
  <c r="F30" i="2"/>
  <c r="W30" i="2"/>
  <c r="AG33" i="2"/>
  <c r="W65" i="2"/>
  <c r="Q72" i="2"/>
  <c r="V72" i="2"/>
  <c r="R72" i="2"/>
  <c r="AG72" i="2"/>
  <c r="H74" i="2"/>
  <c r="AA74" i="2"/>
  <c r="AB83" i="2"/>
  <c r="N85" i="2"/>
  <c r="R89" i="2"/>
  <c r="K92" i="2"/>
  <c r="W96" i="2"/>
  <c r="P97" i="2"/>
  <c r="AG117" i="2"/>
  <c r="AG118" i="2"/>
  <c r="W122" i="2"/>
  <c r="AE141" i="2"/>
  <c r="O141" i="2"/>
  <c r="AG141" i="2"/>
  <c r="L141" i="2"/>
  <c r="AF141" i="2"/>
  <c r="J141" i="2"/>
  <c r="AB141" i="2"/>
  <c r="V142" i="2"/>
  <c r="AC142" i="2"/>
  <c r="T142" i="2"/>
  <c r="E145" i="2"/>
  <c r="V151" i="2"/>
  <c r="G153" i="2"/>
  <c r="V162" i="2"/>
  <c r="U162" i="2"/>
  <c r="E170" i="2"/>
  <c r="AG172" i="2"/>
  <c r="O172" i="2"/>
  <c r="M172" i="2"/>
  <c r="K172" i="2"/>
  <c r="F172" i="2"/>
  <c r="AA178" i="2"/>
  <c r="AC179" i="2"/>
  <c r="Y181" i="2"/>
  <c r="W194" i="2"/>
  <c r="K203" i="2"/>
  <c r="X225" i="2"/>
  <c r="V225" i="2"/>
  <c r="V229" i="2"/>
  <c r="AF274" i="2"/>
  <c r="T274" i="2"/>
  <c r="AB274" i="2"/>
  <c r="H274" i="2"/>
  <c r="N274" i="2"/>
  <c r="M274" i="2"/>
  <c r="AG274" i="2"/>
  <c r="K274" i="2"/>
  <c r="AE274" i="2"/>
  <c r="I274" i="2"/>
  <c r="AD274" i="2"/>
  <c r="G274" i="2"/>
  <c r="V274" i="2"/>
  <c r="AA274" i="2"/>
  <c r="Z274" i="2"/>
  <c r="W274" i="2"/>
  <c r="U274" i="2"/>
  <c r="R274" i="2"/>
  <c r="O274" i="2"/>
  <c r="F274" i="2"/>
  <c r="E274" i="2"/>
  <c r="X308" i="2"/>
  <c r="Q308" i="2"/>
  <c r="J308" i="2"/>
  <c r="AF308" i="2"/>
  <c r="K308" i="2"/>
  <c r="E308" i="2"/>
  <c r="AD288" i="2"/>
  <c r="W288" i="2"/>
  <c r="AC164" i="2"/>
  <c r="X166" i="2"/>
  <c r="K166" i="2"/>
  <c r="AG166" i="2"/>
  <c r="S182" i="2"/>
  <c r="AA204" i="2"/>
  <c r="U224" i="2"/>
  <c r="H224" i="2"/>
  <c r="Z224" i="2"/>
  <c r="Y243" i="2"/>
  <c r="U243" i="2"/>
  <c r="AA255" i="2"/>
  <c r="Z255" i="2"/>
  <c r="L255" i="2"/>
  <c r="AG255" i="2"/>
  <c r="R255" i="2"/>
  <c r="S255" i="2"/>
  <c r="P255" i="2"/>
  <c r="AF255" i="2"/>
  <c r="N255" i="2"/>
  <c r="AE255" i="2"/>
  <c r="M255" i="2"/>
  <c r="W255" i="2"/>
  <c r="G255" i="2"/>
  <c r="AB255" i="2"/>
  <c r="Z263" i="2"/>
  <c r="K263" i="2"/>
  <c r="W263" i="2"/>
  <c r="G263" i="2"/>
  <c r="N263" i="2"/>
  <c r="AE263" i="2"/>
  <c r="M263" i="2"/>
  <c r="AD263" i="2"/>
  <c r="L263" i="2"/>
  <c r="AC263" i="2"/>
  <c r="J263" i="2"/>
  <c r="U263" i="2"/>
  <c r="AC267" i="2"/>
  <c r="AB270" i="2"/>
  <c r="O270" i="2"/>
  <c r="V270" i="2"/>
  <c r="Z270" i="2"/>
  <c r="Q270" i="2"/>
  <c r="P270" i="2"/>
  <c r="N270" i="2"/>
  <c r="S283" i="2"/>
  <c r="K288" i="2"/>
  <c r="X298" i="2"/>
  <c r="H298" i="2"/>
  <c r="P298" i="2"/>
  <c r="K298" i="2"/>
  <c r="AB211" i="2"/>
  <c r="L211" i="2"/>
  <c r="AD211" i="2"/>
  <c r="K211" i="2"/>
  <c r="Z211" i="2"/>
  <c r="J211" i="2"/>
  <c r="X211" i="2"/>
  <c r="H211" i="2"/>
  <c r="W211" i="2"/>
  <c r="Q264" i="2"/>
  <c r="O264" i="2"/>
  <c r="V283" i="2"/>
  <c r="S301" i="2"/>
  <c r="V301" i="2"/>
  <c r="H301" i="2"/>
  <c r="K249" i="2"/>
  <c r="W249" i="2"/>
  <c r="F255" i="2"/>
  <c r="H263" i="2"/>
  <c r="N264" i="2"/>
  <c r="M270" i="2"/>
  <c r="X283" i="2"/>
  <c r="Q298" i="2"/>
  <c r="Z103" i="2"/>
  <c r="Y150" i="2"/>
  <c r="V159" i="2"/>
  <c r="G164" i="2"/>
  <c r="R165" i="2"/>
  <c r="Y165" i="2"/>
  <c r="V165" i="2"/>
  <c r="M166" i="2"/>
  <c r="Z182" i="2"/>
  <c r="AD207" i="2"/>
  <c r="T207" i="2"/>
  <c r="F211" i="2"/>
  <c r="AE211" i="2"/>
  <c r="V224" i="2"/>
  <c r="W243" i="2"/>
  <c r="Q246" i="2"/>
  <c r="F246" i="2"/>
  <c r="H255" i="2"/>
  <c r="I263" i="2"/>
  <c r="T264" i="2"/>
  <c r="AF270" i="2"/>
  <c r="T287" i="2"/>
  <c r="R287" i="2"/>
  <c r="P287" i="2"/>
  <c r="N287" i="2"/>
  <c r="M287" i="2"/>
  <c r="AF298" i="2"/>
  <c r="AG84" i="2"/>
  <c r="W86" i="2"/>
  <c r="G98" i="2"/>
  <c r="G102" i="2"/>
  <c r="H103" i="2"/>
  <c r="AA103" i="2"/>
  <c r="AF139" i="2"/>
  <c r="AA150" i="2"/>
  <c r="I164" i="2"/>
  <c r="E165" i="2"/>
  <c r="Z165" i="2"/>
  <c r="O166" i="2"/>
  <c r="F167" i="2"/>
  <c r="S190" i="2"/>
  <c r="X190" i="2"/>
  <c r="AB190" i="2"/>
  <c r="M199" i="2"/>
  <c r="L199" i="2"/>
  <c r="K207" i="2"/>
  <c r="G211" i="2"/>
  <c r="AG211" i="2"/>
  <c r="W224" i="2"/>
  <c r="X228" i="2"/>
  <c r="Y228" i="2"/>
  <c r="K228" i="2"/>
  <c r="H228" i="2"/>
  <c r="AC243" i="2"/>
  <c r="I255" i="2"/>
  <c r="AF261" i="2"/>
  <c r="R261" i="2"/>
  <c r="AD261" i="2"/>
  <c r="AB261" i="2"/>
  <c r="Y261" i="2"/>
  <c r="P263" i="2"/>
  <c r="J287" i="2"/>
  <c r="AD182" i="2"/>
  <c r="F182" i="2"/>
  <c r="AE182" i="2"/>
  <c r="Y200" i="2"/>
  <c r="F200" i="2"/>
  <c r="E200" i="2"/>
  <c r="E206" i="2"/>
  <c r="AB206" i="2"/>
  <c r="Z206" i="2"/>
  <c r="T206" i="2"/>
  <c r="I211" i="2"/>
  <c r="AF324" i="2"/>
  <c r="AA324" i="2"/>
  <c r="Z324" i="2"/>
  <c r="U50" i="2"/>
  <c r="F84" i="2"/>
  <c r="F86" i="2"/>
  <c r="AA86" i="2"/>
  <c r="AD91" i="2"/>
  <c r="S98" i="2"/>
  <c r="J103" i="2"/>
  <c r="AE103" i="2"/>
  <c r="J126" i="2"/>
  <c r="N147" i="2"/>
  <c r="G165" i="2"/>
  <c r="AD165" i="2"/>
  <c r="R166" i="2"/>
  <c r="G182" i="2"/>
  <c r="AF182" i="2"/>
  <c r="N189" i="2"/>
  <c r="F190" i="2"/>
  <c r="AE190" i="2"/>
  <c r="I199" i="2"/>
  <c r="H200" i="2"/>
  <c r="G206" i="2"/>
  <c r="Q207" i="2"/>
  <c r="M211" i="2"/>
  <c r="Q214" i="2"/>
  <c r="AC214" i="2"/>
  <c r="V214" i="2"/>
  <c r="O214" i="2"/>
  <c r="AG216" i="2"/>
  <c r="L216" i="2"/>
  <c r="S216" i="2"/>
  <c r="M216" i="2"/>
  <c r="AC224" i="2"/>
  <c r="AA228" i="2"/>
  <c r="AF235" i="2"/>
  <c r="N235" i="2"/>
  <c r="Z235" i="2"/>
  <c r="F235" i="2"/>
  <c r="L235" i="2"/>
  <c r="AE235" i="2"/>
  <c r="K235" i="2"/>
  <c r="AC235" i="2"/>
  <c r="H235" i="2"/>
  <c r="AG239" i="2"/>
  <c r="U239" i="2"/>
  <c r="M239" i="2"/>
  <c r="Z239" i="2"/>
  <c r="Y239" i="2"/>
  <c r="R239" i="2"/>
  <c r="AE239" i="2"/>
  <c r="L247" i="2"/>
  <c r="J247" i="2"/>
  <c r="AD247" i="2"/>
  <c r="X247" i="2"/>
  <c r="W247" i="2"/>
  <c r="U247" i="2"/>
  <c r="Y249" i="2"/>
  <c r="K255" i="2"/>
  <c r="V261" i="2"/>
  <c r="T263" i="2"/>
  <c r="AF265" i="2"/>
  <c r="AC265" i="2"/>
  <c r="Y265" i="2"/>
  <c r="X265" i="2"/>
  <c r="W265" i="2"/>
  <c r="AB287" i="2"/>
  <c r="T324" i="2"/>
  <c r="H206" i="2"/>
  <c r="N211" i="2"/>
  <c r="AF212" i="2"/>
  <c r="Q212" i="2"/>
  <c r="L212" i="2"/>
  <c r="R267" i="2"/>
  <c r="T267" i="2"/>
  <c r="V267" i="2"/>
  <c r="P267" i="2"/>
  <c r="N267" i="2"/>
  <c r="M267" i="2"/>
  <c r="L267" i="2"/>
  <c r="AD267" i="2"/>
  <c r="AD287" i="2"/>
  <c r="Q211" i="2"/>
  <c r="AD283" i="2"/>
  <c r="W283" i="2"/>
  <c r="F283" i="2"/>
  <c r="T283" i="2"/>
  <c r="AE283" i="2"/>
  <c r="K283" i="2"/>
  <c r="AC283" i="2"/>
  <c r="J283" i="2"/>
  <c r="AB283" i="2"/>
  <c r="I283" i="2"/>
  <c r="Z283" i="2"/>
  <c r="G283" i="2"/>
  <c r="Y283" i="2"/>
  <c r="E283" i="2"/>
  <c r="Q283" i="2"/>
  <c r="AA286" i="2"/>
  <c r="W286" i="2"/>
  <c r="S286" i="2"/>
  <c r="R286" i="2"/>
  <c r="N286" i="2"/>
  <c r="Q291" i="2"/>
  <c r="AE291" i="2"/>
  <c r="AF291" i="2"/>
  <c r="AA291" i="2"/>
  <c r="P291" i="2"/>
  <c r="O291" i="2"/>
  <c r="M291" i="2"/>
  <c r="AA316" i="2"/>
  <c r="AD316" i="2"/>
  <c r="O316" i="2"/>
  <c r="L316" i="2"/>
  <c r="J316" i="2"/>
  <c r="I316" i="2"/>
  <c r="H316" i="2"/>
  <c r="F257" i="2"/>
  <c r="AA257" i="2"/>
  <c r="AA271" i="2"/>
  <c r="V271" i="2"/>
  <c r="H271" i="2"/>
  <c r="AB271" i="2"/>
  <c r="L271" i="2"/>
  <c r="T271" i="2"/>
  <c r="AG282" i="2"/>
  <c r="AE292" i="2"/>
  <c r="L292" i="2"/>
  <c r="O292" i="2"/>
  <c r="V292" i="2"/>
  <c r="AA292" i="2"/>
  <c r="J313" i="2"/>
  <c r="N322" i="2"/>
  <c r="Q345" i="2"/>
  <c r="S345" i="2"/>
  <c r="AD386" i="2"/>
  <c r="AB386" i="2"/>
  <c r="AG386" i="2"/>
  <c r="AF386" i="2"/>
  <c r="X386" i="2"/>
  <c r="V386" i="2"/>
  <c r="AA297" i="2"/>
  <c r="U297" i="2"/>
  <c r="V297" i="2"/>
  <c r="N312" i="2"/>
  <c r="S312" i="2"/>
  <c r="K312" i="2"/>
  <c r="H366" i="2"/>
  <c r="AG366" i="2"/>
  <c r="Z371" i="2"/>
  <c r="W371" i="2"/>
  <c r="I371" i="2"/>
  <c r="G371" i="2"/>
  <c r="U371" i="2"/>
  <c r="R371" i="2"/>
  <c r="P371" i="2"/>
  <c r="F371" i="2"/>
  <c r="AA359" i="2"/>
  <c r="H359" i="2"/>
  <c r="AF359" i="2"/>
  <c r="X359" i="2"/>
  <c r="W359" i="2"/>
  <c r="U359" i="2"/>
  <c r="T359" i="2"/>
  <c r="R359" i="2"/>
  <c r="X364" i="2"/>
  <c r="L364" i="2"/>
  <c r="G364" i="2"/>
  <c r="W364" i="2"/>
  <c r="AB364" i="2"/>
  <c r="AA364" i="2"/>
  <c r="O364" i="2"/>
  <c r="K364" i="2"/>
  <c r="K415" i="2"/>
  <c r="N297" i="2"/>
  <c r="AA315" i="2"/>
  <c r="U315" i="2"/>
  <c r="W322" i="2"/>
  <c r="R331" i="2"/>
  <c r="N359" i="2"/>
  <c r="F364" i="2"/>
  <c r="P374" i="2"/>
  <c r="E374" i="2"/>
  <c r="Y374" i="2"/>
  <c r="V374" i="2"/>
  <c r="W408" i="2"/>
  <c r="N408" i="2"/>
  <c r="AF408" i="2"/>
  <c r="O408" i="2"/>
  <c r="AG408" i="2"/>
  <c r="AA408" i="2"/>
  <c r="Y408" i="2"/>
  <c r="H408" i="2"/>
  <c r="G408" i="2"/>
  <c r="AE219" i="2"/>
  <c r="N219" i="2"/>
  <c r="T219" i="2"/>
  <c r="T227" i="2"/>
  <c r="W227" i="2"/>
  <c r="N227" i="2"/>
  <c r="Y257" i="2"/>
  <c r="V268" i="2"/>
  <c r="AE268" i="2"/>
  <c r="J271" i="2"/>
  <c r="Z271" i="2"/>
  <c r="E282" i="2"/>
  <c r="K292" i="2"/>
  <c r="Q297" i="2"/>
  <c r="F315" i="2"/>
  <c r="AC318" i="2"/>
  <c r="J318" i="2"/>
  <c r="P318" i="2"/>
  <c r="T318" i="2"/>
  <c r="AD318" i="2"/>
  <c r="X322" i="2"/>
  <c r="AD331" i="2"/>
  <c r="K349" i="2"/>
  <c r="H364" i="2"/>
  <c r="U374" i="2"/>
  <c r="F408" i="2"/>
  <c r="AB257" i="2"/>
  <c r="K271" i="2"/>
  <c r="AC271" i="2"/>
  <c r="O282" i="2"/>
  <c r="Z294" i="2"/>
  <c r="L294" i="2"/>
  <c r="AA294" i="2"/>
  <c r="H294" i="2"/>
  <c r="W295" i="2"/>
  <c r="S295" i="2"/>
  <c r="R295" i="2"/>
  <c r="W297" i="2"/>
  <c r="N313" i="2"/>
  <c r="Q313" i="2"/>
  <c r="S313" i="2"/>
  <c r="AA313" i="2"/>
  <c r="L315" i="2"/>
  <c r="AB322" i="2"/>
  <c r="I364" i="2"/>
  <c r="P372" i="2"/>
  <c r="W372" i="2"/>
  <c r="J372" i="2"/>
  <c r="Q372" i="2"/>
  <c r="Z372" i="2"/>
  <c r="Y372" i="2"/>
  <c r="X372" i="2"/>
  <c r="R372" i="2"/>
  <c r="Y385" i="2"/>
  <c r="O385" i="2"/>
  <c r="P385" i="2"/>
  <c r="L385" i="2"/>
  <c r="I385" i="2"/>
  <c r="E385" i="2"/>
  <c r="AD400" i="2"/>
  <c r="P400" i="2"/>
  <c r="E400" i="2"/>
  <c r="AC400" i="2"/>
  <c r="K408" i="2"/>
  <c r="AB198" i="2"/>
  <c r="AE210" i="2"/>
  <c r="S210" i="2"/>
  <c r="F219" i="2"/>
  <c r="V219" i="2"/>
  <c r="V223" i="2"/>
  <c r="F227" i="2"/>
  <c r="AG231" i="2"/>
  <c r="Q231" i="2"/>
  <c r="U231" i="2"/>
  <c r="E231" i="2"/>
  <c r="V231" i="2"/>
  <c r="T242" i="2"/>
  <c r="G244" i="2"/>
  <c r="AC257" i="2"/>
  <c r="P268" i="2"/>
  <c r="M271" i="2"/>
  <c r="AE271" i="2"/>
  <c r="P282" i="2"/>
  <c r="Q292" i="2"/>
  <c r="F293" i="2"/>
  <c r="Z293" i="2"/>
  <c r="AG293" i="2"/>
  <c r="H293" i="2"/>
  <c r="F294" i="2"/>
  <c r="X297" i="2"/>
  <c r="K299" i="2"/>
  <c r="Z305" i="2"/>
  <c r="E305" i="2"/>
  <c r="E313" i="2"/>
  <c r="AC313" i="2"/>
  <c r="O315" i="2"/>
  <c r="F318" i="2"/>
  <c r="AC322" i="2"/>
  <c r="N327" i="2"/>
  <c r="M327" i="2"/>
  <c r="AD363" i="2"/>
  <c r="R363" i="2"/>
  <c r="AC363" i="2"/>
  <c r="AE363" i="2"/>
  <c r="W363" i="2"/>
  <c r="T363" i="2"/>
  <c r="P363" i="2"/>
  <c r="AE364" i="2"/>
  <c r="F372" i="2"/>
  <c r="AC385" i="2"/>
  <c r="G400" i="2"/>
  <c r="U408" i="2"/>
  <c r="F198" i="2"/>
  <c r="AC198" i="2"/>
  <c r="W205" i="2"/>
  <c r="M205" i="2"/>
  <c r="AF205" i="2"/>
  <c r="I210" i="2"/>
  <c r="G219" i="2"/>
  <c r="W219" i="2"/>
  <c r="I227" i="2"/>
  <c r="F231" i="2"/>
  <c r="W231" i="2"/>
  <c r="S233" i="2"/>
  <c r="AE233" i="2"/>
  <c r="AG242" i="2"/>
  <c r="T251" i="2"/>
  <c r="F251" i="2"/>
  <c r="W251" i="2"/>
  <c r="H251" i="2"/>
  <c r="U251" i="2"/>
  <c r="N252" i="2"/>
  <c r="AD257" i="2"/>
  <c r="I260" i="2"/>
  <c r="X268" i="2"/>
  <c r="N271" i="2"/>
  <c r="AF271" i="2"/>
  <c r="S282" i="2"/>
  <c r="N289" i="2"/>
  <c r="R289" i="2"/>
  <c r="Y290" i="2"/>
  <c r="AF290" i="2"/>
  <c r="R292" i="2"/>
  <c r="G293" i="2"/>
  <c r="I294" i="2"/>
  <c r="Q299" i="2"/>
  <c r="N305" i="2"/>
  <c r="F313" i="2"/>
  <c r="AE313" i="2"/>
  <c r="S315" i="2"/>
  <c r="K318" i="2"/>
  <c r="K327" i="2"/>
  <c r="P360" i="2"/>
  <c r="F363" i="2"/>
  <c r="G372" i="2"/>
  <c r="X375" i="2"/>
  <c r="I375" i="2"/>
  <c r="AD385" i="2"/>
  <c r="R393" i="2"/>
  <c r="L400" i="2"/>
  <c r="V408" i="2"/>
  <c r="P322" i="2"/>
  <c r="AF322" i="2"/>
  <c r="F322" i="2"/>
  <c r="J322" i="2"/>
  <c r="AF378" i="2"/>
  <c r="I378" i="2"/>
  <c r="Y378" i="2"/>
  <c r="V378" i="2"/>
  <c r="U378" i="2"/>
  <c r="V402" i="2"/>
  <c r="O402" i="2"/>
  <c r="S402" i="2"/>
  <c r="AG402" i="2"/>
  <c r="H402" i="2"/>
  <c r="K402" i="2"/>
  <c r="J402" i="2"/>
  <c r="I402" i="2"/>
  <c r="G402" i="2"/>
  <c r="Y402" i="2"/>
  <c r="V376" i="2"/>
  <c r="M376" i="2"/>
  <c r="AA377" i="2"/>
  <c r="R377" i="2"/>
  <c r="F377" i="2"/>
  <c r="O406" i="2"/>
  <c r="F406" i="2"/>
  <c r="M406" i="2"/>
  <c r="F407" i="2"/>
  <c r="N307" i="2"/>
  <c r="I307" i="2"/>
  <c r="H342" i="2"/>
  <c r="H356" i="2"/>
  <c r="Z356" i="2"/>
  <c r="Y358" i="2"/>
  <c r="AB358" i="2"/>
  <c r="Q358" i="2"/>
  <c r="W361" i="2"/>
  <c r="E376" i="2"/>
  <c r="E377" i="2"/>
  <c r="Y384" i="2"/>
  <c r="U384" i="2"/>
  <c r="Z384" i="2"/>
  <c r="N384" i="2"/>
  <c r="Y399" i="2"/>
  <c r="G399" i="2"/>
  <c r="U399" i="2"/>
  <c r="H406" i="2"/>
  <c r="G407" i="2"/>
  <c r="AE411" i="2"/>
  <c r="V428" i="2"/>
  <c r="T428" i="2"/>
  <c r="S428" i="2"/>
  <c r="L428" i="2"/>
  <c r="G428" i="2"/>
  <c r="AF361" i="2"/>
  <c r="G376" i="2"/>
  <c r="H377" i="2"/>
  <c r="AF395" i="2"/>
  <c r="J395" i="2"/>
  <c r="Y395" i="2"/>
  <c r="AD395" i="2"/>
  <c r="P395" i="2"/>
  <c r="L406" i="2"/>
  <c r="V414" i="2"/>
  <c r="T414" i="2"/>
  <c r="L414" i="2"/>
  <c r="AF414" i="2"/>
  <c r="AE414" i="2"/>
  <c r="Q414" i="2"/>
  <c r="P414" i="2"/>
  <c r="J414" i="2"/>
  <c r="Z367" i="2"/>
  <c r="P367" i="2"/>
  <c r="AC369" i="2"/>
  <c r="S369" i="2"/>
  <c r="I376" i="2"/>
  <c r="P377" i="2"/>
  <c r="T401" i="2"/>
  <c r="R401" i="2"/>
  <c r="P406" i="2"/>
  <c r="U397" i="2"/>
  <c r="AF397" i="2"/>
  <c r="L397" i="2"/>
  <c r="Z397" i="2"/>
  <c r="F397" i="2"/>
  <c r="AC397" i="2"/>
  <c r="AA410" i="2"/>
  <c r="X410" i="2"/>
  <c r="G410" i="2"/>
  <c r="Q410" i="2"/>
  <c r="Y410" i="2"/>
  <c r="Q444" i="2"/>
  <c r="M444" i="2"/>
  <c r="L444" i="2"/>
  <c r="K444" i="2"/>
  <c r="E444" i="2"/>
  <c r="D444" i="2" s="1"/>
  <c r="AF446" i="2"/>
  <c r="S446" i="2"/>
  <c r="P446" i="2"/>
  <c r="M446" i="2"/>
  <c r="G446" i="2"/>
  <c r="F446" i="2"/>
  <c r="AD446" i="2"/>
  <c r="AG458" i="2"/>
  <c r="W458" i="2"/>
  <c r="X431" i="2"/>
  <c r="H431" i="2"/>
  <c r="G431" i="2"/>
  <c r="AG431" i="2"/>
  <c r="AF431" i="2"/>
  <c r="Q431" i="2"/>
  <c r="AB442" i="2"/>
  <c r="S442" i="2"/>
  <c r="R442" i="2"/>
  <c r="Q442" i="2"/>
  <c r="P442" i="2"/>
  <c r="K442" i="2"/>
  <c r="F442" i="2"/>
  <c r="S430" i="2"/>
  <c r="P430" i="2"/>
  <c r="N430" i="2"/>
  <c r="K430" i="2"/>
  <c r="G430" i="2"/>
  <c r="AC430" i="2"/>
  <c r="E442" i="2"/>
  <c r="D442" i="2" s="1"/>
  <c r="T279" i="2"/>
  <c r="AE387" i="2"/>
  <c r="X387" i="2"/>
  <c r="S388" i="2"/>
  <c r="L388" i="2"/>
  <c r="AE388" i="2"/>
  <c r="N397" i="2"/>
  <c r="L410" i="2"/>
  <c r="AF410" i="2"/>
  <c r="R422" i="2"/>
  <c r="X422" i="2"/>
  <c r="S422" i="2"/>
  <c r="O422" i="2"/>
  <c r="P423" i="2"/>
  <c r="F430" i="2"/>
  <c r="L431" i="2"/>
  <c r="M442" i="2"/>
  <c r="AB446" i="2"/>
  <c r="Z445" i="2"/>
  <c r="P445" i="2"/>
  <c r="O445" i="2"/>
  <c r="N445" i="2"/>
  <c r="M445" i="2"/>
  <c r="I445" i="2"/>
  <c r="W421" i="2"/>
  <c r="Y421" i="2"/>
  <c r="S421" i="2"/>
  <c r="Q421" i="2"/>
  <c r="E421" i="2"/>
  <c r="D421" i="2" s="1"/>
  <c r="K425" i="2"/>
  <c r="R430" i="2"/>
  <c r="P431" i="2"/>
  <c r="AD437" i="2"/>
  <c r="Z437" i="2"/>
  <c r="AD442" i="2"/>
  <c r="H445" i="2"/>
  <c r="T418" i="2"/>
  <c r="Z418" i="2"/>
  <c r="G418" i="2"/>
  <c r="X418" i="2"/>
  <c r="F418" i="2"/>
  <c r="U418" i="2"/>
  <c r="AF418" i="2"/>
  <c r="N418" i="2"/>
  <c r="AD418" i="2"/>
  <c r="I421" i="2"/>
  <c r="P422" i="2"/>
  <c r="AG424" i="2"/>
  <c r="AA424" i="2"/>
  <c r="P424" i="2"/>
  <c r="V425" i="2"/>
  <c r="T430" i="2"/>
  <c r="T431" i="2"/>
  <c r="N437" i="2"/>
  <c r="AG442" i="2"/>
  <c r="U445" i="2"/>
  <c r="Z451" i="2"/>
  <c r="O451" i="2"/>
  <c r="N451" i="2"/>
  <c r="M451" i="2"/>
  <c r="I451" i="2"/>
  <c r="H451" i="2"/>
  <c r="AA451" i="2"/>
  <c r="X451" i="2"/>
  <c r="V445" i="2"/>
  <c r="Z455" i="2"/>
  <c r="Y455" i="2"/>
  <c r="X455" i="2"/>
  <c r="V455" i="2"/>
  <c r="P455" i="2"/>
  <c r="I455" i="2"/>
  <c r="H455" i="2"/>
  <c r="AF437" i="2"/>
  <c r="AE445" i="2"/>
  <c r="U451" i="2"/>
  <c r="J455" i="2"/>
  <c r="AE430" i="2"/>
  <c r="V451" i="2"/>
  <c r="L455" i="2"/>
  <c r="AG450" i="2"/>
  <c r="X456" i="2"/>
  <c r="AF338" i="2"/>
  <c r="AD392" i="2"/>
  <c r="J412" i="2"/>
  <c r="Z412" i="2"/>
  <c r="L413" i="2"/>
  <c r="X416" i="2"/>
  <c r="AC417" i="2"/>
  <c r="J432" i="2"/>
  <c r="AD432" i="2"/>
  <c r="X435" i="2"/>
  <c r="T448" i="2"/>
  <c r="E450" i="2"/>
  <c r="D450" i="2" s="1"/>
  <c r="E456" i="2"/>
  <c r="D456" i="2" s="1"/>
  <c r="AB456" i="2"/>
  <c r="N450" i="2"/>
  <c r="H456" i="2"/>
  <c r="AE456" i="2"/>
  <c r="AG300" i="2"/>
  <c r="M338" i="2"/>
  <c r="M394" i="2"/>
  <c r="O412" i="2"/>
  <c r="AG412" i="2"/>
  <c r="R413" i="2"/>
  <c r="R432" i="2"/>
  <c r="Q438" i="2"/>
  <c r="AE438" i="2"/>
  <c r="P450" i="2"/>
  <c r="J456" i="2"/>
  <c r="AF456" i="2"/>
  <c r="V457" i="2"/>
  <c r="R450" i="2"/>
  <c r="K456" i="2"/>
  <c r="G448" i="2"/>
  <c r="I449" i="2"/>
  <c r="S450" i="2"/>
  <c r="L456" i="2"/>
  <c r="U412" i="2"/>
  <c r="AB413" i="2"/>
  <c r="F416" i="2"/>
  <c r="L417" i="2"/>
  <c r="V432" i="2"/>
  <c r="E435" i="2"/>
  <c r="D435" i="2" s="1"/>
  <c r="H448" i="2"/>
  <c r="J449" i="2"/>
  <c r="U450" i="2"/>
  <c r="P456" i="2"/>
  <c r="AD7" i="2"/>
  <c r="N7" i="2"/>
  <c r="AB11" i="2"/>
  <c r="AC11" i="2"/>
  <c r="Y47" i="2"/>
  <c r="V105" i="2"/>
  <c r="T105" i="2"/>
  <c r="H105" i="2"/>
  <c r="T115" i="2"/>
  <c r="G115" i="2"/>
  <c r="AE115" i="2"/>
  <c r="Z115" i="2"/>
  <c r="R115" i="2"/>
  <c r="E47" i="2"/>
  <c r="AE66" i="2"/>
  <c r="G80" i="2"/>
  <c r="AG80" i="2"/>
  <c r="X105" i="2"/>
  <c r="T123" i="2"/>
  <c r="X123" i="2"/>
  <c r="I123" i="2"/>
  <c r="AD123" i="2"/>
  <c r="AB123" i="2"/>
  <c r="S127" i="2"/>
  <c r="AE127" i="2"/>
  <c r="Y127" i="2"/>
  <c r="AD127" i="2"/>
  <c r="AA127" i="2"/>
  <c r="AA133" i="2"/>
  <c r="N133" i="2"/>
  <c r="AD133" i="2"/>
  <c r="AB133" i="2"/>
  <c r="V133" i="2"/>
  <c r="AF174" i="2"/>
  <c r="P174" i="2"/>
  <c r="N174" i="2"/>
  <c r="AA174" i="2"/>
  <c r="H174" i="2"/>
  <c r="S174" i="2"/>
  <c r="K174" i="2"/>
  <c r="J174" i="2"/>
  <c r="AE174" i="2"/>
  <c r="I174" i="2"/>
  <c r="AD174" i="2"/>
  <c r="G174" i="2"/>
  <c r="AC202" i="2"/>
  <c r="N202" i="2"/>
  <c r="AG202" i="2"/>
  <c r="O202" i="2"/>
  <c r="L202" i="2"/>
  <c r="F7" i="2"/>
  <c r="AC8" i="2"/>
  <c r="N9" i="2"/>
  <c r="N16" i="2"/>
  <c r="AC18" i="2"/>
  <c r="Y21" i="2"/>
  <c r="R23" i="2"/>
  <c r="Y25" i="2"/>
  <c r="K26" i="2"/>
  <c r="AA26" i="2"/>
  <c r="AC27" i="2"/>
  <c r="N28" i="2"/>
  <c r="J34" i="2"/>
  <c r="J35" i="2"/>
  <c r="V36" i="2"/>
  <c r="V39" i="2"/>
  <c r="AF40" i="2"/>
  <c r="U41" i="2"/>
  <c r="T43" i="2"/>
  <c r="E43" i="2"/>
  <c r="S43" i="2"/>
  <c r="V43" i="2"/>
  <c r="Q44" i="2"/>
  <c r="R45" i="2"/>
  <c r="F47" i="2"/>
  <c r="AC47" i="2"/>
  <c r="U52" i="2"/>
  <c r="Q52" i="2"/>
  <c r="F66" i="2"/>
  <c r="T67" i="2"/>
  <c r="X69" i="2"/>
  <c r="I75" i="2"/>
  <c r="R77" i="2"/>
  <c r="F78" i="2"/>
  <c r="I80" i="2"/>
  <c r="AD82" i="2"/>
  <c r="E88" i="2"/>
  <c r="V93" i="2"/>
  <c r="L95" i="2"/>
  <c r="T98" i="2"/>
  <c r="R99" i="2"/>
  <c r="K104" i="2"/>
  <c r="AC105" i="2"/>
  <c r="T114" i="2"/>
  <c r="N115" i="2"/>
  <c r="I116" i="2"/>
  <c r="H123" i="2"/>
  <c r="Q124" i="2"/>
  <c r="N125" i="2"/>
  <c r="I127" i="2"/>
  <c r="K128" i="2"/>
  <c r="I133" i="2"/>
  <c r="AB135" i="2"/>
  <c r="L138" i="2"/>
  <c r="Q140" i="2"/>
  <c r="U142" i="2"/>
  <c r="I149" i="2"/>
  <c r="AD153" i="2"/>
  <c r="AA153" i="2"/>
  <c r="J153" i="2"/>
  <c r="U153" i="2"/>
  <c r="E153" i="2"/>
  <c r="T153" i="2"/>
  <c r="S153" i="2"/>
  <c r="R153" i="2"/>
  <c r="O153" i="2"/>
  <c r="AF153" i="2"/>
  <c r="Z159" i="2"/>
  <c r="S163" i="2"/>
  <c r="E174" i="2"/>
  <c r="J188" i="2"/>
  <c r="W193" i="2"/>
  <c r="S202" i="2"/>
  <c r="AB213" i="2"/>
  <c r="W213" i="2"/>
  <c r="H213" i="2"/>
  <c r="M213" i="2"/>
  <c r="P213" i="2"/>
  <c r="E213" i="2"/>
  <c r="AD213" i="2"/>
  <c r="AC213" i="2"/>
  <c r="AA213" i="2"/>
  <c r="X213" i="2"/>
  <c r="V213" i="2"/>
  <c r="T213" i="2"/>
  <c r="R213" i="2"/>
  <c r="O213" i="2"/>
  <c r="K218" i="2"/>
  <c r="O218" i="2"/>
  <c r="AF218" i="2"/>
  <c r="F218" i="2"/>
  <c r="T218" i="2"/>
  <c r="H218" i="2"/>
  <c r="AE218" i="2"/>
  <c r="AC218" i="2"/>
  <c r="Z218" i="2"/>
  <c r="Y218" i="2"/>
  <c r="U218" i="2"/>
  <c r="R218" i="2"/>
  <c r="Q218" i="2"/>
  <c r="I218" i="2"/>
  <c r="G218" i="2"/>
  <c r="AE256" i="2"/>
  <c r="L256" i="2"/>
  <c r="AA256" i="2"/>
  <c r="J256" i="2"/>
  <c r="V256" i="2"/>
  <c r="S256" i="2"/>
  <c r="U256" i="2"/>
  <c r="K256" i="2"/>
  <c r="AF256" i="2"/>
  <c r="W256" i="2"/>
  <c r="Z256" i="2"/>
  <c r="Y256" i="2"/>
  <c r="X256" i="2"/>
  <c r="Q256" i="2"/>
  <c r="N256" i="2"/>
  <c r="M256" i="2"/>
  <c r="I256" i="2"/>
  <c r="H256" i="2"/>
  <c r="E7" i="2"/>
  <c r="O11" i="2"/>
  <c r="V32" i="2"/>
  <c r="I34" i="2"/>
  <c r="AF35" i="2"/>
  <c r="X88" i="2"/>
  <c r="I88" i="2"/>
  <c r="R88" i="2"/>
  <c r="AB88" i="2"/>
  <c r="K88" i="2"/>
  <c r="AA88" i="2"/>
  <c r="J88" i="2"/>
  <c r="P99" i="2"/>
  <c r="AF107" i="2"/>
  <c r="AB107" i="2"/>
  <c r="W175" i="2"/>
  <c r="T175" i="2"/>
  <c r="H175" i="2"/>
  <c r="Z180" i="2"/>
  <c r="AA180" i="2"/>
  <c r="F188" i="2"/>
  <c r="AD237" i="2"/>
  <c r="Y237" i="2"/>
  <c r="Z237" i="2"/>
  <c r="V237" i="2"/>
  <c r="P237" i="2"/>
  <c r="G237" i="2"/>
  <c r="W237" i="2"/>
  <c r="AE237" i="2"/>
  <c r="AC237" i="2"/>
  <c r="T237" i="2"/>
  <c r="Q237" i="2"/>
  <c r="N237" i="2"/>
  <c r="J237" i="2"/>
  <c r="H237" i="2"/>
  <c r="E237" i="2"/>
  <c r="X7" i="2"/>
  <c r="P11" i="2"/>
  <c r="Q12" i="2"/>
  <c r="H21" i="2"/>
  <c r="Q22" i="2"/>
  <c r="L24" i="2"/>
  <c r="F32" i="2"/>
  <c r="W32" i="2"/>
  <c r="Y49" i="2"/>
  <c r="V54" i="2"/>
  <c r="J56" i="2"/>
  <c r="Q58" i="2"/>
  <c r="Q59" i="2"/>
  <c r="S59" i="2"/>
  <c r="S61" i="2"/>
  <c r="F64" i="2"/>
  <c r="AF64" i="2"/>
  <c r="G7" i="2"/>
  <c r="Z7" i="2"/>
  <c r="AD8" i="2"/>
  <c r="X10" i="2"/>
  <c r="F10" i="2"/>
  <c r="W10" i="2"/>
  <c r="AD11" i="2"/>
  <c r="W13" i="2"/>
  <c r="O16" i="2"/>
  <c r="H18" i="2"/>
  <c r="AD18" i="2"/>
  <c r="N19" i="2"/>
  <c r="I21" i="2"/>
  <c r="AA21" i="2"/>
  <c r="Z23" i="2"/>
  <c r="M24" i="2"/>
  <c r="L26" i="2"/>
  <c r="AB26" i="2"/>
  <c r="P28" i="2"/>
  <c r="AC29" i="2"/>
  <c r="H32" i="2"/>
  <c r="X32" i="2"/>
  <c r="L34" i="2"/>
  <c r="L35" i="2"/>
  <c r="W36" i="2"/>
  <c r="AD39" i="2"/>
  <c r="W41" i="2"/>
  <c r="F43" i="2"/>
  <c r="W43" i="2"/>
  <c r="S45" i="2"/>
  <c r="AG46" i="2"/>
  <c r="AB46" i="2"/>
  <c r="P46" i="2"/>
  <c r="G47" i="2"/>
  <c r="AF47" i="2"/>
  <c r="Z49" i="2"/>
  <c r="P52" i="2"/>
  <c r="O56" i="2"/>
  <c r="R58" i="2"/>
  <c r="F59" i="2"/>
  <c r="H64" i="2"/>
  <c r="AG64" i="2"/>
  <c r="H66" i="2"/>
  <c r="Z69" i="2"/>
  <c r="M75" i="2"/>
  <c r="V77" i="2"/>
  <c r="G78" i="2"/>
  <c r="AG79" i="2"/>
  <c r="T79" i="2"/>
  <c r="R79" i="2"/>
  <c r="J80" i="2"/>
  <c r="AF82" i="2"/>
  <c r="F88" i="2"/>
  <c r="AD88" i="2"/>
  <c r="Q92" i="2"/>
  <c r="W92" i="2"/>
  <c r="M92" i="2"/>
  <c r="V92" i="2"/>
  <c r="P92" i="2"/>
  <c r="AD92" i="2"/>
  <c r="X93" i="2"/>
  <c r="V95" i="2"/>
  <c r="U98" i="2"/>
  <c r="T99" i="2"/>
  <c r="O102" i="2"/>
  <c r="AD102" i="2"/>
  <c r="H102" i="2"/>
  <c r="J102" i="2"/>
  <c r="I102" i="2"/>
  <c r="S104" i="2"/>
  <c r="G110" i="2"/>
  <c r="V112" i="2"/>
  <c r="AE112" i="2"/>
  <c r="U114" i="2"/>
  <c r="O115" i="2"/>
  <c r="M116" i="2"/>
  <c r="R117" i="2"/>
  <c r="AE117" i="2"/>
  <c r="L117" i="2"/>
  <c r="V117" i="2"/>
  <c r="Q117" i="2"/>
  <c r="P117" i="2"/>
  <c r="AD117" i="2"/>
  <c r="J123" i="2"/>
  <c r="W124" i="2"/>
  <c r="T125" i="2"/>
  <c r="J127" i="2"/>
  <c r="X128" i="2"/>
  <c r="J133" i="2"/>
  <c r="AE135" i="2"/>
  <c r="M138" i="2"/>
  <c r="S140" i="2"/>
  <c r="J149" i="2"/>
  <c r="F153" i="2"/>
  <c r="AG153" i="2"/>
  <c r="U163" i="2"/>
  <c r="F174" i="2"/>
  <c r="K175" i="2"/>
  <c r="V202" i="2"/>
  <c r="G213" i="2"/>
  <c r="E256" i="2"/>
  <c r="AD64" i="2"/>
  <c r="E78" i="2"/>
  <c r="M115" i="2"/>
  <c r="H7" i="2"/>
  <c r="AA7" i="2"/>
  <c r="P16" i="2"/>
  <c r="AC23" i="2"/>
  <c r="AF25" i="2"/>
  <c r="Z25" i="2"/>
  <c r="AC25" i="2"/>
  <c r="N26" i="2"/>
  <c r="AD26" i="2"/>
  <c r="Q28" i="2"/>
  <c r="I32" i="2"/>
  <c r="Y32" i="2"/>
  <c r="M35" i="2"/>
  <c r="Y36" i="2"/>
  <c r="AE39" i="2"/>
  <c r="I47" i="2"/>
  <c r="AG47" i="2"/>
  <c r="AC49" i="2"/>
  <c r="Q56" i="2"/>
  <c r="S58" i="2"/>
  <c r="K64" i="2"/>
  <c r="N66" i="2"/>
  <c r="U67" i="2"/>
  <c r="F67" i="2"/>
  <c r="S67" i="2"/>
  <c r="R67" i="2"/>
  <c r="W67" i="2"/>
  <c r="S73" i="2"/>
  <c r="L73" i="2"/>
  <c r="F73" i="2"/>
  <c r="N75" i="2"/>
  <c r="X77" i="2"/>
  <c r="I78" i="2"/>
  <c r="K80" i="2"/>
  <c r="L88" i="2"/>
  <c r="AG88" i="2"/>
  <c r="AE97" i="2"/>
  <c r="L97" i="2"/>
  <c r="AA97" i="2"/>
  <c r="AC97" i="2"/>
  <c r="AB97" i="2"/>
  <c r="W99" i="2"/>
  <c r="AF101" i="2"/>
  <c r="AB101" i="2"/>
  <c r="O101" i="2"/>
  <c r="N101" i="2"/>
  <c r="M101" i="2"/>
  <c r="U104" i="2"/>
  <c r="U108" i="2"/>
  <c r="Q108" i="2"/>
  <c r="P115" i="2"/>
  <c r="P116" i="2"/>
  <c r="M123" i="2"/>
  <c r="AA124" i="2"/>
  <c r="U125" i="2"/>
  <c r="K127" i="2"/>
  <c r="Y128" i="2"/>
  <c r="L133" i="2"/>
  <c r="O138" i="2"/>
  <c r="V140" i="2"/>
  <c r="V149" i="2"/>
  <c r="AB161" i="2"/>
  <c r="G161" i="2"/>
  <c r="U161" i="2"/>
  <c r="L161" i="2"/>
  <c r="J161" i="2"/>
  <c r="I161" i="2"/>
  <c r="H161" i="2"/>
  <c r="V163" i="2"/>
  <c r="Q174" i="2"/>
  <c r="N175" i="2"/>
  <c r="N177" i="2"/>
  <c r="Q177" i="2"/>
  <c r="F177" i="2"/>
  <c r="AG177" i="2"/>
  <c r="AD177" i="2"/>
  <c r="U177" i="2"/>
  <c r="T177" i="2"/>
  <c r="S177" i="2"/>
  <c r="Z192" i="2"/>
  <c r="N192" i="2"/>
  <c r="H192" i="2"/>
  <c r="AA202" i="2"/>
  <c r="AE241" i="2"/>
  <c r="N241" i="2"/>
  <c r="Y241" i="2"/>
  <c r="W241" i="2"/>
  <c r="E241" i="2"/>
  <c r="X241" i="2"/>
  <c r="T241" i="2"/>
  <c r="AF241" i="2"/>
  <c r="AC241" i="2"/>
  <c r="Z241" i="2"/>
  <c r="R241" i="2"/>
  <c r="P241" i="2"/>
  <c r="K241" i="2"/>
  <c r="J241" i="2"/>
  <c r="G241" i="2"/>
  <c r="AA273" i="2"/>
  <c r="H273" i="2"/>
  <c r="O273" i="2"/>
  <c r="M273" i="2"/>
  <c r="R273" i="2"/>
  <c r="L273" i="2"/>
  <c r="K273" i="2"/>
  <c r="AC273" i="2"/>
  <c r="V273" i="2"/>
  <c r="E273" i="2"/>
  <c r="AF273" i="2"/>
  <c r="AB273" i="2"/>
  <c r="Z273" i="2"/>
  <c r="Y273" i="2"/>
  <c r="X273" i="2"/>
  <c r="S273" i="2"/>
  <c r="N273" i="2"/>
  <c r="AG365" i="2"/>
  <c r="T365" i="2"/>
  <c r="X365" i="2"/>
  <c r="V365" i="2"/>
  <c r="O365" i="2"/>
  <c r="H365" i="2"/>
  <c r="AD365" i="2"/>
  <c r="E365" i="2"/>
  <c r="U365" i="2"/>
  <c r="N365" i="2"/>
  <c r="M365" i="2"/>
  <c r="J365" i="2"/>
  <c r="AC365" i="2"/>
  <c r="AA365" i="2"/>
  <c r="Y365" i="2"/>
  <c r="AB365" i="2"/>
  <c r="I365" i="2"/>
  <c r="G365" i="2"/>
  <c r="U34" i="2"/>
  <c r="N34" i="2"/>
  <c r="O26" i="2"/>
  <c r="AE26" i="2"/>
  <c r="Z34" i="2"/>
  <c r="N35" i="2"/>
  <c r="AG39" i="2"/>
  <c r="X41" i="2"/>
  <c r="AC41" i="2"/>
  <c r="K41" i="2"/>
  <c r="AA41" i="2"/>
  <c r="I41" i="2"/>
  <c r="AB45" i="2"/>
  <c r="L45" i="2"/>
  <c r="AA45" i="2"/>
  <c r="K45" i="2"/>
  <c r="U45" i="2"/>
  <c r="AE49" i="2"/>
  <c r="T58" i="2"/>
  <c r="N64" i="2"/>
  <c r="Q69" i="2"/>
  <c r="P69" i="2"/>
  <c r="N69" i="2"/>
  <c r="AB69" i="2"/>
  <c r="Z77" i="2"/>
  <c r="M78" i="2"/>
  <c r="AE82" i="2"/>
  <c r="S82" i="2"/>
  <c r="AB82" i="2"/>
  <c r="V82" i="2"/>
  <c r="M88" i="2"/>
  <c r="AE98" i="2"/>
  <c r="M98" i="2"/>
  <c r="X98" i="2"/>
  <c r="I98" i="2"/>
  <c r="Q98" i="2"/>
  <c r="AG98" i="2"/>
  <c r="L98" i="2"/>
  <c r="W98" i="2"/>
  <c r="S106" i="2"/>
  <c r="Q106" i="2"/>
  <c r="W114" i="2"/>
  <c r="I114" i="2"/>
  <c r="AG114" i="2"/>
  <c r="S114" i="2"/>
  <c r="E114" i="2"/>
  <c r="AB114" i="2"/>
  <c r="K114" i="2"/>
  <c r="AA114" i="2"/>
  <c r="J114" i="2"/>
  <c r="X114" i="2"/>
  <c r="AD115" i="2"/>
  <c r="N123" i="2"/>
  <c r="X125" i="2"/>
  <c r="L127" i="2"/>
  <c r="R132" i="2"/>
  <c r="AC132" i="2"/>
  <c r="N132" i="2"/>
  <c r="AD132" i="2"/>
  <c r="AA132" i="2"/>
  <c r="Z132" i="2"/>
  <c r="O133" i="2"/>
  <c r="W140" i="2"/>
  <c r="W163" i="2"/>
  <c r="R167" i="2"/>
  <c r="AG167" i="2"/>
  <c r="H167" i="2"/>
  <c r="U167" i="2"/>
  <c r="S167" i="2"/>
  <c r="M167" i="2"/>
  <c r="J167" i="2"/>
  <c r="I167" i="2"/>
  <c r="T174" i="2"/>
  <c r="R175" i="2"/>
  <c r="M195" i="2"/>
  <c r="O195" i="2"/>
  <c r="AC323" i="2"/>
  <c r="AE323" i="2"/>
  <c r="N323" i="2"/>
  <c r="Z323" i="2"/>
  <c r="H323" i="2"/>
  <c r="P323" i="2"/>
  <c r="M323" i="2"/>
  <c r="AA323" i="2"/>
  <c r="X323" i="2"/>
  <c r="Q323" i="2"/>
  <c r="O323" i="2"/>
  <c r="L323" i="2"/>
  <c r="K323" i="2"/>
  <c r="I323" i="2"/>
  <c r="E323" i="2"/>
  <c r="AG323" i="2"/>
  <c r="AD323" i="2"/>
  <c r="AB323" i="2"/>
  <c r="Y323" i="2"/>
  <c r="W323" i="2"/>
  <c r="U7" i="2"/>
  <c r="R66" i="2"/>
  <c r="L66" i="2"/>
  <c r="I66" i="2"/>
  <c r="V80" i="2"/>
  <c r="O80" i="2"/>
  <c r="N80" i="2"/>
  <c r="W7" i="2"/>
  <c r="AB75" i="2"/>
  <c r="K75" i="2"/>
  <c r="J75" i="2"/>
  <c r="I7" i="2"/>
  <c r="Q16" i="2"/>
  <c r="AE23" i="2"/>
  <c r="V12" i="2"/>
  <c r="O12" i="2"/>
  <c r="X12" i="2"/>
  <c r="N15" i="2"/>
  <c r="AC16" i="2"/>
  <c r="O35" i="2"/>
  <c r="F41" i="2"/>
  <c r="AD41" i="2"/>
  <c r="O64" i="2"/>
  <c r="F69" i="2"/>
  <c r="S75" i="2"/>
  <c r="AA77" i="2"/>
  <c r="Q78" i="2"/>
  <c r="R80" i="2"/>
  <c r="E82" i="2"/>
  <c r="N88" i="2"/>
  <c r="AF93" i="2"/>
  <c r="AB93" i="2"/>
  <c r="G93" i="2"/>
  <c r="U93" i="2"/>
  <c r="H93" i="2"/>
  <c r="F93" i="2"/>
  <c r="AE93" i="2"/>
  <c r="E98" i="2"/>
  <c r="Y98" i="2"/>
  <c r="W104" i="2"/>
  <c r="E106" i="2"/>
  <c r="F114" i="2"/>
  <c r="Y114" i="2"/>
  <c r="AF115" i="2"/>
  <c r="U116" i="2"/>
  <c r="AA123" i="2"/>
  <c r="Y125" i="2"/>
  <c r="M127" i="2"/>
  <c r="G132" i="2"/>
  <c r="Q133" i="2"/>
  <c r="U138" i="2"/>
  <c r="X140" i="2"/>
  <c r="Y149" i="2"/>
  <c r="X163" i="2"/>
  <c r="U174" i="2"/>
  <c r="U175" i="2"/>
  <c r="S183" i="2"/>
  <c r="W183" i="2"/>
  <c r="M183" i="2"/>
  <c r="AG183" i="2"/>
  <c r="AD183" i="2"/>
  <c r="Y183" i="2"/>
  <c r="V183" i="2"/>
  <c r="T183" i="2"/>
  <c r="AA194" i="2"/>
  <c r="AE194" i="2"/>
  <c r="Q194" i="2"/>
  <c r="AB194" i="2"/>
  <c r="K194" i="2"/>
  <c r="V194" i="2"/>
  <c r="G194" i="2"/>
  <c r="T194" i="2"/>
  <c r="R194" i="2"/>
  <c r="P194" i="2"/>
  <c r="AG194" i="2"/>
  <c r="N194" i="2"/>
  <c r="AF194" i="2"/>
  <c r="L194" i="2"/>
  <c r="AD194" i="2"/>
  <c r="J194" i="2"/>
  <c r="AC194" i="2"/>
  <c r="I194" i="2"/>
  <c r="AD277" i="2"/>
  <c r="AC277" i="2"/>
  <c r="AF277" i="2"/>
  <c r="R277" i="2"/>
  <c r="AB277" i="2"/>
  <c r="N277" i="2"/>
  <c r="O277" i="2"/>
  <c r="T323" i="2"/>
  <c r="AB32" i="2"/>
  <c r="L32" i="2"/>
  <c r="W47" i="2"/>
  <c r="AE47" i="2"/>
  <c r="L47" i="2"/>
  <c r="AD47" i="2"/>
  <c r="J47" i="2"/>
  <c r="AD66" i="2"/>
  <c r="I35" i="2"/>
  <c r="AB7" i="2"/>
  <c r="U28" i="2"/>
  <c r="AA32" i="2"/>
  <c r="K7" i="2"/>
  <c r="AC7" i="2"/>
  <c r="AF23" i="2"/>
  <c r="Q26" i="2"/>
  <c r="AF26" i="2"/>
  <c r="V28" i="2"/>
  <c r="K32" i="2"/>
  <c r="AD32" i="2"/>
  <c r="AA34" i="2"/>
  <c r="E45" i="2"/>
  <c r="W45" i="2"/>
  <c r="O47" i="2"/>
  <c r="AF49" i="2"/>
  <c r="T56" i="2"/>
  <c r="U58" i="2"/>
  <c r="Q66" i="2"/>
  <c r="AD69" i="2"/>
  <c r="L7" i="2"/>
  <c r="AG7" i="2"/>
  <c r="W9" i="2"/>
  <c r="U9" i="2"/>
  <c r="Y9" i="2"/>
  <c r="E12" i="2"/>
  <c r="Z12" i="2"/>
  <c r="Q15" i="2"/>
  <c r="AD16" i="2"/>
  <c r="N18" i="2"/>
  <c r="V19" i="2"/>
  <c r="G19" i="2"/>
  <c r="T19" i="2"/>
  <c r="O21" i="2"/>
  <c r="Y24" i="2"/>
  <c r="H25" i="2"/>
  <c r="R26" i="2"/>
  <c r="W28" i="2"/>
  <c r="N32" i="2"/>
  <c r="AF32" i="2"/>
  <c r="AC34" i="2"/>
  <c r="H36" i="2"/>
  <c r="AC36" i="2"/>
  <c r="G41" i="2"/>
  <c r="AF41" i="2"/>
  <c r="J43" i="2"/>
  <c r="AC43" i="2"/>
  <c r="F45" i="2"/>
  <c r="X45" i="2"/>
  <c r="Q47" i="2"/>
  <c r="W48" i="2"/>
  <c r="Y48" i="2"/>
  <c r="O48" i="2"/>
  <c r="R53" i="2"/>
  <c r="V58" i="2"/>
  <c r="R64" i="2"/>
  <c r="V66" i="2"/>
  <c r="H67" i="2"/>
  <c r="AA67" i="2"/>
  <c r="G69" i="2"/>
  <c r="AE69" i="2"/>
  <c r="S72" i="2"/>
  <c r="E72" i="2"/>
  <c r="X72" i="2"/>
  <c r="I72" i="2"/>
  <c r="W72" i="2"/>
  <c r="G72" i="2"/>
  <c r="Y72" i="2"/>
  <c r="Z73" i="2"/>
  <c r="W75" i="2"/>
  <c r="R78" i="2"/>
  <c r="W80" i="2"/>
  <c r="H82" i="2"/>
  <c r="V83" i="2"/>
  <c r="H83" i="2"/>
  <c r="Z83" i="2"/>
  <c r="K83" i="2"/>
  <c r="Y83" i="2"/>
  <c r="J83" i="2"/>
  <c r="W83" i="2"/>
  <c r="O88" i="2"/>
  <c r="AD89" i="2"/>
  <c r="X89" i="2"/>
  <c r="F89" i="2"/>
  <c r="S89" i="2"/>
  <c r="M89" i="2"/>
  <c r="J89" i="2"/>
  <c r="AC89" i="2"/>
  <c r="E93" i="2"/>
  <c r="Y96" i="2"/>
  <c r="K96" i="2"/>
  <c r="U96" i="2"/>
  <c r="F96" i="2"/>
  <c r="R96" i="2"/>
  <c r="Q96" i="2"/>
  <c r="X96" i="2"/>
  <c r="M97" i="2"/>
  <c r="F98" i="2"/>
  <c r="AA98" i="2"/>
  <c r="P101" i="2"/>
  <c r="AA104" i="2"/>
  <c r="T106" i="2"/>
  <c r="G114" i="2"/>
  <c r="AD114" i="2"/>
  <c r="AG115" i="2"/>
  <c r="V116" i="2"/>
  <c r="AF123" i="2"/>
  <c r="Z127" i="2"/>
  <c r="M130" i="2"/>
  <c r="AB130" i="2"/>
  <c r="I130" i="2"/>
  <c r="AC130" i="2"/>
  <c r="F130" i="2"/>
  <c r="Y130" i="2"/>
  <c r="X130" i="2"/>
  <c r="I132" i="2"/>
  <c r="AC133" i="2"/>
  <c r="U136" i="2"/>
  <c r="P136" i="2"/>
  <c r="N136" i="2"/>
  <c r="M136" i="2"/>
  <c r="AE142" i="2"/>
  <c r="K142" i="2"/>
  <c r="X142" i="2"/>
  <c r="G142" i="2"/>
  <c r="L142" i="2"/>
  <c r="I142" i="2"/>
  <c r="AD142" i="2"/>
  <c r="H142" i="2"/>
  <c r="O147" i="2"/>
  <c r="I147" i="2"/>
  <c r="L147" i="2"/>
  <c r="Z149" i="2"/>
  <c r="Q161" i="2"/>
  <c r="G167" i="2"/>
  <c r="Y169" i="2"/>
  <c r="M169" i="2"/>
  <c r="AC169" i="2"/>
  <c r="H169" i="2"/>
  <c r="AB169" i="2"/>
  <c r="X169" i="2"/>
  <c r="V169" i="2"/>
  <c r="U169" i="2"/>
  <c r="R169" i="2"/>
  <c r="V174" i="2"/>
  <c r="P177" i="2"/>
  <c r="G183" i="2"/>
  <c r="E194" i="2"/>
  <c r="T195" i="2"/>
  <c r="AA223" i="2"/>
  <c r="AE223" i="2"/>
  <c r="R223" i="2"/>
  <c r="E223" i="2"/>
  <c r="Y223" i="2"/>
  <c r="K223" i="2"/>
  <c r="AB223" i="2"/>
  <c r="L223" i="2"/>
  <c r="W223" i="2"/>
  <c r="G223" i="2"/>
  <c r="S223" i="2"/>
  <c r="U223" i="2"/>
  <c r="T223" i="2"/>
  <c r="Q223" i="2"/>
  <c r="P223" i="2"/>
  <c r="N223" i="2"/>
  <c r="AG223" i="2"/>
  <c r="M223" i="2"/>
  <c r="AF223" i="2"/>
  <c r="J223" i="2"/>
  <c r="AD223" i="2"/>
  <c r="I223" i="2"/>
  <c r="AC223" i="2"/>
  <c r="H223" i="2"/>
  <c r="AF78" i="2"/>
  <c r="AC80" i="2"/>
  <c r="Z47" i="2"/>
  <c r="O7" i="2"/>
  <c r="AF16" i="2"/>
  <c r="Y23" i="2"/>
  <c r="AD23" i="2"/>
  <c r="AG32" i="2"/>
  <c r="AD34" i="2"/>
  <c r="Z58" i="2"/>
  <c r="Z66" i="2"/>
  <c r="AA75" i="2"/>
  <c r="Y77" i="2"/>
  <c r="M77" i="2"/>
  <c r="L77" i="2"/>
  <c r="AC77" i="2"/>
  <c r="X80" i="2"/>
  <c r="P88" i="2"/>
  <c r="AG100" i="2"/>
  <c r="R100" i="2"/>
  <c r="M100" i="2"/>
  <c r="L100" i="2"/>
  <c r="V125" i="2"/>
  <c r="F125" i="2"/>
  <c r="O125" i="2"/>
  <c r="S125" i="2"/>
  <c r="M125" i="2"/>
  <c r="AG125" i="2"/>
  <c r="L125" i="2"/>
  <c r="AA125" i="2"/>
  <c r="AE133" i="2"/>
  <c r="AB140" i="2"/>
  <c r="Y140" i="2"/>
  <c r="J140" i="2"/>
  <c r="U140" i="2"/>
  <c r="E140" i="2"/>
  <c r="R140" i="2"/>
  <c r="N140" i="2"/>
  <c r="AG140" i="2"/>
  <c r="M140" i="2"/>
  <c r="AA140" i="2"/>
  <c r="S144" i="2"/>
  <c r="V144" i="2"/>
  <c r="Y152" i="2"/>
  <c r="K152" i="2"/>
  <c r="AG152" i="2"/>
  <c r="AD152" i="2"/>
  <c r="AA152" i="2"/>
  <c r="T163" i="2"/>
  <c r="F163" i="2"/>
  <c r="AB163" i="2"/>
  <c r="N163" i="2"/>
  <c r="AG163" i="2"/>
  <c r="O163" i="2"/>
  <c r="AF163" i="2"/>
  <c r="M163" i="2"/>
  <c r="AE163" i="2"/>
  <c r="L163" i="2"/>
  <c r="AA163" i="2"/>
  <c r="K163" i="2"/>
  <c r="Z163" i="2"/>
  <c r="W174" i="2"/>
  <c r="AA215" i="2"/>
  <c r="AF215" i="2"/>
  <c r="S215" i="2"/>
  <c r="F215" i="2"/>
  <c r="AB215" i="2"/>
  <c r="M215" i="2"/>
  <c r="R215" i="2"/>
  <c r="V215" i="2"/>
  <c r="E215" i="2"/>
  <c r="AG215" i="2"/>
  <c r="P215" i="2"/>
  <c r="T215" i="2"/>
  <c r="Q215" i="2"/>
  <c r="N215" i="2"/>
  <c r="L215" i="2"/>
  <c r="AE215" i="2"/>
  <c r="K215" i="2"/>
  <c r="AD215" i="2"/>
  <c r="J215" i="2"/>
  <c r="AC215" i="2"/>
  <c r="I215" i="2"/>
  <c r="Z215" i="2"/>
  <c r="H215" i="2"/>
  <c r="Y215" i="2"/>
  <c r="G215" i="2"/>
  <c r="Z303" i="2"/>
  <c r="W303" i="2"/>
  <c r="U303" i="2"/>
  <c r="X336" i="2"/>
  <c r="S336" i="2"/>
  <c r="O336" i="2"/>
  <c r="AG336" i="2"/>
  <c r="T336" i="2"/>
  <c r="J336" i="2"/>
  <c r="AD336" i="2"/>
  <c r="AA336" i="2"/>
  <c r="V336" i="2"/>
  <c r="L336" i="2"/>
  <c r="I336" i="2"/>
  <c r="AG78" i="2"/>
  <c r="H78" i="2"/>
  <c r="W78" i="2"/>
  <c r="V78" i="2"/>
  <c r="F28" i="2"/>
  <c r="Q32" i="2"/>
  <c r="E39" i="2"/>
  <c r="M40" i="2"/>
  <c r="M41" i="2"/>
  <c r="H45" i="2"/>
  <c r="AD45" i="2"/>
  <c r="F49" i="2"/>
  <c r="Q51" i="2"/>
  <c r="AD56" i="2"/>
  <c r="N56" i="2"/>
  <c r="AF56" i="2"/>
  <c r="L56" i="2"/>
  <c r="AB56" i="2"/>
  <c r="K56" i="2"/>
  <c r="W56" i="2"/>
  <c r="E58" i="2"/>
  <c r="AA66" i="2"/>
  <c r="I69" i="2"/>
  <c r="AF75" i="2"/>
  <c r="H77" i="2"/>
  <c r="AF77" i="2"/>
  <c r="T78" i="2"/>
  <c r="Z80" i="2"/>
  <c r="O82" i="2"/>
  <c r="S88" i="2"/>
  <c r="J93" i="2"/>
  <c r="F94" i="2"/>
  <c r="H98" i="2"/>
  <c r="AF98" i="2"/>
  <c r="P100" i="2"/>
  <c r="AE106" i="2"/>
  <c r="T109" i="2"/>
  <c r="U109" i="2"/>
  <c r="AD109" i="2"/>
  <c r="R109" i="2"/>
  <c r="L114" i="2"/>
  <c r="AF114" i="2"/>
  <c r="E125" i="2"/>
  <c r="AB125" i="2"/>
  <c r="S131" i="2"/>
  <c r="AE131" i="2"/>
  <c r="W131" i="2"/>
  <c r="Y131" i="2"/>
  <c r="K131" i="2"/>
  <c r="J131" i="2"/>
  <c r="M132" i="2"/>
  <c r="L135" i="2"/>
  <c r="AD135" i="2"/>
  <c r="AA135" i="2"/>
  <c r="R135" i="2"/>
  <c r="O135" i="2"/>
  <c r="W138" i="2"/>
  <c r="I138" i="2"/>
  <c r="AG138" i="2"/>
  <c r="S138" i="2"/>
  <c r="E138" i="2"/>
  <c r="V138" i="2"/>
  <c r="F138" i="2"/>
  <c r="T138" i="2"/>
  <c r="R138" i="2"/>
  <c r="AA138" i="2"/>
  <c r="F140" i="2"/>
  <c r="AD140" i="2"/>
  <c r="F152" i="2"/>
  <c r="G163" i="2"/>
  <c r="W167" i="2"/>
  <c r="X174" i="2"/>
  <c r="T193" i="2"/>
  <c r="E193" i="2"/>
  <c r="AD193" i="2"/>
  <c r="N193" i="2"/>
  <c r="Z193" i="2"/>
  <c r="H193" i="2"/>
  <c r="P193" i="2"/>
  <c r="AG193" i="2"/>
  <c r="M193" i="2"/>
  <c r="AF193" i="2"/>
  <c r="K193" i="2"/>
  <c r="AC193" i="2"/>
  <c r="I193" i="2"/>
  <c r="AB193" i="2"/>
  <c r="G193" i="2"/>
  <c r="AA193" i="2"/>
  <c r="F193" i="2"/>
  <c r="H194" i="2"/>
  <c r="AG197" i="2"/>
  <c r="H197" i="2"/>
  <c r="T197" i="2"/>
  <c r="N197" i="2"/>
  <c r="I197" i="2"/>
  <c r="X201" i="2"/>
  <c r="S201" i="2"/>
  <c r="AD201" i="2"/>
  <c r="V201" i="2"/>
  <c r="U201" i="2"/>
  <c r="P201" i="2"/>
  <c r="AA208" i="2"/>
  <c r="AC208" i="2"/>
  <c r="G208" i="2"/>
  <c r="U208" i="2"/>
  <c r="T208" i="2"/>
  <c r="L208" i="2"/>
  <c r="Z208" i="2"/>
  <c r="W208" i="2"/>
  <c r="V208" i="2"/>
  <c r="S208" i="2"/>
  <c r="P208" i="2"/>
  <c r="N208" i="2"/>
  <c r="I208" i="2"/>
  <c r="H208" i="2"/>
  <c r="E208" i="2"/>
  <c r="U215" i="2"/>
  <c r="F336" i="2"/>
  <c r="U32" i="2"/>
  <c r="V35" i="2"/>
  <c r="K35" i="2"/>
  <c r="AD35" i="2"/>
  <c r="AC64" i="2"/>
  <c r="J64" i="2"/>
  <c r="Q64" i="2"/>
  <c r="P64" i="2"/>
  <c r="AF99" i="2"/>
  <c r="S99" i="2"/>
  <c r="X26" i="2"/>
  <c r="J26" i="2"/>
  <c r="Y28" i="2"/>
  <c r="Y35" i="2"/>
  <c r="R47" i="2"/>
  <c r="AB58" i="2"/>
  <c r="W58" i="2"/>
  <c r="G58" i="2"/>
  <c r="AD58" i="2"/>
  <c r="I58" i="2"/>
  <c r="AA58" i="2"/>
  <c r="H58" i="2"/>
  <c r="U64" i="2"/>
  <c r="E26" i="2"/>
  <c r="T26" i="2"/>
  <c r="AF34" i="2"/>
  <c r="Z35" i="2"/>
  <c r="AG15" i="2"/>
  <c r="AB22" i="2"/>
  <c r="AG22" i="2"/>
  <c r="AA35" i="2"/>
  <c r="L36" i="2"/>
  <c r="N41" i="2"/>
  <c r="R51" i="2"/>
  <c r="AB66" i="2"/>
  <c r="J69" i="2"/>
  <c r="P82" i="2"/>
  <c r="V88" i="2"/>
  <c r="O93" i="2"/>
  <c r="S94" i="2"/>
  <c r="AG104" i="2"/>
  <c r="AE104" i="2"/>
  <c r="J104" i="2"/>
  <c r="X104" i="2"/>
  <c r="E104" i="2"/>
  <c r="P104" i="2"/>
  <c r="O104" i="2"/>
  <c r="AF106" i="2"/>
  <c r="M114" i="2"/>
  <c r="O124" i="2"/>
  <c r="J124" i="2"/>
  <c r="AE124" i="2"/>
  <c r="AC124" i="2"/>
  <c r="AB124" i="2"/>
  <c r="G125" i="2"/>
  <c r="AC125" i="2"/>
  <c r="R128" i="2"/>
  <c r="AA128" i="2"/>
  <c r="L128" i="2"/>
  <c r="AB128" i="2"/>
  <c r="AB132" i="2"/>
  <c r="G140" i="2"/>
  <c r="AE140" i="2"/>
  <c r="U149" i="2"/>
  <c r="AF149" i="2"/>
  <c r="M149" i="2"/>
  <c r="P149" i="2"/>
  <c r="O149" i="2"/>
  <c r="N149" i="2"/>
  <c r="L149" i="2"/>
  <c r="AC149" i="2"/>
  <c r="G152" i="2"/>
  <c r="H163" i="2"/>
  <c r="X167" i="2"/>
  <c r="AB174" i="2"/>
  <c r="S194" i="2"/>
  <c r="W215" i="2"/>
  <c r="AB64" i="2"/>
  <c r="E32" i="2"/>
  <c r="E64" i="2"/>
  <c r="E66" i="2"/>
  <c r="Z88" i="2"/>
  <c r="T95" i="2"/>
  <c r="R95" i="2"/>
  <c r="AE95" i="2"/>
  <c r="S26" i="2"/>
  <c r="X28" i="2"/>
  <c r="AA28" i="2"/>
  <c r="J28" i="2"/>
  <c r="O32" i="2"/>
  <c r="AA39" i="2"/>
  <c r="Q39" i="2"/>
  <c r="N39" i="2"/>
  <c r="AG40" i="2"/>
  <c r="O40" i="2"/>
  <c r="N40" i="2"/>
  <c r="T49" i="2"/>
  <c r="I49" i="2"/>
  <c r="H49" i="2"/>
  <c r="P7" i="2"/>
  <c r="AE15" i="2"/>
  <c r="J23" i="2"/>
  <c r="R31" i="2"/>
  <c r="T47" i="2"/>
  <c r="S7" i="2"/>
  <c r="J12" i="2"/>
  <c r="AD12" i="2"/>
  <c r="AF21" i="2"/>
  <c r="Q21" i="2"/>
  <c r="T21" i="2"/>
  <c r="L23" i="2"/>
  <c r="M25" i="2"/>
  <c r="F26" i="2"/>
  <c r="U26" i="2"/>
  <c r="T27" i="2"/>
  <c r="N27" i="2"/>
  <c r="H28" i="2"/>
  <c r="AC28" i="2"/>
  <c r="R32" i="2"/>
  <c r="I45" i="2"/>
  <c r="AE45" i="2"/>
  <c r="U47" i="2"/>
  <c r="E56" i="2"/>
  <c r="X56" i="2"/>
  <c r="F58" i="2"/>
  <c r="AF58" i="2"/>
  <c r="R60" i="2"/>
  <c r="X64" i="2"/>
  <c r="AG75" i="2"/>
  <c r="I77" i="2"/>
  <c r="AB78" i="2"/>
  <c r="AA80" i="2"/>
  <c r="J98" i="2"/>
  <c r="Q100" i="2"/>
  <c r="R116" i="2"/>
  <c r="AA116" i="2"/>
  <c r="L116" i="2"/>
  <c r="N116" i="2"/>
  <c r="AD116" i="2"/>
  <c r="K116" i="2"/>
  <c r="AC116" i="2"/>
  <c r="J116" i="2"/>
  <c r="Y116" i="2"/>
  <c r="T7" i="2"/>
  <c r="N8" i="2"/>
  <c r="K9" i="2"/>
  <c r="AD9" i="2"/>
  <c r="O10" i="2"/>
  <c r="K12" i="2"/>
  <c r="AE12" i="2"/>
  <c r="N13" i="2"/>
  <c r="AF13" i="2"/>
  <c r="Z18" i="2"/>
  <c r="I19" i="2"/>
  <c r="Y19" i="2"/>
  <c r="E21" i="2"/>
  <c r="U21" i="2"/>
  <c r="N22" i="2"/>
  <c r="M23" i="2"/>
  <c r="E24" i="2"/>
  <c r="AC24" i="2"/>
  <c r="O25" i="2"/>
  <c r="G26" i="2"/>
  <c r="V26" i="2"/>
  <c r="M27" i="2"/>
  <c r="K28" i="2"/>
  <c r="AD28" i="2"/>
  <c r="X29" i="2"/>
  <c r="T32" i="2"/>
  <c r="AB33" i="2"/>
  <c r="T33" i="2"/>
  <c r="AC35" i="2"/>
  <c r="M36" i="2"/>
  <c r="M39" i="2"/>
  <c r="AB40" i="2"/>
  <c r="P41" i="2"/>
  <c r="AF42" i="2"/>
  <c r="N42" i="2"/>
  <c r="L42" i="2"/>
  <c r="AD42" i="2"/>
  <c r="O43" i="2"/>
  <c r="N45" i="2"/>
  <c r="AF45" i="2"/>
  <c r="V47" i="2"/>
  <c r="L48" i="2"/>
  <c r="M49" i="2"/>
  <c r="AG51" i="2"/>
  <c r="F54" i="2"/>
  <c r="F56" i="2"/>
  <c r="Y56" i="2"/>
  <c r="J58" i="2"/>
  <c r="AG58" i="2"/>
  <c r="AA64" i="2"/>
  <c r="AC66" i="2"/>
  <c r="L67" i="2"/>
  <c r="AG67" i="2"/>
  <c r="M69" i="2"/>
  <c r="L72" i="2"/>
  <c r="AD72" i="2"/>
  <c r="J77" i="2"/>
  <c r="AE78" i="2"/>
  <c r="AB80" i="2"/>
  <c r="Q82" i="2"/>
  <c r="L83" i="2"/>
  <c r="AE83" i="2"/>
  <c r="W88" i="2"/>
  <c r="I89" i="2"/>
  <c r="Y92" i="2"/>
  <c r="P93" i="2"/>
  <c r="J96" i="2"/>
  <c r="AD96" i="2"/>
  <c r="S97" i="2"/>
  <c r="K98" i="2"/>
  <c r="X100" i="2"/>
  <c r="AD101" i="2"/>
  <c r="AB102" i="2"/>
  <c r="F104" i="2"/>
  <c r="AG109" i="2"/>
  <c r="O114" i="2"/>
  <c r="E116" i="2"/>
  <c r="Z116" i="2"/>
  <c r="X117" i="2"/>
  <c r="S119" i="2"/>
  <c r="L119" i="2"/>
  <c r="H119" i="2"/>
  <c r="AB119" i="2"/>
  <c r="AA119" i="2"/>
  <c r="AC121" i="2"/>
  <c r="Q121" i="2"/>
  <c r="AA121" i="2"/>
  <c r="P121" i="2"/>
  <c r="O121" i="2"/>
  <c r="AB122" i="2"/>
  <c r="J122" i="2"/>
  <c r="V122" i="2"/>
  <c r="F122" i="2"/>
  <c r="AG122" i="2"/>
  <c r="L122" i="2"/>
  <c r="AC122" i="2"/>
  <c r="H122" i="2"/>
  <c r="G122" i="2"/>
  <c r="AA122" i="2"/>
  <c r="L124" i="2"/>
  <c r="H125" i="2"/>
  <c r="F128" i="2"/>
  <c r="L130" i="2"/>
  <c r="H131" i="2"/>
  <c r="L134" i="2"/>
  <c r="H134" i="2"/>
  <c r="AA134" i="2"/>
  <c r="X134" i="2"/>
  <c r="U134" i="2"/>
  <c r="M135" i="2"/>
  <c r="Z136" i="2"/>
  <c r="H138" i="2"/>
  <c r="AD138" i="2"/>
  <c r="I140" i="2"/>
  <c r="P142" i="2"/>
  <c r="U147" i="2"/>
  <c r="F149" i="2"/>
  <c r="AG149" i="2"/>
  <c r="O152" i="2"/>
  <c r="Z153" i="2"/>
  <c r="T159" i="2"/>
  <c r="AF161" i="2"/>
  <c r="I163" i="2"/>
  <c r="AG164" i="2"/>
  <c r="P164" i="2"/>
  <c r="AA164" i="2"/>
  <c r="L164" i="2"/>
  <c r="R164" i="2"/>
  <c r="O164" i="2"/>
  <c r="N164" i="2"/>
  <c r="AD164" i="2"/>
  <c r="M164" i="2"/>
  <c r="AB164" i="2"/>
  <c r="AB167" i="2"/>
  <c r="L169" i="2"/>
  <c r="U178" i="2"/>
  <c r="K178" i="2"/>
  <c r="AE178" i="2"/>
  <c r="R193" i="2"/>
  <c r="U194" i="2"/>
  <c r="AG208" i="2"/>
  <c r="X215" i="2"/>
  <c r="Z223" i="2"/>
  <c r="R250" i="2"/>
  <c r="I250" i="2"/>
  <c r="N250" i="2"/>
  <c r="K250" i="2"/>
  <c r="AB250" i="2"/>
  <c r="AD250" i="2"/>
  <c r="S254" i="2"/>
  <c r="W254" i="2"/>
  <c r="T254" i="2"/>
  <c r="W258" i="2"/>
  <c r="E258" i="2"/>
  <c r="AB258" i="2"/>
  <c r="H258" i="2"/>
  <c r="Z258" i="2"/>
  <c r="U258" i="2"/>
  <c r="I258" i="2"/>
  <c r="AA258" i="2"/>
  <c r="S258" i="2"/>
  <c r="M258" i="2"/>
  <c r="AA259" i="2"/>
  <c r="AG259" i="2"/>
  <c r="T259" i="2"/>
  <c r="G259" i="2"/>
  <c r="Y259" i="2"/>
  <c r="K259" i="2"/>
  <c r="Z259" i="2"/>
  <c r="J259" i="2"/>
  <c r="W259" i="2"/>
  <c r="H259" i="2"/>
  <c r="S259" i="2"/>
  <c r="AF259" i="2"/>
  <c r="N259" i="2"/>
  <c r="M259" i="2"/>
  <c r="AC259" i="2"/>
  <c r="E259" i="2"/>
  <c r="AE259" i="2"/>
  <c r="AD347" i="2"/>
  <c r="AB347" i="2"/>
  <c r="L347" i="2"/>
  <c r="Y347" i="2"/>
  <c r="G347" i="2"/>
  <c r="U347" i="2"/>
  <c r="T347" i="2"/>
  <c r="K347" i="2"/>
  <c r="AG347" i="2"/>
  <c r="H347" i="2"/>
  <c r="X347" i="2"/>
  <c r="R347" i="2"/>
  <c r="W347" i="2"/>
  <c r="O347" i="2"/>
  <c r="N347" i="2"/>
  <c r="M347" i="2"/>
  <c r="I347" i="2"/>
  <c r="AA347" i="2"/>
  <c r="Z347" i="2"/>
  <c r="E347" i="2"/>
  <c r="W221" i="2"/>
  <c r="N221" i="2"/>
  <c r="R221" i="2"/>
  <c r="U226" i="2"/>
  <c r="Q226" i="2"/>
  <c r="N226" i="2"/>
  <c r="V226" i="2"/>
  <c r="AC226" i="2"/>
  <c r="G226" i="2"/>
  <c r="X232" i="2"/>
  <c r="Z232" i="2"/>
  <c r="H250" i="2"/>
  <c r="F254" i="2"/>
  <c r="G258" i="2"/>
  <c r="F259" i="2"/>
  <c r="T269" i="2"/>
  <c r="V269" i="2"/>
  <c r="F269" i="2"/>
  <c r="AD269" i="2"/>
  <c r="S269" i="2"/>
  <c r="R306" i="2"/>
  <c r="AD306" i="2"/>
  <c r="N306" i="2"/>
  <c r="AG306" i="2"/>
  <c r="M306" i="2"/>
  <c r="AB306" i="2"/>
  <c r="K306" i="2"/>
  <c r="O306" i="2"/>
  <c r="J306" i="2"/>
  <c r="P306" i="2"/>
  <c r="L306" i="2"/>
  <c r="H306" i="2"/>
  <c r="F306" i="2"/>
  <c r="AC306" i="2"/>
  <c r="E306" i="2"/>
  <c r="T306" i="2"/>
  <c r="AC347" i="2"/>
  <c r="Y210" i="2"/>
  <c r="AA216" i="2"/>
  <c r="S220" i="2"/>
  <c r="L220" i="2"/>
  <c r="W220" i="2"/>
  <c r="U220" i="2"/>
  <c r="H220" i="2"/>
  <c r="AG220" i="2"/>
  <c r="T221" i="2"/>
  <c r="E226" i="2"/>
  <c r="W232" i="2"/>
  <c r="R245" i="2"/>
  <c r="X245" i="2"/>
  <c r="M250" i="2"/>
  <c r="I254" i="2"/>
  <c r="J258" i="2"/>
  <c r="I259" i="2"/>
  <c r="AF269" i="2"/>
  <c r="S272" i="2"/>
  <c r="O278" i="2"/>
  <c r="S278" i="2"/>
  <c r="M278" i="2"/>
  <c r="V278" i="2"/>
  <c r="R278" i="2"/>
  <c r="H278" i="2"/>
  <c r="AB278" i="2"/>
  <c r="Z278" i="2"/>
  <c r="K278" i="2"/>
  <c r="S284" i="2"/>
  <c r="U306" i="2"/>
  <c r="Z325" i="2"/>
  <c r="AG325" i="2"/>
  <c r="G325" i="2"/>
  <c r="AD325" i="2"/>
  <c r="O325" i="2"/>
  <c r="L325" i="2"/>
  <c r="AF325" i="2"/>
  <c r="W325" i="2"/>
  <c r="U325" i="2"/>
  <c r="T325" i="2"/>
  <c r="Q325" i="2"/>
  <c r="AC335" i="2"/>
  <c r="L335" i="2"/>
  <c r="AA335" i="2"/>
  <c r="H335" i="2"/>
  <c r="P335" i="2"/>
  <c r="O335" i="2"/>
  <c r="AF335" i="2"/>
  <c r="K335" i="2"/>
  <c r="X335" i="2"/>
  <c r="U335" i="2"/>
  <c r="AB335" i="2"/>
  <c r="Y335" i="2"/>
  <c r="W335" i="2"/>
  <c r="T335" i="2"/>
  <c r="Q335" i="2"/>
  <c r="N335" i="2"/>
  <c r="U185" i="2"/>
  <c r="X185" i="2"/>
  <c r="M185" i="2"/>
  <c r="AD186" i="2"/>
  <c r="X186" i="2"/>
  <c r="AA203" i="2"/>
  <c r="U203" i="2"/>
  <c r="H203" i="2"/>
  <c r="AC203" i="2"/>
  <c r="N203" i="2"/>
  <c r="X203" i="2"/>
  <c r="J203" i="2"/>
  <c r="T203" i="2"/>
  <c r="V204" i="2"/>
  <c r="U204" i="2"/>
  <c r="AF204" i="2"/>
  <c r="L204" i="2"/>
  <c r="Z204" i="2"/>
  <c r="G204" i="2"/>
  <c r="AB204" i="2"/>
  <c r="AA207" i="2"/>
  <c r="Y207" i="2"/>
  <c r="L207" i="2"/>
  <c r="AG207" i="2"/>
  <c r="S207" i="2"/>
  <c r="E207" i="2"/>
  <c r="AE207" i="2"/>
  <c r="P207" i="2"/>
  <c r="Z207" i="2"/>
  <c r="J207" i="2"/>
  <c r="V207" i="2"/>
  <c r="Z210" i="2"/>
  <c r="AC216" i="2"/>
  <c r="G220" i="2"/>
  <c r="V221" i="2"/>
  <c r="O226" i="2"/>
  <c r="Y232" i="2"/>
  <c r="AA236" i="2"/>
  <c r="T236" i="2"/>
  <c r="G236" i="2"/>
  <c r="V236" i="2"/>
  <c r="AA243" i="2"/>
  <c r="X243" i="2"/>
  <c r="K243" i="2"/>
  <c r="AG243" i="2"/>
  <c r="S243" i="2"/>
  <c r="E243" i="2"/>
  <c r="AE243" i="2"/>
  <c r="Q243" i="2"/>
  <c r="AB243" i="2"/>
  <c r="J243" i="2"/>
  <c r="V243" i="2"/>
  <c r="F243" i="2"/>
  <c r="M243" i="2"/>
  <c r="Z243" i="2"/>
  <c r="G243" i="2"/>
  <c r="AD243" i="2"/>
  <c r="E245" i="2"/>
  <c r="V250" i="2"/>
  <c r="Z254" i="2"/>
  <c r="N258" i="2"/>
  <c r="L259" i="2"/>
  <c r="AE260" i="2"/>
  <c r="O260" i="2"/>
  <c r="Y260" i="2"/>
  <c r="H260" i="2"/>
  <c r="AB260" i="2"/>
  <c r="K260" i="2"/>
  <c r="Z260" i="2"/>
  <c r="G260" i="2"/>
  <c r="AC260" i="2"/>
  <c r="E260" i="2"/>
  <c r="U260" i="2"/>
  <c r="AG260" i="2"/>
  <c r="T260" i="2"/>
  <c r="AA261" i="2"/>
  <c r="M261" i="2"/>
  <c r="Z261" i="2"/>
  <c r="K261" i="2"/>
  <c r="X261" i="2"/>
  <c r="H261" i="2"/>
  <c r="O261" i="2"/>
  <c r="AE261" i="2"/>
  <c r="L261" i="2"/>
  <c r="S261" i="2"/>
  <c r="J261" i="2"/>
  <c r="W261" i="2"/>
  <c r="Q261" i="2"/>
  <c r="T284" i="2"/>
  <c r="Z290" i="2"/>
  <c r="AA290" i="2"/>
  <c r="J290" i="2"/>
  <c r="U290" i="2"/>
  <c r="P290" i="2"/>
  <c r="W290" i="2"/>
  <c r="T290" i="2"/>
  <c r="V290" i="2"/>
  <c r="N290" i="2"/>
  <c r="K290" i="2"/>
  <c r="E290" i="2"/>
  <c r="AB290" i="2"/>
  <c r="W304" i="2"/>
  <c r="J304" i="2"/>
  <c r="Q304" i="2"/>
  <c r="L304" i="2"/>
  <c r="W306" i="2"/>
  <c r="W320" i="2"/>
  <c r="E320" i="2"/>
  <c r="AD320" i="2"/>
  <c r="I320" i="2"/>
  <c r="O320" i="2"/>
  <c r="AF320" i="2"/>
  <c r="K320" i="2"/>
  <c r="Q320" i="2"/>
  <c r="L320" i="2"/>
  <c r="AC320" i="2"/>
  <c r="AB320" i="2"/>
  <c r="X320" i="2"/>
  <c r="V320" i="2"/>
  <c r="U320" i="2"/>
  <c r="AE320" i="2"/>
  <c r="AA85" i="2"/>
  <c r="M85" i="2"/>
  <c r="V85" i="2"/>
  <c r="H85" i="2"/>
  <c r="T85" i="2"/>
  <c r="Q168" i="2"/>
  <c r="R168" i="2"/>
  <c r="V172" i="2"/>
  <c r="F185" i="2"/>
  <c r="U187" i="2"/>
  <c r="F207" i="2"/>
  <c r="H243" i="2"/>
  <c r="V245" i="2"/>
  <c r="Z310" i="2"/>
  <c r="W310" i="2"/>
  <c r="E310" i="2"/>
  <c r="AA310" i="2"/>
  <c r="I310" i="2"/>
  <c r="O310" i="2"/>
  <c r="M310" i="2"/>
  <c r="K310" i="2"/>
  <c r="AD310" i="2"/>
  <c r="H310" i="2"/>
  <c r="V310" i="2"/>
  <c r="U310" i="2"/>
  <c r="R310" i="2"/>
  <c r="P310" i="2"/>
  <c r="N310" i="2"/>
  <c r="AC310" i="2"/>
  <c r="AA340" i="2"/>
  <c r="AD340" i="2"/>
  <c r="N340" i="2"/>
  <c r="R340" i="2"/>
  <c r="AB340" i="2"/>
  <c r="J340" i="2"/>
  <c r="AG340" i="2"/>
  <c r="L340" i="2"/>
  <c r="AE340" i="2"/>
  <c r="I340" i="2"/>
  <c r="H340" i="2"/>
  <c r="Z340" i="2"/>
  <c r="F340" i="2"/>
  <c r="U340" i="2"/>
  <c r="T340" i="2"/>
  <c r="S340" i="2"/>
  <c r="Q340" i="2"/>
  <c r="O340" i="2"/>
  <c r="E340" i="2"/>
  <c r="X340" i="2"/>
  <c r="W340" i="2"/>
  <c r="V340" i="2"/>
  <c r="G340" i="2"/>
  <c r="R50" i="2"/>
  <c r="AF50" i="2"/>
  <c r="AG70" i="2"/>
  <c r="E70" i="2"/>
  <c r="AF81" i="2"/>
  <c r="G81" i="2"/>
  <c r="AB81" i="2"/>
  <c r="AD126" i="2"/>
  <c r="E186" i="2"/>
  <c r="W189" i="2"/>
  <c r="AD189" i="2"/>
  <c r="E189" i="2"/>
  <c r="T189" i="2"/>
  <c r="V200" i="2"/>
  <c r="E203" i="2"/>
  <c r="V203" i="2"/>
  <c r="I204" i="2"/>
  <c r="AC204" i="2"/>
  <c r="W207" i="2"/>
  <c r="Y212" i="2"/>
  <c r="J220" i="2"/>
  <c r="R226" i="2"/>
  <c r="Q227" i="2"/>
  <c r="H236" i="2"/>
  <c r="AF243" i="2"/>
  <c r="Z250" i="2"/>
  <c r="O258" i="2"/>
  <c r="P259" i="2"/>
  <c r="AB265" i="2"/>
  <c r="L265" i="2"/>
  <c r="S265" i="2"/>
  <c r="P265" i="2"/>
  <c r="M265" i="2"/>
  <c r="AD265" i="2"/>
  <c r="J265" i="2"/>
  <c r="Z265" i="2"/>
  <c r="E265" i="2"/>
  <c r="V265" i="2"/>
  <c r="O265" i="2"/>
  <c r="F265" i="2"/>
  <c r="AE276" i="2"/>
  <c r="U276" i="2"/>
  <c r="T276" i="2"/>
  <c r="M276" i="2"/>
  <c r="H276" i="2"/>
  <c r="E276" i="2"/>
  <c r="W276" i="2"/>
  <c r="G276" i="2"/>
  <c r="AG276" i="2"/>
  <c r="AG17" i="2"/>
  <c r="E50" i="2"/>
  <c r="S50" i="2"/>
  <c r="AG65" i="2"/>
  <c r="M65" i="2"/>
  <c r="Y65" i="2"/>
  <c r="H70" i="2"/>
  <c r="G76" i="2"/>
  <c r="F81" i="2"/>
  <c r="AG81" i="2"/>
  <c r="E85" i="2"/>
  <c r="U85" i="2"/>
  <c r="V113" i="2"/>
  <c r="G113" i="2"/>
  <c r="AC118" i="2"/>
  <c r="Q118" i="2"/>
  <c r="AF118" i="2"/>
  <c r="Z139" i="2"/>
  <c r="F139" i="2"/>
  <c r="S139" i="2"/>
  <c r="AE139" i="2"/>
  <c r="Q154" i="2"/>
  <c r="E154" i="2"/>
  <c r="V155" i="2"/>
  <c r="J155" i="2"/>
  <c r="AA155" i="2"/>
  <c r="T162" i="2"/>
  <c r="AD162" i="2"/>
  <c r="S168" i="2"/>
  <c r="Z172" i="2"/>
  <c r="X179" i="2"/>
  <c r="J179" i="2"/>
  <c r="AE179" i="2"/>
  <c r="N179" i="2"/>
  <c r="Y179" i="2"/>
  <c r="I179" i="2"/>
  <c r="U179" i="2"/>
  <c r="AC182" i="2"/>
  <c r="L182" i="2"/>
  <c r="W182" i="2"/>
  <c r="E182" i="2"/>
  <c r="Q182" i="2"/>
  <c r="AA182" i="2"/>
  <c r="H185" i="2"/>
  <c r="AB186" i="2"/>
  <c r="X187" i="2"/>
  <c r="F189" i="2"/>
  <c r="AE199" i="2"/>
  <c r="Y199" i="2"/>
  <c r="H199" i="2"/>
  <c r="AC199" i="2"/>
  <c r="J199" i="2"/>
  <c r="W199" i="2"/>
  <c r="AA199" i="2"/>
  <c r="W200" i="2"/>
  <c r="F203" i="2"/>
  <c r="W203" i="2"/>
  <c r="J204" i="2"/>
  <c r="G207" i="2"/>
  <c r="X207" i="2"/>
  <c r="AA212" i="2"/>
  <c r="K220" i="2"/>
  <c r="T226" i="2"/>
  <c r="R227" i="2"/>
  <c r="Z228" i="2"/>
  <c r="W228" i="2"/>
  <c r="T228" i="2"/>
  <c r="I236" i="2"/>
  <c r="I243" i="2"/>
  <c r="P248" i="2"/>
  <c r="O248" i="2"/>
  <c r="Q248" i="2"/>
  <c r="J248" i="2"/>
  <c r="AB248" i="2"/>
  <c r="W248" i="2"/>
  <c r="AF248" i="2"/>
  <c r="S248" i="2"/>
  <c r="AA250" i="2"/>
  <c r="R258" i="2"/>
  <c r="Q259" i="2"/>
  <c r="L260" i="2"/>
  <c r="F261" i="2"/>
  <c r="G265" i="2"/>
  <c r="AC268" i="2"/>
  <c r="Z268" i="2"/>
  <c r="G268" i="2"/>
  <c r="Y268" i="2"/>
  <c r="W268" i="2"/>
  <c r="K268" i="2"/>
  <c r="I268" i="2"/>
  <c r="U268" i="2"/>
  <c r="H268" i="2"/>
  <c r="L268" i="2"/>
  <c r="AB272" i="2"/>
  <c r="I276" i="2"/>
  <c r="I278" i="2"/>
  <c r="H290" i="2"/>
  <c r="Y306" i="2"/>
  <c r="J310" i="2"/>
  <c r="H320" i="2"/>
  <c r="N325" i="2"/>
  <c r="I335" i="2"/>
  <c r="K340" i="2"/>
  <c r="X354" i="2"/>
  <c r="AF354" i="2"/>
  <c r="E354" i="2"/>
  <c r="N354" i="2"/>
  <c r="R354" i="2"/>
  <c r="T354" i="2"/>
  <c r="P354" i="2"/>
  <c r="AG354" i="2"/>
  <c r="U354" i="2"/>
  <c r="Q354" i="2"/>
  <c r="O354" i="2"/>
  <c r="J354" i="2"/>
  <c r="H354" i="2"/>
  <c r="AD354" i="2"/>
  <c r="AD172" i="2"/>
  <c r="L185" i="2"/>
  <c r="AC186" i="2"/>
  <c r="Z187" i="2"/>
  <c r="X200" i="2"/>
  <c r="G203" i="2"/>
  <c r="Y203" i="2"/>
  <c r="K204" i="2"/>
  <c r="H207" i="2"/>
  <c r="AB207" i="2"/>
  <c r="AB212" i="2"/>
  <c r="O220" i="2"/>
  <c r="AG226" i="2"/>
  <c r="S227" i="2"/>
  <c r="AE230" i="2"/>
  <c r="AG230" i="2"/>
  <c r="T230" i="2"/>
  <c r="V230" i="2"/>
  <c r="K236" i="2"/>
  <c r="L243" i="2"/>
  <c r="AC250" i="2"/>
  <c r="V258" i="2"/>
  <c r="R259" i="2"/>
  <c r="M260" i="2"/>
  <c r="G261" i="2"/>
  <c r="H265" i="2"/>
  <c r="AF272" i="2"/>
  <c r="S276" i="2"/>
  <c r="J278" i="2"/>
  <c r="AA287" i="2"/>
  <c r="U287" i="2"/>
  <c r="H287" i="2"/>
  <c r="Y287" i="2"/>
  <c r="K287" i="2"/>
  <c r="W287" i="2"/>
  <c r="I287" i="2"/>
  <c r="S287" i="2"/>
  <c r="AG287" i="2"/>
  <c r="Q287" i="2"/>
  <c r="AC287" i="2"/>
  <c r="G287" i="2"/>
  <c r="Z287" i="2"/>
  <c r="E287" i="2"/>
  <c r="V287" i="2"/>
  <c r="AF287" i="2"/>
  <c r="F287" i="2"/>
  <c r="X287" i="2"/>
  <c r="I290" i="2"/>
  <c r="U302" i="2"/>
  <c r="L302" i="2"/>
  <c r="AG302" i="2"/>
  <c r="Y302" i="2"/>
  <c r="AD302" i="2"/>
  <c r="R302" i="2"/>
  <c r="Q302" i="2"/>
  <c r="P302" i="2"/>
  <c r="M302" i="2"/>
  <c r="Z306" i="2"/>
  <c r="X310" i="2"/>
  <c r="P320" i="2"/>
  <c r="AD335" i="2"/>
  <c r="AF340" i="2"/>
  <c r="H126" i="2"/>
  <c r="AC126" i="2"/>
  <c r="R129" i="2"/>
  <c r="AA129" i="2"/>
  <c r="L129" i="2"/>
  <c r="AF143" i="2"/>
  <c r="Z143" i="2"/>
  <c r="R143" i="2"/>
  <c r="S146" i="2"/>
  <c r="AB146" i="2"/>
  <c r="I146" i="2"/>
  <c r="AB165" i="2"/>
  <c r="N165" i="2"/>
  <c r="X165" i="2"/>
  <c r="I165" i="2"/>
  <c r="T165" i="2"/>
  <c r="V166" i="2"/>
  <c r="AD166" i="2"/>
  <c r="L166" i="2"/>
  <c r="Y166" i="2"/>
  <c r="E166" i="2"/>
  <c r="AB166" i="2"/>
  <c r="AB168" i="2"/>
  <c r="AD181" i="2"/>
  <c r="O181" i="2"/>
  <c r="W181" i="2"/>
  <c r="G181" i="2"/>
  <c r="AG181" i="2"/>
  <c r="R181" i="2"/>
  <c r="U181" i="2"/>
  <c r="O185" i="2"/>
  <c r="M189" i="2"/>
  <c r="AA190" i="2"/>
  <c r="U190" i="2"/>
  <c r="G190" i="2"/>
  <c r="AC190" i="2"/>
  <c r="L190" i="2"/>
  <c r="W190" i="2"/>
  <c r="H190" i="2"/>
  <c r="V190" i="2"/>
  <c r="AA198" i="2"/>
  <c r="X198" i="2"/>
  <c r="J198" i="2"/>
  <c r="Z198" i="2"/>
  <c r="I198" i="2"/>
  <c r="T198" i="2"/>
  <c r="E198" i="2"/>
  <c r="V198" i="2"/>
  <c r="I203" i="2"/>
  <c r="Z203" i="2"/>
  <c r="M204" i="2"/>
  <c r="AC205" i="2"/>
  <c r="V205" i="2"/>
  <c r="E205" i="2"/>
  <c r="R205" i="2"/>
  <c r="AD205" i="2"/>
  <c r="L205" i="2"/>
  <c r="Z205" i="2"/>
  <c r="I207" i="2"/>
  <c r="AC207" i="2"/>
  <c r="Q220" i="2"/>
  <c r="F222" i="2"/>
  <c r="AE224" i="2"/>
  <c r="Q224" i="2"/>
  <c r="I224" i="2"/>
  <c r="P224" i="2"/>
  <c r="J224" i="2"/>
  <c r="AF224" i="2"/>
  <c r="W225" i="2"/>
  <c r="O225" i="2"/>
  <c r="S225" i="2"/>
  <c r="F225" i="2"/>
  <c r="R230" i="2"/>
  <c r="W236" i="2"/>
  <c r="N243" i="2"/>
  <c r="AG244" i="2"/>
  <c r="E244" i="2"/>
  <c r="AA244" i="2"/>
  <c r="X244" i="2"/>
  <c r="H244" i="2"/>
  <c r="AE246" i="2"/>
  <c r="AF246" i="2"/>
  <c r="S246" i="2"/>
  <c r="V246" i="2"/>
  <c r="AC258" i="2"/>
  <c r="U259" i="2"/>
  <c r="N260" i="2"/>
  <c r="N261" i="2"/>
  <c r="K265" i="2"/>
  <c r="V276" i="2"/>
  <c r="U278" i="2"/>
  <c r="M290" i="2"/>
  <c r="AA306" i="2"/>
  <c r="Y310" i="2"/>
  <c r="R320" i="2"/>
  <c r="AE335" i="2"/>
  <c r="AC351" i="2"/>
  <c r="K351" i="2"/>
  <c r="Q210" i="2"/>
  <c r="E210" i="2"/>
  <c r="V210" i="2"/>
  <c r="T216" i="2"/>
  <c r="W216" i="2"/>
  <c r="O216" i="2"/>
  <c r="AF216" i="2"/>
  <c r="E216" i="2"/>
  <c r="AE216" i="2"/>
  <c r="AF258" i="2"/>
  <c r="V259" i="2"/>
  <c r="R265" i="2"/>
  <c r="AB276" i="2"/>
  <c r="O290" i="2"/>
  <c r="AB310" i="2"/>
  <c r="AG320" i="2"/>
  <c r="AF346" i="2"/>
  <c r="K346" i="2"/>
  <c r="Y346" i="2"/>
  <c r="N346" i="2"/>
  <c r="Q172" i="2"/>
  <c r="L172" i="2"/>
  <c r="AF172" i="2"/>
  <c r="S185" i="2"/>
  <c r="S187" i="2"/>
  <c r="W187" i="2"/>
  <c r="AA187" i="2"/>
  <c r="Q187" i="2"/>
  <c r="AD200" i="2"/>
  <c r="K200" i="2"/>
  <c r="T200" i="2"/>
  <c r="J200" i="2"/>
  <c r="AE200" i="2"/>
  <c r="L203" i="2"/>
  <c r="AD203" i="2"/>
  <c r="O204" i="2"/>
  <c r="M207" i="2"/>
  <c r="AF207" i="2"/>
  <c r="F210" i="2"/>
  <c r="K212" i="2"/>
  <c r="T212" i="2"/>
  <c r="U212" i="2"/>
  <c r="W212" i="2"/>
  <c r="J212" i="2"/>
  <c r="I216" i="2"/>
  <c r="AA220" i="2"/>
  <c r="AA227" i="2"/>
  <c r="U227" i="2"/>
  <c r="H227" i="2"/>
  <c r="V227" i="2"/>
  <c r="G227" i="2"/>
  <c r="AC227" i="2"/>
  <c r="M227" i="2"/>
  <c r="AF227" i="2"/>
  <c r="P227" i="2"/>
  <c r="Z227" i="2"/>
  <c r="J227" i="2"/>
  <c r="X227" i="2"/>
  <c r="R243" i="2"/>
  <c r="Q253" i="2"/>
  <c r="T253" i="2"/>
  <c r="W253" i="2"/>
  <c r="F253" i="2"/>
  <c r="R253" i="2"/>
  <c r="AG258" i="2"/>
  <c r="X259" i="2"/>
  <c r="S260" i="2"/>
  <c r="T261" i="2"/>
  <c r="Y264" i="2"/>
  <c r="AG264" i="2"/>
  <c r="S264" i="2"/>
  <c r="P264" i="2"/>
  <c r="AE264" i="2"/>
  <c r="K264" i="2"/>
  <c r="T265" i="2"/>
  <c r="Y272" i="2"/>
  <c r="K272" i="2"/>
  <c r="AE272" i="2"/>
  <c r="N272" i="2"/>
  <c r="AA272" i="2"/>
  <c r="L272" i="2"/>
  <c r="Z272" i="2"/>
  <c r="H272" i="2"/>
  <c r="W272" i="2"/>
  <c r="E272" i="2"/>
  <c r="T272" i="2"/>
  <c r="M272" i="2"/>
  <c r="V272" i="2"/>
  <c r="O272" i="2"/>
  <c r="X290" i="2"/>
  <c r="X341" i="2"/>
  <c r="H341" i="2"/>
  <c r="AC341" i="2"/>
  <c r="L341" i="2"/>
  <c r="S341" i="2"/>
  <c r="AG341" i="2"/>
  <c r="M341" i="2"/>
  <c r="T341" i="2"/>
  <c r="O341" i="2"/>
  <c r="Y341" i="2"/>
  <c r="U341" i="2"/>
  <c r="K341" i="2"/>
  <c r="J341" i="2"/>
  <c r="G341" i="2"/>
  <c r="F341" i="2"/>
  <c r="E341" i="2"/>
  <c r="AA341" i="2"/>
  <c r="AE341" i="2"/>
  <c r="Z341" i="2"/>
  <c r="R346" i="2"/>
  <c r="T403" i="2"/>
  <c r="Y403" i="2"/>
  <c r="Z403" i="2"/>
  <c r="G403" i="2"/>
  <c r="L380" i="2"/>
  <c r="I380" i="2"/>
  <c r="P380" i="2"/>
  <c r="F380" i="2"/>
  <c r="E380" i="2"/>
  <c r="V380" i="2"/>
  <c r="R380" i="2"/>
  <c r="Z380" i="2"/>
  <c r="Y380" i="2"/>
  <c r="S380" i="2"/>
  <c r="K380" i="2"/>
  <c r="AB380" i="2"/>
  <c r="R383" i="2"/>
  <c r="AG383" i="2"/>
  <c r="AD383" i="2"/>
  <c r="N383" i="2"/>
  <c r="T86" i="2"/>
  <c r="AA91" i="2"/>
  <c r="AD120" i="2"/>
  <c r="AA141" i="2"/>
  <c r="T151" i="2"/>
  <c r="AC184" i="2"/>
  <c r="AF184" i="2"/>
  <c r="M184" i="2"/>
  <c r="Y184" i="2"/>
  <c r="AA247" i="2"/>
  <c r="AC247" i="2"/>
  <c r="P247" i="2"/>
  <c r="AB247" i="2"/>
  <c r="M247" i="2"/>
  <c r="Y247" i="2"/>
  <c r="K247" i="2"/>
  <c r="AG247" i="2"/>
  <c r="Q247" i="2"/>
  <c r="Z247" i="2"/>
  <c r="I247" i="2"/>
  <c r="V247" i="2"/>
  <c r="AD281" i="2"/>
  <c r="T281" i="2"/>
  <c r="F281" i="2"/>
  <c r="AB281" i="2"/>
  <c r="W281" i="2"/>
  <c r="N281" i="2"/>
  <c r="AA380" i="2"/>
  <c r="AD84" i="2"/>
  <c r="I86" i="2"/>
  <c r="R90" i="2"/>
  <c r="Y103" i="2"/>
  <c r="AE111" i="2"/>
  <c r="M141" i="2"/>
  <c r="X145" i="2"/>
  <c r="I151" i="2"/>
  <c r="X151" i="2"/>
  <c r="AB158" i="2"/>
  <c r="AF170" i="2"/>
  <c r="AE173" i="2"/>
  <c r="L173" i="2"/>
  <c r="AC173" i="2"/>
  <c r="J184" i="2"/>
  <c r="AD184" i="2"/>
  <c r="S206" i="2"/>
  <c r="AF206" i="2"/>
  <c r="F206" i="2"/>
  <c r="N206" i="2"/>
  <c r="AG206" i="2"/>
  <c r="Z217" i="2"/>
  <c r="J217" i="2"/>
  <c r="Y217" i="2"/>
  <c r="G217" i="2"/>
  <c r="P217" i="2"/>
  <c r="AA217" i="2"/>
  <c r="H247" i="2"/>
  <c r="AE247" i="2"/>
  <c r="S281" i="2"/>
  <c r="T316" i="2"/>
  <c r="F316" i="2"/>
  <c r="AG316" i="2"/>
  <c r="R316" i="2"/>
  <c r="AE316" i="2"/>
  <c r="N316" i="2"/>
  <c r="AB316" i="2"/>
  <c r="K316" i="2"/>
  <c r="X316" i="2"/>
  <c r="E316" i="2"/>
  <c r="V316" i="2"/>
  <c r="Z316" i="2"/>
  <c r="W316" i="2"/>
  <c r="U316" i="2"/>
  <c r="S316" i="2"/>
  <c r="Q316" i="2"/>
  <c r="AA317" i="2"/>
  <c r="AE317" i="2"/>
  <c r="AD317" i="2"/>
  <c r="L319" i="2"/>
  <c r="Q319" i="2"/>
  <c r="X319" i="2"/>
  <c r="N319" i="2"/>
  <c r="R319" i="2"/>
  <c r="F319" i="2"/>
  <c r="AG319" i="2"/>
  <c r="AF319" i="2"/>
  <c r="AC319" i="2"/>
  <c r="Z319" i="2"/>
  <c r="G319" i="2"/>
  <c r="Q321" i="2"/>
  <c r="I321" i="2"/>
  <c r="AC321" i="2"/>
  <c r="X321" i="2"/>
  <c r="V334" i="2"/>
  <c r="AA334" i="2"/>
  <c r="O334" i="2"/>
  <c r="AC334" i="2"/>
  <c r="R334" i="2"/>
  <c r="N334" i="2"/>
  <c r="AF334" i="2"/>
  <c r="Y334" i="2"/>
  <c r="AD334" i="2"/>
  <c r="P334" i="2"/>
  <c r="M334" i="2"/>
  <c r="L334" i="2"/>
  <c r="K334" i="2"/>
  <c r="AD350" i="2"/>
  <c r="R350" i="2"/>
  <c r="N350" i="2"/>
  <c r="M350" i="2"/>
  <c r="O350" i="2"/>
  <c r="AC350" i="2"/>
  <c r="H350" i="2"/>
  <c r="AA350" i="2"/>
  <c r="E350" i="2"/>
  <c r="AB350" i="2"/>
  <c r="Z350" i="2"/>
  <c r="W350" i="2"/>
  <c r="AG350" i="2"/>
  <c r="Y350" i="2"/>
  <c r="V350" i="2"/>
  <c r="U350" i="2"/>
  <c r="J350" i="2"/>
  <c r="AE353" i="2"/>
  <c r="M353" i="2"/>
  <c r="T353" i="2"/>
  <c r="V353" i="2"/>
  <c r="Y353" i="2"/>
  <c r="E353" i="2"/>
  <c r="X353" i="2"/>
  <c r="U353" i="2"/>
  <c r="G353" i="2"/>
  <c r="F353" i="2"/>
  <c r="AA353" i="2"/>
  <c r="L353" i="2"/>
  <c r="K353" i="2"/>
  <c r="J353" i="2"/>
  <c r="I353" i="2"/>
  <c r="H353" i="2"/>
  <c r="AG353" i="2"/>
  <c r="AD357" i="2"/>
  <c r="F357" i="2"/>
  <c r="O357" i="2"/>
  <c r="AC357" i="2"/>
  <c r="H357" i="2"/>
  <c r="N357" i="2"/>
  <c r="G357" i="2"/>
  <c r="AG357" i="2"/>
  <c r="AE357" i="2"/>
  <c r="U357" i="2"/>
  <c r="T357" i="2"/>
  <c r="S357" i="2"/>
  <c r="Q357" i="2"/>
  <c r="L357" i="2"/>
  <c r="S396" i="2"/>
  <c r="P396" i="2"/>
  <c r="AE396" i="2"/>
  <c r="K396" i="2"/>
  <c r="W396" i="2"/>
  <c r="Q396" i="2"/>
  <c r="AD396" i="2"/>
  <c r="F396" i="2"/>
  <c r="Z396" i="2"/>
  <c r="N396" i="2"/>
  <c r="L396" i="2"/>
  <c r="G396" i="2"/>
  <c r="X396" i="2"/>
  <c r="M396" i="2"/>
  <c r="J396" i="2"/>
  <c r="E396" i="2"/>
  <c r="AB396" i="2"/>
  <c r="AA396" i="2"/>
  <c r="Y396" i="2"/>
  <c r="R411" i="2"/>
  <c r="Y411" i="2"/>
  <c r="P411" i="2"/>
  <c r="AG411" i="2"/>
  <c r="J411" i="2"/>
  <c r="V411" i="2"/>
  <c r="AD411" i="2"/>
  <c r="S411" i="2"/>
  <c r="Q411" i="2"/>
  <c r="M411" i="2"/>
  <c r="O411" i="2"/>
  <c r="K411" i="2"/>
  <c r="F411" i="2"/>
  <c r="E411" i="2"/>
  <c r="D411" i="2" s="1"/>
  <c r="W429" i="2"/>
  <c r="I429" i="2"/>
  <c r="G429" i="2"/>
  <c r="AG429" i="2"/>
  <c r="U429" i="2"/>
  <c r="J368" i="2"/>
  <c r="AB368" i="2"/>
  <c r="AA368" i="2"/>
  <c r="P389" i="2"/>
  <c r="T389" i="2"/>
  <c r="Q389" i="2"/>
  <c r="AC389" i="2"/>
  <c r="AA411" i="2"/>
  <c r="L389" i="2"/>
  <c r="V404" i="2"/>
  <c r="U404" i="2"/>
  <c r="Z404" i="2"/>
  <c r="R404" i="2"/>
  <c r="AA404" i="2"/>
  <c r="AC411" i="2"/>
  <c r="S398" i="2"/>
  <c r="AA398" i="2"/>
  <c r="E398" i="2"/>
  <c r="Y398" i="2"/>
  <c r="L398" i="2"/>
  <c r="O398" i="2"/>
  <c r="AC398" i="2"/>
  <c r="AB398" i="2"/>
  <c r="Q398" i="2"/>
  <c r="W398" i="2"/>
  <c r="K398" i="2"/>
  <c r="AE398" i="2"/>
  <c r="X398" i="2"/>
  <c r="F398" i="2"/>
  <c r="AF373" i="2"/>
  <c r="E373" i="2"/>
  <c r="X373" i="2"/>
  <c r="H373" i="2"/>
  <c r="Z373" i="2"/>
  <c r="T373" i="2"/>
  <c r="AG373" i="2"/>
  <c r="U373" i="2"/>
  <c r="Q373" i="2"/>
  <c r="P373" i="2"/>
  <c r="I373" i="2"/>
  <c r="F373" i="2"/>
  <c r="I398" i="2"/>
  <c r="R419" i="2"/>
  <c r="F419" i="2"/>
  <c r="AE419" i="2"/>
  <c r="AC419" i="2"/>
  <c r="AA419" i="2"/>
  <c r="S419" i="2"/>
  <c r="J419" i="2"/>
  <c r="AG419" i="2"/>
  <c r="M419" i="2"/>
  <c r="H419" i="2"/>
  <c r="L419" i="2"/>
  <c r="S214" i="2"/>
  <c r="P214" i="2"/>
  <c r="AF214" i="2"/>
  <c r="AD233" i="2"/>
  <c r="T233" i="2"/>
  <c r="N233" i="2"/>
  <c r="G233" i="2"/>
  <c r="AF233" i="2"/>
  <c r="AA235" i="2"/>
  <c r="V235" i="2"/>
  <c r="I235" i="2"/>
  <c r="U235" i="2"/>
  <c r="G235" i="2"/>
  <c r="AG235" i="2"/>
  <c r="S235" i="2"/>
  <c r="E235" i="2"/>
  <c r="W235" i="2"/>
  <c r="P239" i="2"/>
  <c r="Q257" i="2"/>
  <c r="T257" i="2"/>
  <c r="L257" i="2"/>
  <c r="AF257" i="2"/>
  <c r="G257" i="2"/>
  <c r="Z286" i="2"/>
  <c r="F286" i="2"/>
  <c r="AC286" i="2"/>
  <c r="G286" i="2"/>
  <c r="Y286" i="2"/>
  <c r="K286" i="2"/>
  <c r="AG286" i="2"/>
  <c r="H286" i="2"/>
  <c r="N309" i="2"/>
  <c r="O309" i="2"/>
  <c r="X309" i="2"/>
  <c r="T309" i="2"/>
  <c r="J309" i="2"/>
  <c r="F309" i="2"/>
  <c r="AB328" i="2"/>
  <c r="AE328" i="2"/>
  <c r="R373" i="2"/>
  <c r="J398" i="2"/>
  <c r="U419" i="2"/>
  <c r="W426" i="2"/>
  <c r="I426" i="2"/>
  <c r="AG426" i="2"/>
  <c r="V426" i="2"/>
  <c r="M426" i="2"/>
  <c r="P426" i="2"/>
  <c r="Z297" i="2"/>
  <c r="K297" i="2"/>
  <c r="AD297" i="2"/>
  <c r="M297" i="2"/>
  <c r="S297" i="2"/>
  <c r="O297" i="2"/>
  <c r="AC297" i="2"/>
  <c r="H297" i="2"/>
  <c r="Y297" i="2"/>
  <c r="E297" i="2"/>
  <c r="AE297" i="2"/>
  <c r="W315" i="2"/>
  <c r="G315" i="2"/>
  <c r="R315" i="2"/>
  <c r="AE315" i="2"/>
  <c r="M315" i="2"/>
  <c r="AB315" i="2"/>
  <c r="I315" i="2"/>
  <c r="P315" i="2"/>
  <c r="N315" i="2"/>
  <c r="AC315" i="2"/>
  <c r="Y373" i="2"/>
  <c r="AA393" i="2"/>
  <c r="I393" i="2"/>
  <c r="AG393" i="2"/>
  <c r="M393" i="2"/>
  <c r="N393" i="2"/>
  <c r="AF393" i="2"/>
  <c r="H393" i="2"/>
  <c r="V393" i="2"/>
  <c r="Z393" i="2"/>
  <c r="S393" i="2"/>
  <c r="E393" i="2"/>
  <c r="AC393" i="2"/>
  <c r="AB393" i="2"/>
  <c r="P398" i="2"/>
  <c r="W419" i="2"/>
  <c r="W433" i="2"/>
  <c r="U433" i="2"/>
  <c r="R433" i="2"/>
  <c r="P433" i="2"/>
  <c r="M433" i="2"/>
  <c r="J433" i="2"/>
  <c r="AC433" i="2"/>
  <c r="K433" i="2"/>
  <c r="H433" i="2"/>
  <c r="AE433" i="2"/>
  <c r="Z433" i="2"/>
  <c r="AD433" i="2"/>
  <c r="G433" i="2"/>
  <c r="F297" i="2"/>
  <c r="P299" i="2"/>
  <c r="E299" i="2"/>
  <c r="T299" i="2"/>
  <c r="AG299" i="2"/>
  <c r="Y299" i="2"/>
  <c r="Q301" i="2"/>
  <c r="Y301" i="2"/>
  <c r="K301" i="2"/>
  <c r="AD301" i="2"/>
  <c r="X301" i="2"/>
  <c r="U301" i="2"/>
  <c r="E315" i="2"/>
  <c r="AG315" i="2"/>
  <c r="S339" i="2"/>
  <c r="AG339" i="2"/>
  <c r="Q339" i="2"/>
  <c r="T339" i="2"/>
  <c r="F339" i="2"/>
  <c r="AC361" i="2"/>
  <c r="H361" i="2"/>
  <c r="Y361" i="2"/>
  <c r="Q361" i="2"/>
  <c r="I361" i="2"/>
  <c r="R361" i="2"/>
  <c r="N361" i="2"/>
  <c r="V361" i="2"/>
  <c r="O361" i="2"/>
  <c r="L361" i="2"/>
  <c r="J361" i="2"/>
  <c r="G366" i="2"/>
  <c r="L366" i="2"/>
  <c r="Q366" i="2"/>
  <c r="J366" i="2"/>
  <c r="V366" i="2"/>
  <c r="S366" i="2"/>
  <c r="R366" i="2"/>
  <c r="I366" i="2"/>
  <c r="G393" i="2"/>
  <c r="AF329" i="2"/>
  <c r="Z329" i="2"/>
  <c r="N329" i="2"/>
  <c r="J393" i="2"/>
  <c r="AA239" i="2"/>
  <c r="AF239" i="2"/>
  <c r="S239" i="2"/>
  <c r="F239" i="2"/>
  <c r="V239" i="2"/>
  <c r="H239" i="2"/>
  <c r="T239" i="2"/>
  <c r="E239" i="2"/>
  <c r="W239" i="2"/>
  <c r="AA267" i="2"/>
  <c r="X267" i="2"/>
  <c r="K267" i="2"/>
  <c r="U267" i="2"/>
  <c r="G267" i="2"/>
  <c r="AG267" i="2"/>
  <c r="S267" i="2"/>
  <c r="E267" i="2"/>
  <c r="Z267" i="2"/>
  <c r="I267" i="2"/>
  <c r="W267" i="2"/>
  <c r="F267" i="2"/>
  <c r="AB267" i="2"/>
  <c r="P286" i="2"/>
  <c r="AA289" i="2"/>
  <c r="I289" i="2"/>
  <c r="O289" i="2"/>
  <c r="AG289" i="2"/>
  <c r="M289" i="2"/>
  <c r="L289" i="2"/>
  <c r="AF289" i="2"/>
  <c r="G289" i="2"/>
  <c r="AD289" i="2"/>
  <c r="J297" i="2"/>
  <c r="O298" i="2"/>
  <c r="W298" i="2"/>
  <c r="F298" i="2"/>
  <c r="AG298" i="2"/>
  <c r="AC298" i="2"/>
  <c r="U298" i="2"/>
  <c r="L299" i="2"/>
  <c r="L301" i="2"/>
  <c r="W309" i="2"/>
  <c r="X312" i="2"/>
  <c r="G312" i="2"/>
  <c r="W312" i="2"/>
  <c r="Q312" i="2"/>
  <c r="AF312" i="2"/>
  <c r="O312" i="2"/>
  <c r="H315" i="2"/>
  <c r="G329" i="2"/>
  <c r="W339" i="2"/>
  <c r="AA361" i="2"/>
  <c r="W366" i="2"/>
  <c r="L393" i="2"/>
  <c r="AB399" i="2"/>
  <c r="AD399" i="2"/>
  <c r="K399" i="2"/>
  <c r="AG399" i="2"/>
  <c r="L399" i="2"/>
  <c r="X399" i="2"/>
  <c r="F399" i="2"/>
  <c r="AE399" i="2"/>
  <c r="H399" i="2"/>
  <c r="T399" i="2"/>
  <c r="V399" i="2"/>
  <c r="P399" i="2"/>
  <c r="W399" i="2"/>
  <c r="S399" i="2"/>
  <c r="O399" i="2"/>
  <c r="R407" i="2"/>
  <c r="AA407" i="2"/>
  <c r="Q407" i="2"/>
  <c r="AG407" i="2"/>
  <c r="H407" i="2"/>
  <c r="X407" i="2"/>
  <c r="O407" i="2"/>
  <c r="AF423" i="2"/>
  <c r="Y423" i="2"/>
  <c r="G423" i="2"/>
  <c r="W423" i="2"/>
  <c r="V423" i="2"/>
  <c r="T423" i="2"/>
  <c r="AA423" i="2"/>
  <c r="X423" i="2"/>
  <c r="L423" i="2"/>
  <c r="J423" i="2"/>
  <c r="I423" i="2"/>
  <c r="AE423" i="2"/>
  <c r="AC423" i="2"/>
  <c r="K423" i="2"/>
  <c r="AA211" i="2"/>
  <c r="AC211" i="2"/>
  <c r="P211" i="2"/>
  <c r="R211" i="2"/>
  <c r="AF211" i="2"/>
  <c r="AA219" i="2"/>
  <c r="AC219" i="2"/>
  <c r="P219" i="2"/>
  <c r="R219" i="2"/>
  <c r="AF219" i="2"/>
  <c r="AD229" i="2"/>
  <c r="W229" i="2"/>
  <c r="AC229" i="2"/>
  <c r="AA231" i="2"/>
  <c r="Z231" i="2"/>
  <c r="M231" i="2"/>
  <c r="R231" i="2"/>
  <c r="AF231" i="2"/>
  <c r="S249" i="2"/>
  <c r="F249" i="2"/>
  <c r="AA275" i="2"/>
  <c r="AF275" i="2"/>
  <c r="S275" i="2"/>
  <c r="F275" i="2"/>
  <c r="AD275" i="2"/>
  <c r="P275" i="2"/>
  <c r="AB275" i="2"/>
  <c r="M275" i="2"/>
  <c r="U275" i="2"/>
  <c r="AB280" i="2"/>
  <c r="J280" i="2"/>
  <c r="S280" i="2"/>
  <c r="N280" i="2"/>
  <c r="AA280" i="2"/>
  <c r="AG352" i="2"/>
  <c r="O352" i="2"/>
  <c r="N352" i="2"/>
  <c r="P352" i="2"/>
  <c r="R352" i="2"/>
  <c r="K352" i="2"/>
  <c r="AF352" i="2"/>
  <c r="E352" i="2"/>
  <c r="U364" i="2"/>
  <c r="AE385" i="2"/>
  <c r="N385" i="2"/>
  <c r="X385" i="2"/>
  <c r="AF385" i="2"/>
  <c r="J385" i="2"/>
  <c r="Q385" i="2"/>
  <c r="AB385" i="2"/>
  <c r="T385" i="2"/>
  <c r="Z385" i="2"/>
  <c r="R385" i="2"/>
  <c r="U407" i="2"/>
  <c r="AD423" i="2"/>
  <c r="S379" i="2"/>
  <c r="U379" i="2"/>
  <c r="J379" i="2"/>
  <c r="G379" i="2"/>
  <c r="R379" i="2"/>
  <c r="H379" i="2"/>
  <c r="AE386" i="2"/>
  <c r="L386" i="2"/>
  <c r="Y386" i="2"/>
  <c r="G386" i="2"/>
  <c r="Q386" i="2"/>
  <c r="AC386" i="2"/>
  <c r="E386" i="2"/>
  <c r="P386" i="2"/>
  <c r="J386" i="2"/>
  <c r="U386" i="2"/>
  <c r="O386" i="2"/>
  <c r="AB407" i="2"/>
  <c r="AD234" i="2"/>
  <c r="N234" i="2"/>
  <c r="AG240" i="2"/>
  <c r="W240" i="2"/>
  <c r="O252" i="2"/>
  <c r="G252" i="2"/>
  <c r="G275" i="2"/>
  <c r="W275" i="2"/>
  <c r="H280" i="2"/>
  <c r="AG280" i="2"/>
  <c r="X307" i="2"/>
  <c r="T307" i="2"/>
  <c r="AC307" i="2"/>
  <c r="Q307" i="2"/>
  <c r="P308" i="2"/>
  <c r="S308" i="2"/>
  <c r="R308" i="2"/>
  <c r="AC308" i="2"/>
  <c r="W308" i="2"/>
  <c r="T326" i="2"/>
  <c r="AD326" i="2"/>
  <c r="V326" i="2"/>
  <c r="N326" i="2"/>
  <c r="P332" i="2"/>
  <c r="Q332" i="2"/>
  <c r="AE332" i="2"/>
  <c r="J332" i="2"/>
  <c r="L332" i="2"/>
  <c r="E332" i="2"/>
  <c r="AC332" i="2"/>
  <c r="T343" i="2"/>
  <c r="E343" i="2"/>
  <c r="X343" i="2"/>
  <c r="Q343" i="2"/>
  <c r="AF343" i="2"/>
  <c r="L352" i="2"/>
  <c r="F379" i="2"/>
  <c r="X382" i="2"/>
  <c r="J382" i="2"/>
  <c r="AA382" i="2"/>
  <c r="K382" i="2"/>
  <c r="AF382" i="2"/>
  <c r="O382" i="2"/>
  <c r="AG382" i="2"/>
  <c r="M382" i="2"/>
  <c r="Q382" i="2"/>
  <c r="AD382" i="2"/>
  <c r="H382" i="2"/>
  <c r="W382" i="2"/>
  <c r="U382" i="2"/>
  <c r="AE382" i="2"/>
  <c r="G385" i="2"/>
  <c r="H386" i="2"/>
  <c r="O400" i="2"/>
  <c r="R400" i="2"/>
  <c r="N400" i="2"/>
  <c r="W400" i="2"/>
  <c r="AE400" i="2"/>
  <c r="I400" i="2"/>
  <c r="Q400" i="2"/>
  <c r="K400" i="2"/>
  <c r="Z400" i="2"/>
  <c r="V400" i="2"/>
  <c r="AD359" i="2"/>
  <c r="AG359" i="2"/>
  <c r="L359" i="2"/>
  <c r="Y359" i="2"/>
  <c r="F359" i="2"/>
  <c r="S359" i="2"/>
  <c r="AB359" i="2"/>
  <c r="E359" i="2"/>
  <c r="I359" i="2"/>
  <c r="G359" i="2"/>
  <c r="AG364" i="2"/>
  <c r="Q364" i="2"/>
  <c r="R364" i="2"/>
  <c r="N364" i="2"/>
  <c r="AC364" i="2"/>
  <c r="J364" i="2"/>
  <c r="V364" i="2"/>
  <c r="S364" i="2"/>
  <c r="Y364" i="2"/>
  <c r="X370" i="2"/>
  <c r="Y370" i="2"/>
  <c r="F370" i="2"/>
  <c r="O370" i="2"/>
  <c r="W370" i="2"/>
  <c r="S370" i="2"/>
  <c r="P379" i="2"/>
  <c r="I386" i="2"/>
  <c r="AC405" i="2"/>
  <c r="V405" i="2"/>
  <c r="AA251" i="2"/>
  <c r="X251" i="2"/>
  <c r="Q251" i="2"/>
  <c r="AE251" i="2"/>
  <c r="AA263" i="2"/>
  <c r="AF263" i="2"/>
  <c r="S263" i="2"/>
  <c r="F263" i="2"/>
  <c r="R263" i="2"/>
  <c r="AG263" i="2"/>
  <c r="Q274" i="2"/>
  <c r="P279" i="2"/>
  <c r="P283" i="2"/>
  <c r="W285" i="2"/>
  <c r="H285" i="2"/>
  <c r="S285" i="2"/>
  <c r="W292" i="2"/>
  <c r="I292" i="2"/>
  <c r="U292" i="2"/>
  <c r="F292" i="2"/>
  <c r="T292" i="2"/>
  <c r="T305" i="2"/>
  <c r="W305" i="2"/>
  <c r="X318" i="2"/>
  <c r="I318" i="2"/>
  <c r="Y318" i="2"/>
  <c r="H318" i="2"/>
  <c r="V318" i="2"/>
  <c r="AD322" i="2"/>
  <c r="L322" i="2"/>
  <c r="V322" i="2"/>
  <c r="AA322" i="2"/>
  <c r="Z408" i="2"/>
  <c r="L408" i="2"/>
  <c r="X408" i="2"/>
  <c r="I408" i="2"/>
  <c r="R408" i="2"/>
  <c r="AB408" i="2"/>
  <c r="J408" i="2"/>
  <c r="T408" i="2"/>
  <c r="S408" i="2"/>
  <c r="M408" i="2"/>
  <c r="AE408" i="2"/>
  <c r="AC266" i="2"/>
  <c r="K266" i="2"/>
  <c r="V266" i="2"/>
  <c r="Y274" i="2"/>
  <c r="J274" i="2"/>
  <c r="S274" i="2"/>
  <c r="AA279" i="2"/>
  <c r="AB279" i="2"/>
  <c r="N279" i="2"/>
  <c r="R279" i="2"/>
  <c r="AF279" i="2"/>
  <c r="AC282" i="2"/>
  <c r="R282" i="2"/>
  <c r="AA283" i="2"/>
  <c r="U283" i="2"/>
  <c r="H283" i="2"/>
  <c r="R283" i="2"/>
  <c r="AF283" i="2"/>
  <c r="V294" i="2"/>
  <c r="X294" i="2"/>
  <c r="AC294" i="2"/>
  <c r="S311" i="2"/>
  <c r="AC311" i="2"/>
  <c r="U360" i="2"/>
  <c r="H360" i="2"/>
  <c r="W367" i="2"/>
  <c r="G367" i="2"/>
  <c r="J367" i="2"/>
  <c r="T367" i="2"/>
  <c r="K367" i="2"/>
  <c r="AA384" i="2"/>
  <c r="L384" i="2"/>
  <c r="R384" i="2"/>
  <c r="X384" i="2"/>
  <c r="F384" i="2"/>
  <c r="AC384" i="2"/>
  <c r="I384" i="2"/>
  <c r="M384" i="2"/>
  <c r="AD384" i="2"/>
  <c r="G384" i="2"/>
  <c r="AG384" i="2"/>
  <c r="AD394" i="2"/>
  <c r="J394" i="2"/>
  <c r="R394" i="2"/>
  <c r="W394" i="2"/>
  <c r="T394" i="2"/>
  <c r="AF394" i="2"/>
  <c r="G394" i="2"/>
  <c r="Q394" i="2"/>
  <c r="L394" i="2"/>
  <c r="K427" i="2"/>
  <c r="G427" i="2"/>
  <c r="AC427" i="2"/>
  <c r="E427" i="2"/>
  <c r="D427" i="2" s="1"/>
  <c r="H427" i="2"/>
  <c r="N427" i="2"/>
  <c r="AA427" i="2"/>
  <c r="U427" i="2"/>
  <c r="AA437" i="2"/>
  <c r="Z313" i="2"/>
  <c r="AD313" i="2"/>
  <c r="M313" i="2"/>
  <c r="U313" i="2"/>
  <c r="Y327" i="2"/>
  <c r="AF327" i="2"/>
  <c r="E327" i="2"/>
  <c r="S331" i="2"/>
  <c r="Y331" i="2"/>
  <c r="AD345" i="2"/>
  <c r="F345" i="2"/>
  <c r="AA345" i="2"/>
  <c r="N345" i="2"/>
  <c r="AA356" i="2"/>
  <c r="E356" i="2"/>
  <c r="L356" i="2"/>
  <c r="AC401" i="2"/>
  <c r="AE401" i="2"/>
  <c r="G401" i="2"/>
  <c r="O401" i="2"/>
  <c r="W427" i="2"/>
  <c r="AA434" i="2"/>
  <c r="U434" i="2"/>
  <c r="H434" i="2"/>
  <c r="AG434" i="2"/>
  <c r="T434" i="2"/>
  <c r="G434" i="2"/>
  <c r="AF434" i="2"/>
  <c r="S434" i="2"/>
  <c r="F434" i="2"/>
  <c r="AE434" i="2"/>
  <c r="R434" i="2"/>
  <c r="E434" i="2"/>
  <c r="D434" i="2" s="1"/>
  <c r="V434" i="2"/>
  <c r="AD434" i="2"/>
  <c r="K434" i="2"/>
  <c r="X434" i="2"/>
  <c r="P434" i="2"/>
  <c r="M434" i="2"/>
  <c r="L434" i="2"/>
  <c r="AB434" i="2"/>
  <c r="AG437" i="2"/>
  <c r="W437" i="2"/>
  <c r="H437" i="2"/>
  <c r="V437" i="2"/>
  <c r="F437" i="2"/>
  <c r="U437" i="2"/>
  <c r="E437" i="2"/>
  <c r="D437" i="2" s="1"/>
  <c r="S437" i="2"/>
  <c r="M437" i="2"/>
  <c r="AE437" i="2"/>
  <c r="I437" i="2"/>
  <c r="AB437" i="2"/>
  <c r="Y437" i="2"/>
  <c r="Q437" i="2"/>
  <c r="O437" i="2"/>
  <c r="J437" i="2"/>
  <c r="V371" i="2"/>
  <c r="H371" i="2"/>
  <c r="S371" i="2"/>
  <c r="Y375" i="2"/>
  <c r="P375" i="2"/>
  <c r="V377" i="2"/>
  <c r="T377" i="2"/>
  <c r="G377" i="2"/>
  <c r="K437" i="2"/>
  <c r="V435" i="2"/>
  <c r="AE424" i="2"/>
  <c r="AD424" i="2"/>
  <c r="K424" i="2"/>
  <c r="Z424" i="2"/>
  <c r="I424" i="2"/>
  <c r="Y424" i="2"/>
  <c r="G424" i="2"/>
  <c r="M424" i="2"/>
  <c r="T424" i="2"/>
  <c r="U435" i="2"/>
  <c r="AG435" i="2"/>
  <c r="Q435" i="2"/>
  <c r="AF435" i="2"/>
  <c r="O435" i="2"/>
  <c r="AE435" i="2"/>
  <c r="N435" i="2"/>
  <c r="AB435" i="2"/>
  <c r="M435" i="2"/>
  <c r="AA435" i="2"/>
  <c r="G435" i="2"/>
  <c r="W435" i="2"/>
  <c r="AG441" i="2"/>
  <c r="P441" i="2"/>
  <c r="O441" i="2"/>
  <c r="I441" i="2"/>
  <c r="H441" i="2"/>
  <c r="AD414" i="2"/>
  <c r="Z414" i="2"/>
  <c r="H414" i="2"/>
  <c r="Y414" i="2"/>
  <c r="F414" i="2"/>
  <c r="S414" i="2"/>
  <c r="M414" i="2"/>
  <c r="AC414" i="2"/>
  <c r="X421" i="2"/>
  <c r="J421" i="2"/>
  <c r="V421" i="2"/>
  <c r="G421" i="2"/>
  <c r="U421" i="2"/>
  <c r="F421" i="2"/>
  <c r="AG421" i="2"/>
  <c r="N421" i="2"/>
  <c r="M421" i="2"/>
  <c r="AA421" i="2"/>
  <c r="AA430" i="2"/>
  <c r="Y430" i="2"/>
  <c r="L430" i="2"/>
  <c r="W430" i="2"/>
  <c r="J430" i="2"/>
  <c r="V430" i="2"/>
  <c r="I430" i="2"/>
  <c r="AG430" i="2"/>
  <c r="Q430" i="2"/>
  <c r="X430" i="2"/>
  <c r="E430" i="2"/>
  <c r="D430" i="2" s="1"/>
  <c r="Z430" i="2"/>
  <c r="I435" i="2"/>
  <c r="G441" i="2"/>
  <c r="V439" i="2"/>
  <c r="Q439" i="2"/>
  <c r="P439" i="2"/>
  <c r="J439" i="2"/>
  <c r="Q441" i="2"/>
  <c r="Q255" i="2"/>
  <c r="AD255" i="2"/>
  <c r="Q271" i="2"/>
  <c r="AD271" i="2"/>
  <c r="X342" i="2"/>
  <c r="T342" i="2"/>
  <c r="AC349" i="2"/>
  <c r="X349" i="2"/>
  <c r="Q363" i="2"/>
  <c r="N363" i="2"/>
  <c r="H363" i="2"/>
  <c r="AG363" i="2"/>
  <c r="AA374" i="2"/>
  <c r="AF374" i="2"/>
  <c r="X378" i="2"/>
  <c r="W378" i="2"/>
  <c r="I414" i="2"/>
  <c r="K421" i="2"/>
  <c r="AE421" i="2"/>
  <c r="V424" i="2"/>
  <c r="H430" i="2"/>
  <c r="AD430" i="2"/>
  <c r="L435" i="2"/>
  <c r="I439" i="2"/>
  <c r="AG372" i="2"/>
  <c r="V387" i="2"/>
  <c r="N387" i="2"/>
  <c r="K387" i="2"/>
  <c r="AF387" i="2"/>
  <c r="AA392" i="2"/>
  <c r="G392" i="2"/>
  <c r="AC392" i="2"/>
  <c r="I392" i="2"/>
  <c r="AB392" i="2"/>
  <c r="AB402" i="2"/>
  <c r="P402" i="2"/>
  <c r="W402" i="2"/>
  <c r="F402" i="2"/>
  <c r="X402" i="2"/>
  <c r="AA406" i="2"/>
  <c r="AF406" i="2"/>
  <c r="J406" i="2"/>
  <c r="X406" i="2"/>
  <c r="AD406" i="2"/>
  <c r="AF442" i="2"/>
  <c r="Z442" i="2"/>
  <c r="L442" i="2"/>
  <c r="X442" i="2"/>
  <c r="J442" i="2"/>
  <c r="W442" i="2"/>
  <c r="I442" i="2"/>
  <c r="V442" i="2"/>
  <c r="H442" i="2"/>
  <c r="U442" i="2"/>
  <c r="G442" i="2"/>
  <c r="AC442" i="2"/>
  <c r="Y442" i="2"/>
  <c r="AE442" i="2"/>
  <c r="AF454" i="2"/>
  <c r="AD454" i="2"/>
  <c r="P454" i="2"/>
  <c r="AC454" i="2"/>
  <c r="N454" i="2"/>
  <c r="AB454" i="2"/>
  <c r="M454" i="2"/>
  <c r="Z454" i="2"/>
  <c r="L454" i="2"/>
  <c r="Y454" i="2"/>
  <c r="K454" i="2"/>
  <c r="X454" i="2"/>
  <c r="J454" i="2"/>
  <c r="W454" i="2"/>
  <c r="I454" i="2"/>
  <c r="V454" i="2"/>
  <c r="G454" i="2"/>
  <c r="U454" i="2"/>
  <c r="F454" i="2"/>
  <c r="AA388" i="2"/>
  <c r="F388" i="2"/>
  <c r="X388" i="2"/>
  <c r="S395" i="2"/>
  <c r="AG395" i="2"/>
  <c r="M395" i="2"/>
  <c r="Z395" i="2"/>
  <c r="AG410" i="2"/>
  <c r="S410" i="2"/>
  <c r="E410" i="2"/>
  <c r="T410" i="2"/>
  <c r="E454" i="2"/>
  <c r="D454" i="2" s="1"/>
  <c r="R454" i="2"/>
  <c r="AG454" i="2"/>
  <c r="X413" i="2"/>
  <c r="S418" i="2"/>
  <c r="M432" i="2"/>
  <c r="AA432" i="2"/>
  <c r="W445" i="2"/>
  <c r="I446" i="2"/>
  <c r="W446" i="2"/>
  <c r="W448" i="2"/>
  <c r="P449" i="2"/>
  <c r="G450" i="2"/>
  <c r="V450" i="2"/>
  <c r="AB451" i="2"/>
  <c r="W452" i="2"/>
  <c r="Q456" i="2"/>
  <c r="W457" i="2"/>
  <c r="X458" i="2"/>
  <c r="E418" i="2"/>
  <c r="D418" i="2" s="1"/>
  <c r="N432" i="2"/>
  <c r="AB432" i="2"/>
  <c r="P438" i="2"/>
  <c r="AC438" i="2"/>
  <c r="AA445" i="2"/>
  <c r="J446" i="2"/>
  <c r="X446" i="2"/>
  <c r="AA448" i="2"/>
  <c r="V449" i="2"/>
  <c r="I450" i="2"/>
  <c r="W450" i="2"/>
  <c r="G451" i="2"/>
  <c r="AC451" i="2"/>
  <c r="X452" i="2"/>
  <c r="R456" i="2"/>
  <c r="AE457" i="2"/>
  <c r="AB445" i="2"/>
  <c r="K446" i="2"/>
  <c r="Y446" i="2"/>
  <c r="AB448" i="2"/>
  <c r="W449" i="2"/>
  <c r="J450" i="2"/>
  <c r="X450" i="2"/>
  <c r="Y452" i="2"/>
  <c r="S456" i="2"/>
  <c r="AF457" i="2"/>
  <c r="Q432" i="2"/>
  <c r="G445" i="2"/>
  <c r="AD445" i="2"/>
  <c r="L446" i="2"/>
  <c r="Z446" i="2"/>
  <c r="F448" i="2"/>
  <c r="AC448" i="2"/>
  <c r="Y449" i="2"/>
  <c r="K450" i="2"/>
  <c r="Y450" i="2"/>
  <c r="Z449" i="2"/>
  <c r="N446" i="2"/>
  <c r="AC446" i="2"/>
  <c r="AE449" i="2"/>
  <c r="M450" i="2"/>
  <c r="AB450" i="2"/>
  <c r="Q446" i="2"/>
  <c r="AE446" i="2"/>
  <c r="J458" i="2"/>
  <c r="R446" i="2"/>
  <c r="AG446" i="2"/>
  <c r="Q450" i="2"/>
  <c r="AE450" i="2"/>
  <c r="K458" i="2"/>
  <c r="Y14" i="2"/>
  <c r="M14" i="2"/>
  <c r="V14" i="2"/>
  <c r="I14" i="2"/>
  <c r="Z14" i="2"/>
  <c r="L14" i="2"/>
  <c r="S14" i="2"/>
  <c r="AE11" i="2"/>
  <c r="E38" i="2"/>
  <c r="E8" i="2"/>
  <c r="AG8" i="2"/>
  <c r="W14" i="2"/>
  <c r="AE16" i="2"/>
  <c r="S16" i="2"/>
  <c r="G16" i="2"/>
  <c r="V16" i="2"/>
  <c r="I16" i="2"/>
  <c r="Y16" i="2"/>
  <c r="L16" i="2"/>
  <c r="R16" i="2"/>
  <c r="V15" i="2"/>
  <c r="K20" i="2"/>
  <c r="Z20" i="2"/>
  <c r="I31" i="2"/>
  <c r="Y31" i="2"/>
  <c r="E16" i="2"/>
  <c r="I8" i="2"/>
  <c r="W8" i="2"/>
  <c r="I11" i="2"/>
  <c r="X11" i="2"/>
  <c r="N14" i="2"/>
  <c r="AC14" i="2"/>
  <c r="J15" i="2"/>
  <c r="Y15" i="2"/>
  <c r="H16" i="2"/>
  <c r="X16" i="2"/>
  <c r="F17" i="2"/>
  <c r="U17" i="2"/>
  <c r="Y18" i="2"/>
  <c r="M18" i="2"/>
  <c r="AG18" i="2"/>
  <c r="T18" i="2"/>
  <c r="G18" i="2"/>
  <c r="W18" i="2"/>
  <c r="J18" i="2"/>
  <c r="R18" i="2"/>
  <c r="N20" i="2"/>
  <c r="AC20" i="2"/>
  <c r="I22" i="2"/>
  <c r="X22" i="2"/>
  <c r="F23" i="2"/>
  <c r="U23" i="2"/>
  <c r="AE24" i="2"/>
  <c r="S24" i="2"/>
  <c r="G24" i="2"/>
  <c r="AD24" i="2"/>
  <c r="Q24" i="2"/>
  <c r="U24" i="2"/>
  <c r="H24" i="2"/>
  <c r="T24" i="2"/>
  <c r="Q25" i="2"/>
  <c r="G27" i="2"/>
  <c r="W27" i="2"/>
  <c r="V29" i="2"/>
  <c r="J29" i="2"/>
  <c r="U29" i="2"/>
  <c r="H29" i="2"/>
  <c r="Y29" i="2"/>
  <c r="L29" i="2"/>
  <c r="R29" i="2"/>
  <c r="AG29" i="2"/>
  <c r="M31" i="2"/>
  <c r="AC31" i="2"/>
  <c r="H33" i="2"/>
  <c r="Y33" i="2"/>
  <c r="E34" i="2"/>
  <c r="T34" i="2"/>
  <c r="S35" i="2"/>
  <c r="N37" i="2"/>
  <c r="AC37" i="2"/>
  <c r="K38" i="2"/>
  <c r="AB38" i="2"/>
  <c r="I39" i="2"/>
  <c r="X39" i="2"/>
  <c r="F40" i="2"/>
  <c r="W40" i="2"/>
  <c r="Q42" i="2"/>
  <c r="M44" i="2"/>
  <c r="AB44" i="2"/>
  <c r="G46" i="2"/>
  <c r="W46" i="2"/>
  <c r="R48" i="2"/>
  <c r="R49" i="2"/>
  <c r="J51" i="2"/>
  <c r="AC51" i="2"/>
  <c r="K52" i="2"/>
  <c r="AA52" i="2"/>
  <c r="N53" i="2"/>
  <c r="AD53" i="2"/>
  <c r="K54" i="2"/>
  <c r="AC54" i="2"/>
  <c r="N55" i="2"/>
  <c r="AE55" i="2"/>
  <c r="N57" i="2"/>
  <c r="AD57" i="2"/>
  <c r="M59" i="2"/>
  <c r="AD59" i="2"/>
  <c r="L60" i="2"/>
  <c r="AD60" i="2"/>
  <c r="N61" i="2"/>
  <c r="AE61" i="2"/>
  <c r="O62" i="2"/>
  <c r="AE62" i="2"/>
  <c r="M63" i="2"/>
  <c r="AE63" i="2"/>
  <c r="O68" i="2"/>
  <c r="AG68" i="2"/>
  <c r="Z70" i="2"/>
  <c r="N70" i="2"/>
  <c r="AD70" i="2"/>
  <c r="Q70" i="2"/>
  <c r="W70" i="2"/>
  <c r="I70" i="2"/>
  <c r="AB70" i="2"/>
  <c r="M70" i="2"/>
  <c r="AA70" i="2"/>
  <c r="L70" i="2"/>
  <c r="U70" i="2"/>
  <c r="G71" i="2"/>
  <c r="AA71" i="2"/>
  <c r="E73" i="2"/>
  <c r="Y73" i="2"/>
  <c r="AC75" i="2"/>
  <c r="Q75" i="2"/>
  <c r="E75" i="2"/>
  <c r="U75" i="2"/>
  <c r="H75" i="2"/>
  <c r="Z75" i="2"/>
  <c r="L75" i="2"/>
  <c r="AE75" i="2"/>
  <c r="P75" i="2"/>
  <c r="AD75" i="2"/>
  <c r="O75" i="2"/>
  <c r="V75" i="2"/>
  <c r="E76" i="2"/>
  <c r="AB76" i="2"/>
  <c r="AC79" i="2"/>
  <c r="Q79" i="2"/>
  <c r="E79" i="2"/>
  <c r="AF79" i="2"/>
  <c r="S79" i="2"/>
  <c r="F79" i="2"/>
  <c r="U79" i="2"/>
  <c r="G79" i="2"/>
  <c r="Y79" i="2"/>
  <c r="K79" i="2"/>
  <c r="X79" i="2"/>
  <c r="J79" i="2"/>
  <c r="V79" i="2"/>
  <c r="H79" i="2"/>
  <c r="AA79" i="2"/>
  <c r="AC87" i="2"/>
  <c r="Q87" i="2"/>
  <c r="E87" i="2"/>
  <c r="AA87" i="2"/>
  <c r="N87" i="2"/>
  <c r="V87" i="2"/>
  <c r="H87" i="2"/>
  <c r="Z87" i="2"/>
  <c r="L87" i="2"/>
  <c r="Y87" i="2"/>
  <c r="K87" i="2"/>
  <c r="W87" i="2"/>
  <c r="I87" i="2"/>
  <c r="X87" i="2"/>
  <c r="L90" i="2"/>
  <c r="AE90" i="2"/>
  <c r="U94" i="2"/>
  <c r="P95" i="2"/>
  <c r="AC99" i="2"/>
  <c r="Q99" i="2"/>
  <c r="E99" i="2"/>
  <c r="U99" i="2"/>
  <c r="H99" i="2"/>
  <c r="V99" i="2"/>
  <c r="I99" i="2"/>
  <c r="Z99" i="2"/>
  <c r="K99" i="2"/>
  <c r="Y99" i="2"/>
  <c r="J99" i="2"/>
  <c r="X99" i="2"/>
  <c r="G99" i="2"/>
  <c r="AE99" i="2"/>
  <c r="O99" i="2"/>
  <c r="AD99" i="2"/>
  <c r="N99" i="2"/>
  <c r="AA99" i="2"/>
  <c r="L99" i="2"/>
  <c r="Q105" i="2"/>
  <c r="P106" i="2"/>
  <c r="O107" i="2"/>
  <c r="P108" i="2"/>
  <c r="Q109" i="2"/>
  <c r="P110" i="2"/>
  <c r="R111" i="2"/>
  <c r="R112" i="2"/>
  <c r="O113" i="2"/>
  <c r="R14" i="2"/>
  <c r="Q11" i="2"/>
  <c r="AF11" i="2"/>
  <c r="G14" i="2"/>
  <c r="V22" i="2"/>
  <c r="Z31" i="2"/>
  <c r="J22" i="2"/>
  <c r="Z22" i="2"/>
  <c r="G23" i="2"/>
  <c r="V23" i="2"/>
  <c r="H27" i="2"/>
  <c r="X27" i="2"/>
  <c r="K33" i="2"/>
  <c r="F34" i="2"/>
  <c r="K51" i="2"/>
  <c r="AD51" i="2"/>
  <c r="L52" i="2"/>
  <c r="AC52" i="2"/>
  <c r="O53" i="2"/>
  <c r="AE53" i="2"/>
  <c r="L54" i="2"/>
  <c r="AF54" i="2"/>
  <c r="O55" i="2"/>
  <c r="AF55" i="2"/>
  <c r="AE57" i="2"/>
  <c r="P68" i="2"/>
  <c r="V94" i="2"/>
  <c r="P107" i="2"/>
  <c r="U20" i="2"/>
  <c r="U37" i="2"/>
  <c r="T14" i="2"/>
  <c r="F14" i="2"/>
  <c r="U14" i="2"/>
  <c r="T15" i="2"/>
  <c r="H20" i="2"/>
  <c r="F31" i="2"/>
  <c r="S8" i="2"/>
  <c r="E15" i="2"/>
  <c r="F11" i="2"/>
  <c r="H14" i="2"/>
  <c r="X14" i="2"/>
  <c r="G15" i="2"/>
  <c r="T16" i="2"/>
  <c r="T22" i="2"/>
  <c r="G11" i="2"/>
  <c r="U11" i="2"/>
  <c r="Y34" i="2"/>
  <c r="M34" i="2"/>
  <c r="X34" i="2"/>
  <c r="K34" i="2"/>
  <c r="AB34" i="2"/>
  <c r="O34" i="2"/>
  <c r="AG34" i="2"/>
  <c r="J8" i="2"/>
  <c r="X8" i="2"/>
  <c r="K11" i="2"/>
  <c r="Z11" i="2"/>
  <c r="O20" i="2"/>
  <c r="AD20" i="2"/>
  <c r="N31" i="2"/>
  <c r="AD31" i="2"/>
  <c r="Y42" i="2"/>
  <c r="M42" i="2"/>
  <c r="AG42" i="2"/>
  <c r="T42" i="2"/>
  <c r="G42" i="2"/>
  <c r="W42" i="2"/>
  <c r="J42" i="2"/>
  <c r="R42" i="2"/>
  <c r="N59" i="2"/>
  <c r="V7" i="2"/>
  <c r="J7" i="2"/>
  <c r="Y7" i="2"/>
  <c r="M7" i="2"/>
  <c r="Z8" i="2"/>
  <c r="P14" i="2"/>
  <c r="AE14" i="2"/>
  <c r="L15" i="2"/>
  <c r="K16" i="2"/>
  <c r="AA16" i="2"/>
  <c r="H17" i="2"/>
  <c r="E18" i="2"/>
  <c r="U18" i="2"/>
  <c r="P20" i="2"/>
  <c r="AA22" i="2"/>
  <c r="W23" i="2"/>
  <c r="E29" i="2"/>
  <c r="T29" i="2"/>
  <c r="AA33" i="2"/>
  <c r="V34" i="2"/>
  <c r="S42" i="2"/>
  <c r="O44" i="2"/>
  <c r="AD44" i="2"/>
  <c r="J46" i="2"/>
  <c r="Z46" i="2"/>
  <c r="E48" i="2"/>
  <c r="N51" i="2"/>
  <c r="AE51" i="2"/>
  <c r="M52" i="2"/>
  <c r="AD52" i="2"/>
  <c r="P53" i="2"/>
  <c r="AF53" i="2"/>
  <c r="O54" i="2"/>
  <c r="AG54" i="2"/>
  <c r="Q55" i="2"/>
  <c r="P57" i="2"/>
  <c r="AG57" i="2"/>
  <c r="O59" i="2"/>
  <c r="AG59" i="2"/>
  <c r="P60" i="2"/>
  <c r="AG60" i="2"/>
  <c r="P61" i="2"/>
  <c r="Q62" i="2"/>
  <c r="AG62" i="2"/>
  <c r="Q63" i="2"/>
  <c r="Y66" i="2"/>
  <c r="M66" i="2"/>
  <c r="AG66" i="2"/>
  <c r="T66" i="2"/>
  <c r="G66" i="2"/>
  <c r="X66" i="2"/>
  <c r="K66" i="2"/>
  <c r="W66" i="2"/>
  <c r="J66" i="2"/>
  <c r="S66" i="2"/>
  <c r="Q68" i="2"/>
  <c r="F70" i="2"/>
  <c r="X70" i="2"/>
  <c r="L71" i="2"/>
  <c r="AD71" i="2"/>
  <c r="G73" i="2"/>
  <c r="AC73" i="2"/>
  <c r="F75" i="2"/>
  <c r="X75" i="2"/>
  <c r="I76" i="2"/>
  <c r="AD76" i="2"/>
  <c r="I79" i="2"/>
  <c r="AD79" i="2"/>
  <c r="F87" i="2"/>
  <c r="AD87" i="2"/>
  <c r="O90" i="2"/>
  <c r="X94" i="2"/>
  <c r="S95" i="2"/>
  <c r="F99" i="2"/>
  <c r="AF100" i="2"/>
  <c r="T100" i="2"/>
  <c r="H100" i="2"/>
  <c r="AA100" i="2"/>
  <c r="N100" i="2"/>
  <c r="AB100" i="2"/>
  <c r="O100" i="2"/>
  <c r="V100" i="2"/>
  <c r="F100" i="2"/>
  <c r="U100" i="2"/>
  <c r="E100" i="2"/>
  <c r="S100" i="2"/>
  <c r="Z100" i="2"/>
  <c r="K100" i="2"/>
  <c r="Y100" i="2"/>
  <c r="J100" i="2"/>
  <c r="W100" i="2"/>
  <c r="G100" i="2"/>
  <c r="U105" i="2"/>
  <c r="R106" i="2"/>
  <c r="R107" i="2"/>
  <c r="R108" i="2"/>
  <c r="S109" i="2"/>
  <c r="U110" i="2"/>
  <c r="T111" i="2"/>
  <c r="U112" i="2"/>
  <c r="U113" i="2"/>
  <c r="AE20" i="2"/>
  <c r="S20" i="2"/>
  <c r="G20" i="2"/>
  <c r="AG20" i="2"/>
  <c r="T20" i="2"/>
  <c r="F20" i="2"/>
  <c r="W20" i="2"/>
  <c r="J20" i="2"/>
  <c r="AB31" i="2"/>
  <c r="P31" i="2"/>
  <c r="AG31" i="2"/>
  <c r="T31" i="2"/>
  <c r="G31" i="2"/>
  <c r="W31" i="2"/>
  <c r="J31" i="2"/>
  <c r="S31" i="2"/>
  <c r="R38" i="2"/>
  <c r="R8" i="2"/>
  <c r="AB15" i="2"/>
  <c r="P15" i="2"/>
  <c r="AC15" i="2"/>
  <c r="O15" i="2"/>
  <c r="AF15" i="2"/>
  <c r="S15" i="2"/>
  <c r="F15" i="2"/>
  <c r="X20" i="2"/>
  <c r="V31" i="2"/>
  <c r="E11" i="2"/>
  <c r="AG11" i="2"/>
  <c r="F8" i="2"/>
  <c r="T8" i="2"/>
  <c r="AB27" i="2"/>
  <c r="P27" i="2"/>
  <c r="V27" i="2"/>
  <c r="I27" i="2"/>
  <c r="Y27" i="2"/>
  <c r="L27" i="2"/>
  <c r="S27" i="2"/>
  <c r="G8" i="2"/>
  <c r="U8" i="2"/>
  <c r="J14" i="2"/>
  <c r="V17" i="2"/>
  <c r="J17" i="2"/>
  <c r="AB17" i="2"/>
  <c r="O17" i="2"/>
  <c r="AE17" i="2"/>
  <c r="R17" i="2"/>
  <c r="E17" i="2"/>
  <c r="L20" i="2"/>
  <c r="AA20" i="2"/>
  <c r="F22" i="2"/>
  <c r="E27" i="2"/>
  <c r="K31" i="2"/>
  <c r="R34" i="2"/>
  <c r="O14" i="2"/>
  <c r="AD14" i="2"/>
  <c r="K15" i="2"/>
  <c r="Z15" i="2"/>
  <c r="J16" i="2"/>
  <c r="Z16" i="2"/>
  <c r="G17" i="2"/>
  <c r="W17" i="2"/>
  <c r="V25" i="2"/>
  <c r="J25" i="2"/>
  <c r="X25" i="2"/>
  <c r="K25" i="2"/>
  <c r="AA25" i="2"/>
  <c r="N25" i="2"/>
  <c r="R25" i="2"/>
  <c r="AG25" i="2"/>
  <c r="Z33" i="2"/>
  <c r="AB35" i="2"/>
  <c r="P35" i="2"/>
  <c r="AE35" i="2"/>
  <c r="R35" i="2"/>
  <c r="E35" i="2"/>
  <c r="U35" i="2"/>
  <c r="H35" i="2"/>
  <c r="T35" i="2"/>
  <c r="O37" i="2"/>
  <c r="AE37" i="2"/>
  <c r="N38" i="2"/>
  <c r="AC38" i="2"/>
  <c r="J39" i="2"/>
  <c r="Y39" i="2"/>
  <c r="H40" i="2"/>
  <c r="X40" i="2"/>
  <c r="N44" i="2"/>
  <c r="AC44" i="2"/>
  <c r="I46" i="2"/>
  <c r="X46" i="2"/>
  <c r="AE48" i="2"/>
  <c r="S48" i="2"/>
  <c r="G48" i="2"/>
  <c r="AD48" i="2"/>
  <c r="Q48" i="2"/>
  <c r="V48" i="2"/>
  <c r="U48" i="2"/>
  <c r="H48" i="2"/>
  <c r="T48" i="2"/>
  <c r="V49" i="2"/>
  <c r="J49" i="2"/>
  <c r="X49" i="2"/>
  <c r="K49" i="2"/>
  <c r="AB49" i="2"/>
  <c r="O49" i="2"/>
  <c r="AA49" i="2"/>
  <c r="N49" i="2"/>
  <c r="S49" i="2"/>
  <c r="O57" i="2"/>
  <c r="AF59" i="2"/>
  <c r="M60" i="2"/>
  <c r="AF60" i="2"/>
  <c r="O61" i="2"/>
  <c r="AF61" i="2"/>
  <c r="P62" i="2"/>
  <c r="AF62" i="2"/>
  <c r="N63" i="2"/>
  <c r="Q7" i="2"/>
  <c r="AE7" i="2"/>
  <c r="K8" i="2"/>
  <c r="H9" i="2"/>
  <c r="V9" i="2"/>
  <c r="AE10" i="2"/>
  <c r="S10" i="2"/>
  <c r="G10" i="2"/>
  <c r="V10" i="2"/>
  <c r="J10" i="2"/>
  <c r="Q10" i="2"/>
  <c r="AF10" i="2"/>
  <c r="L11" i="2"/>
  <c r="AA11" i="2"/>
  <c r="G12" i="2"/>
  <c r="U12" i="2"/>
  <c r="K22" i="2"/>
  <c r="H23" i="2"/>
  <c r="F24" i="2"/>
  <c r="W24" i="2"/>
  <c r="S25" i="2"/>
  <c r="J27" i="2"/>
  <c r="Z27" i="2"/>
  <c r="AE31" i="2"/>
  <c r="L33" i="2"/>
  <c r="G34" i="2"/>
  <c r="F35" i="2"/>
  <c r="AE36" i="2"/>
  <c r="S36" i="2"/>
  <c r="G36" i="2"/>
  <c r="X36" i="2"/>
  <c r="K36" i="2"/>
  <c r="AA36" i="2"/>
  <c r="N36" i="2"/>
  <c r="R36" i="2"/>
  <c r="P37" i="2"/>
  <c r="AF37" i="2"/>
  <c r="O38" i="2"/>
  <c r="AD38" i="2"/>
  <c r="K39" i="2"/>
  <c r="Z39" i="2"/>
  <c r="J40" i="2"/>
  <c r="Z40" i="2"/>
  <c r="R7" i="2"/>
  <c r="AF7" i="2"/>
  <c r="L8" i="2"/>
  <c r="I9" i="2"/>
  <c r="R10" i="2"/>
  <c r="AG10" i="2"/>
  <c r="N11" i="2"/>
  <c r="H12" i="2"/>
  <c r="V13" i="2"/>
  <c r="J13" i="2"/>
  <c r="AD13" i="2"/>
  <c r="Q13" i="2"/>
  <c r="AG13" i="2"/>
  <c r="T13" i="2"/>
  <c r="G13" i="2"/>
  <c r="S13" i="2"/>
  <c r="Q14" i="2"/>
  <c r="AF14" i="2"/>
  <c r="M15" i="2"/>
  <c r="AD15" i="2"/>
  <c r="M16" i="2"/>
  <c r="AB16" i="2"/>
  <c r="I17" i="2"/>
  <c r="Y17" i="2"/>
  <c r="F18" i="2"/>
  <c r="V18" i="2"/>
  <c r="Q20" i="2"/>
  <c r="L22" i="2"/>
  <c r="I23" i="2"/>
  <c r="I24" i="2"/>
  <c r="X24" i="2"/>
  <c r="E25" i="2"/>
  <c r="T25" i="2"/>
  <c r="K27" i="2"/>
  <c r="AA27" i="2"/>
  <c r="I28" i="2"/>
  <c r="F29" i="2"/>
  <c r="W29" i="2"/>
  <c r="Y30" i="2"/>
  <c r="M30" i="2"/>
  <c r="AA30" i="2"/>
  <c r="N30" i="2"/>
  <c r="AD30" i="2"/>
  <c r="Q30" i="2"/>
  <c r="S30" i="2"/>
  <c r="Q31" i="2"/>
  <c r="AF31" i="2"/>
  <c r="M33" i="2"/>
  <c r="H34" i="2"/>
  <c r="W34" i="2"/>
  <c r="G35" i="2"/>
  <c r="W35" i="2"/>
  <c r="T36" i="2"/>
  <c r="P38" i="2"/>
  <c r="AE38" i="2"/>
  <c r="L39" i="2"/>
  <c r="K40" i="2"/>
  <c r="AA40" i="2"/>
  <c r="H41" i="2"/>
  <c r="E42" i="2"/>
  <c r="U42" i="2"/>
  <c r="P44" i="2"/>
  <c r="K46" i="2"/>
  <c r="AA46" i="2"/>
  <c r="H47" i="2"/>
  <c r="F48" i="2"/>
  <c r="X48" i="2"/>
  <c r="E49" i="2"/>
  <c r="U49" i="2"/>
  <c r="O51" i="2"/>
  <c r="AF51" i="2"/>
  <c r="N52" i="2"/>
  <c r="Q53" i="2"/>
  <c r="AE64" i="2"/>
  <c r="S64" i="2"/>
  <c r="G64" i="2"/>
  <c r="V64" i="2"/>
  <c r="I64" i="2"/>
  <c r="Z64" i="2"/>
  <c r="M64" i="2"/>
  <c r="Y64" i="2"/>
  <c r="L64" i="2"/>
  <c r="T64" i="2"/>
  <c r="V65" i="2"/>
  <c r="J65" i="2"/>
  <c r="AB65" i="2"/>
  <c r="O65" i="2"/>
  <c r="AF65" i="2"/>
  <c r="S65" i="2"/>
  <c r="F65" i="2"/>
  <c r="AE65" i="2"/>
  <c r="R65" i="2"/>
  <c r="E65" i="2"/>
  <c r="U65" i="2"/>
  <c r="U66" i="2"/>
  <c r="W69" i="2"/>
  <c r="K69" i="2"/>
  <c r="Y69" i="2"/>
  <c r="L69" i="2"/>
  <c r="AC69" i="2"/>
  <c r="O69" i="2"/>
  <c r="AG69" i="2"/>
  <c r="S69" i="2"/>
  <c r="E69" i="2"/>
  <c r="AF69" i="2"/>
  <c r="R69" i="2"/>
  <c r="V69" i="2"/>
  <c r="G70" i="2"/>
  <c r="Y70" i="2"/>
  <c r="M71" i="2"/>
  <c r="AE71" i="2"/>
  <c r="J73" i="2"/>
  <c r="AD73" i="2"/>
  <c r="G75" i="2"/>
  <c r="Y75" i="2"/>
  <c r="L76" i="2"/>
  <c r="AE76" i="2"/>
  <c r="Z78" i="2"/>
  <c r="N78" i="2"/>
  <c r="Y78" i="2"/>
  <c r="L78" i="2"/>
  <c r="X78" i="2"/>
  <c r="J78" i="2"/>
  <c r="AD78" i="2"/>
  <c r="P78" i="2"/>
  <c r="AC78" i="2"/>
  <c r="O78" i="2"/>
  <c r="AA78" i="2"/>
  <c r="K78" i="2"/>
  <c r="U78" i="2"/>
  <c r="L79" i="2"/>
  <c r="AE79" i="2"/>
  <c r="W81" i="2"/>
  <c r="K81" i="2"/>
  <c r="AE81" i="2"/>
  <c r="R81" i="2"/>
  <c r="E81" i="2"/>
  <c r="Z81" i="2"/>
  <c r="L81" i="2"/>
  <c r="AD81" i="2"/>
  <c r="P81" i="2"/>
  <c r="AC81" i="2"/>
  <c r="O81" i="2"/>
  <c r="AA81" i="2"/>
  <c r="M81" i="2"/>
  <c r="V81" i="2"/>
  <c r="L82" i="2"/>
  <c r="G84" i="2"/>
  <c r="G87" i="2"/>
  <c r="AE87" i="2"/>
  <c r="M99" i="2"/>
  <c r="I100" i="2"/>
  <c r="U107" i="2"/>
  <c r="R20" i="2"/>
  <c r="V37" i="2"/>
  <c r="J37" i="2"/>
  <c r="AD37" i="2"/>
  <c r="Q37" i="2"/>
  <c r="AG37" i="2"/>
  <c r="T37" i="2"/>
  <c r="G37" i="2"/>
  <c r="Y62" i="2"/>
  <c r="M62" i="2"/>
  <c r="V62" i="2"/>
  <c r="I62" i="2"/>
  <c r="AA62" i="2"/>
  <c r="N62" i="2"/>
  <c r="Z62" i="2"/>
  <c r="L62" i="2"/>
  <c r="S62" i="2"/>
  <c r="AF68" i="2"/>
  <c r="AE68" i="2"/>
  <c r="S68" i="2"/>
  <c r="G68" i="2"/>
  <c r="T68" i="2"/>
  <c r="F68" i="2"/>
  <c r="X68" i="2"/>
  <c r="K68" i="2"/>
  <c r="W68" i="2"/>
  <c r="J68" i="2"/>
  <c r="U68" i="2"/>
  <c r="Z94" i="2"/>
  <c r="N94" i="2"/>
  <c r="AD94" i="2"/>
  <c r="Q94" i="2"/>
  <c r="AE94" i="2"/>
  <c r="R94" i="2"/>
  <c r="E94" i="2"/>
  <c r="Y94" i="2"/>
  <c r="J94" i="2"/>
  <c r="W94" i="2"/>
  <c r="H94" i="2"/>
  <c r="AF94" i="2"/>
  <c r="O94" i="2"/>
  <c r="AC94" i="2"/>
  <c r="M94" i="2"/>
  <c r="AA94" i="2"/>
  <c r="K94" i="2"/>
  <c r="AG94" i="2"/>
  <c r="V107" i="2"/>
  <c r="AG14" i="2"/>
  <c r="AE44" i="2"/>
  <c r="S44" i="2"/>
  <c r="G44" i="2"/>
  <c r="AG44" i="2"/>
  <c r="T44" i="2"/>
  <c r="F44" i="2"/>
  <c r="W44" i="2"/>
  <c r="J44" i="2"/>
  <c r="R44" i="2"/>
  <c r="V53" i="2"/>
  <c r="J53" i="2"/>
  <c r="U53" i="2"/>
  <c r="H53" i="2"/>
  <c r="Z53" i="2"/>
  <c r="M53" i="2"/>
  <c r="Y53" i="2"/>
  <c r="L53" i="2"/>
  <c r="S53" i="2"/>
  <c r="AB55" i="2"/>
  <c r="P55" i="2"/>
  <c r="AG55" i="2"/>
  <c r="T55" i="2"/>
  <c r="G55" i="2"/>
  <c r="X55" i="2"/>
  <c r="K55" i="2"/>
  <c r="W55" i="2"/>
  <c r="J55" i="2"/>
  <c r="U55" i="2"/>
  <c r="V57" i="2"/>
  <c r="J57" i="2"/>
  <c r="AF57" i="2"/>
  <c r="S57" i="2"/>
  <c r="F57" i="2"/>
  <c r="X57" i="2"/>
  <c r="K57" i="2"/>
  <c r="W57" i="2"/>
  <c r="I57" i="2"/>
  <c r="T57" i="2"/>
  <c r="AE60" i="2"/>
  <c r="S60" i="2"/>
  <c r="G60" i="2"/>
  <c r="X60" i="2"/>
  <c r="K60" i="2"/>
  <c r="AB60" i="2"/>
  <c r="O60" i="2"/>
  <c r="AA60" i="2"/>
  <c r="N60" i="2"/>
  <c r="T60" i="2"/>
  <c r="V61" i="2"/>
  <c r="J61" i="2"/>
  <c r="AD61" i="2"/>
  <c r="Q61" i="2"/>
  <c r="U61" i="2"/>
  <c r="H61" i="2"/>
  <c r="AG61" i="2"/>
  <c r="T61" i="2"/>
  <c r="G61" i="2"/>
  <c r="W61" i="2"/>
  <c r="T62" i="2"/>
  <c r="AB63" i="2"/>
  <c r="P63" i="2"/>
  <c r="AC63" i="2"/>
  <c r="O63" i="2"/>
  <c r="AG63" i="2"/>
  <c r="T63" i="2"/>
  <c r="G63" i="2"/>
  <c r="AF63" i="2"/>
  <c r="S63" i="2"/>
  <c r="F63" i="2"/>
  <c r="V63" i="2"/>
  <c r="V68" i="2"/>
  <c r="E31" i="2"/>
  <c r="U31" i="2"/>
  <c r="F37" i="2"/>
  <c r="W37" i="2"/>
  <c r="S38" i="2"/>
  <c r="U44" i="2"/>
  <c r="T53" i="2"/>
  <c r="Y54" i="2"/>
  <c r="M54" i="2"/>
  <c r="AA54" i="2"/>
  <c r="N54" i="2"/>
  <c r="AE54" i="2"/>
  <c r="R54" i="2"/>
  <c r="E54" i="2"/>
  <c r="AD54" i="2"/>
  <c r="Q54" i="2"/>
  <c r="U54" i="2"/>
  <c r="E55" i="2"/>
  <c r="V55" i="2"/>
  <c r="U57" i="2"/>
  <c r="AB59" i="2"/>
  <c r="P59" i="2"/>
  <c r="AE59" i="2"/>
  <c r="R59" i="2"/>
  <c r="E59" i="2"/>
  <c r="V59" i="2"/>
  <c r="I59" i="2"/>
  <c r="U59" i="2"/>
  <c r="H59" i="2"/>
  <c r="W59" i="2"/>
  <c r="U60" i="2"/>
  <c r="E61" i="2"/>
  <c r="X61" i="2"/>
  <c r="E62" i="2"/>
  <c r="U62" i="2"/>
  <c r="E63" i="2"/>
  <c r="W63" i="2"/>
  <c r="E68" i="2"/>
  <c r="Y68" i="2"/>
  <c r="P71" i="2"/>
  <c r="P73" i="2"/>
  <c r="AG73" i="2"/>
  <c r="P76" i="2"/>
  <c r="G94" i="2"/>
  <c r="H37" i="2"/>
  <c r="X37" i="2"/>
  <c r="E44" i="2"/>
  <c r="V44" i="2"/>
  <c r="AB51" i="2"/>
  <c r="P51" i="2"/>
  <c r="V51" i="2"/>
  <c r="I51" i="2"/>
  <c r="Z51" i="2"/>
  <c r="M51" i="2"/>
  <c r="Y51" i="2"/>
  <c r="L51" i="2"/>
  <c r="T51" i="2"/>
  <c r="AE52" i="2"/>
  <c r="S52" i="2"/>
  <c r="G52" i="2"/>
  <c r="AB52" i="2"/>
  <c r="O52" i="2"/>
  <c r="AG52" i="2"/>
  <c r="T52" i="2"/>
  <c r="F52" i="2"/>
  <c r="AF52" i="2"/>
  <c r="R52" i="2"/>
  <c r="E52" i="2"/>
  <c r="V52" i="2"/>
  <c r="E53" i="2"/>
  <c r="W53" i="2"/>
  <c r="F55" i="2"/>
  <c r="Y55" i="2"/>
  <c r="E57" i="2"/>
  <c r="Y57" i="2"/>
  <c r="E60" i="2"/>
  <c r="V60" i="2"/>
  <c r="F61" i="2"/>
  <c r="Y61" i="2"/>
  <c r="F62" i="2"/>
  <c r="W62" i="2"/>
  <c r="H63" i="2"/>
  <c r="X63" i="2"/>
  <c r="H68" i="2"/>
  <c r="Z68" i="2"/>
  <c r="R71" i="2"/>
  <c r="Q76" i="2"/>
  <c r="I94" i="2"/>
  <c r="AC95" i="2"/>
  <c r="Q95" i="2"/>
  <c r="E95" i="2"/>
  <c r="W95" i="2"/>
  <c r="J95" i="2"/>
  <c r="X95" i="2"/>
  <c r="K95" i="2"/>
  <c r="Y95" i="2"/>
  <c r="H95" i="2"/>
  <c r="U95" i="2"/>
  <c r="F95" i="2"/>
  <c r="AD95" i="2"/>
  <c r="N95" i="2"/>
  <c r="AB95" i="2"/>
  <c r="M95" i="2"/>
  <c r="Z95" i="2"/>
  <c r="I95" i="2"/>
  <c r="AF95" i="2"/>
  <c r="W105" i="2"/>
  <c r="K105" i="2"/>
  <c r="AE105" i="2"/>
  <c r="R105" i="2"/>
  <c r="E105" i="2"/>
  <c r="AF105" i="2"/>
  <c r="S105" i="2"/>
  <c r="F105" i="2"/>
  <c r="AA105" i="2"/>
  <c r="L105" i="2"/>
  <c r="J105" i="2"/>
  <c r="Z105" i="2"/>
  <c r="Y105" i="2"/>
  <c r="I105" i="2"/>
  <c r="AG105" i="2"/>
  <c r="P105" i="2"/>
  <c r="AD105" i="2"/>
  <c r="O105" i="2"/>
  <c r="AB105" i="2"/>
  <c r="M105" i="2"/>
  <c r="Y38" i="2"/>
  <c r="M38" i="2"/>
  <c r="V38" i="2"/>
  <c r="I38" i="2"/>
  <c r="Z38" i="2"/>
  <c r="L38" i="2"/>
  <c r="V11" i="2"/>
  <c r="J11" i="2"/>
  <c r="Y11" i="2"/>
  <c r="M11" i="2"/>
  <c r="E14" i="2"/>
  <c r="I20" i="2"/>
  <c r="Y22" i="2"/>
  <c r="M22" i="2"/>
  <c r="AE22" i="2"/>
  <c r="R22" i="2"/>
  <c r="E22" i="2"/>
  <c r="U22" i="2"/>
  <c r="H22" i="2"/>
  <c r="S22" i="2"/>
  <c r="R27" i="2"/>
  <c r="AG27" i="2"/>
  <c r="H31" i="2"/>
  <c r="X31" i="2"/>
  <c r="V33" i="2"/>
  <c r="J33" i="2"/>
  <c r="AF33" i="2"/>
  <c r="S33" i="2"/>
  <c r="F33" i="2"/>
  <c r="W33" i="2"/>
  <c r="I33" i="2"/>
  <c r="R33" i="2"/>
  <c r="P34" i="2"/>
  <c r="AE34" i="2"/>
  <c r="I37" i="2"/>
  <c r="Y37" i="2"/>
  <c r="F38" i="2"/>
  <c r="U38" i="2"/>
  <c r="AB39" i="2"/>
  <c r="P39" i="2"/>
  <c r="AC39" i="2"/>
  <c r="O39" i="2"/>
  <c r="AF39" i="2"/>
  <c r="S39" i="2"/>
  <c r="F39" i="2"/>
  <c r="T39" i="2"/>
  <c r="Q40" i="2"/>
  <c r="H44" i="2"/>
  <c r="X44" i="2"/>
  <c r="Q46" i="2"/>
  <c r="M48" i="2"/>
  <c r="AC48" i="2"/>
  <c r="L49" i="2"/>
  <c r="AD49" i="2"/>
  <c r="E51" i="2"/>
  <c r="U51" i="2"/>
  <c r="W52" i="2"/>
  <c r="F53" i="2"/>
  <c r="X53" i="2"/>
  <c r="G54" i="2"/>
  <c r="W54" i="2"/>
  <c r="H55" i="2"/>
  <c r="Z55" i="2"/>
  <c r="G57" i="2"/>
  <c r="Z57" i="2"/>
  <c r="G59" i="2"/>
  <c r="Y59" i="2"/>
  <c r="F60" i="2"/>
  <c r="W60" i="2"/>
  <c r="I61" i="2"/>
  <c r="Z61" i="2"/>
  <c r="G62" i="2"/>
  <c r="X62" i="2"/>
  <c r="I63" i="2"/>
  <c r="Y63" i="2"/>
  <c r="I68" i="2"/>
  <c r="AA68" i="2"/>
  <c r="T71" i="2"/>
  <c r="R73" i="2"/>
  <c r="R76" i="2"/>
  <c r="Z90" i="2"/>
  <c r="N90" i="2"/>
  <c r="AF90" i="2"/>
  <c r="S90" i="2"/>
  <c r="F90" i="2"/>
  <c r="U90" i="2"/>
  <c r="G90" i="2"/>
  <c r="Y90" i="2"/>
  <c r="K90" i="2"/>
  <c r="X90" i="2"/>
  <c r="J90" i="2"/>
  <c r="V90" i="2"/>
  <c r="H90" i="2"/>
  <c r="AA90" i="2"/>
  <c r="L94" i="2"/>
  <c r="AG95" i="2"/>
  <c r="Z106" i="2"/>
  <c r="N106" i="2"/>
  <c r="AG106" i="2"/>
  <c r="W106" i="2"/>
  <c r="J106" i="2"/>
  <c r="X106" i="2"/>
  <c r="K106" i="2"/>
  <c r="Y106" i="2"/>
  <c r="H106" i="2"/>
  <c r="V106" i="2"/>
  <c r="G106" i="2"/>
  <c r="U106" i="2"/>
  <c r="F106" i="2"/>
  <c r="AD106" i="2"/>
  <c r="O106" i="2"/>
  <c r="AC106" i="2"/>
  <c r="M106" i="2"/>
  <c r="AA106" i="2"/>
  <c r="I106" i="2"/>
  <c r="W109" i="2"/>
  <c r="K109" i="2"/>
  <c r="Z109" i="2"/>
  <c r="M109" i="2"/>
  <c r="X109" i="2"/>
  <c r="I109" i="2"/>
  <c r="Y109" i="2"/>
  <c r="J109" i="2"/>
  <c r="AB109" i="2"/>
  <c r="H109" i="2"/>
  <c r="G109" i="2"/>
  <c r="AA109" i="2"/>
  <c r="V109" i="2"/>
  <c r="F109" i="2"/>
  <c r="AF109" i="2"/>
  <c r="P109" i="2"/>
  <c r="AE109" i="2"/>
  <c r="O109" i="2"/>
  <c r="AC109" i="2"/>
  <c r="L109" i="2"/>
  <c r="AC111" i="2"/>
  <c r="Q111" i="2"/>
  <c r="E111" i="2"/>
  <c r="X111" i="2"/>
  <c r="K111" i="2"/>
  <c r="AB111" i="2"/>
  <c r="N111" i="2"/>
  <c r="AD111" i="2"/>
  <c r="O111" i="2"/>
  <c r="Z111" i="2"/>
  <c r="I111" i="2"/>
  <c r="H111" i="2"/>
  <c r="Y111" i="2"/>
  <c r="W111" i="2"/>
  <c r="G111" i="2"/>
  <c r="AG111" i="2"/>
  <c r="P111" i="2"/>
  <c r="AF111" i="2"/>
  <c r="M111" i="2"/>
  <c r="AA111" i="2"/>
  <c r="J111" i="2"/>
  <c r="AF112" i="2"/>
  <c r="T112" i="2"/>
  <c r="H112" i="2"/>
  <c r="AD112" i="2"/>
  <c r="Q112" i="2"/>
  <c r="X112" i="2"/>
  <c r="J112" i="2"/>
  <c r="Y112" i="2"/>
  <c r="K112" i="2"/>
  <c r="AB112" i="2"/>
  <c r="L112" i="2"/>
  <c r="I112" i="2"/>
  <c r="AA112" i="2"/>
  <c r="Z112" i="2"/>
  <c r="G112" i="2"/>
  <c r="P112" i="2"/>
  <c r="AG112" i="2"/>
  <c r="O112" i="2"/>
  <c r="AC112" i="2"/>
  <c r="M112" i="2"/>
  <c r="W113" i="2"/>
  <c r="K113" i="2"/>
  <c r="X113" i="2"/>
  <c r="J113" i="2"/>
  <c r="AG113" i="2"/>
  <c r="S113" i="2"/>
  <c r="E113" i="2"/>
  <c r="T113" i="2"/>
  <c r="F113" i="2"/>
  <c r="AC113" i="2"/>
  <c r="M113" i="2"/>
  <c r="AB113" i="2"/>
  <c r="L113" i="2"/>
  <c r="AA113" i="2"/>
  <c r="I113" i="2"/>
  <c r="Q113" i="2"/>
  <c r="AF113" i="2"/>
  <c r="P113" i="2"/>
  <c r="AD113" i="2"/>
  <c r="N113" i="2"/>
  <c r="R11" i="2"/>
  <c r="T11" i="2"/>
  <c r="K37" i="2"/>
  <c r="Z37" i="2"/>
  <c r="G38" i="2"/>
  <c r="W38" i="2"/>
  <c r="AE40" i="2"/>
  <c r="S40" i="2"/>
  <c r="G40" i="2"/>
  <c r="V40" i="2"/>
  <c r="I40" i="2"/>
  <c r="Y40" i="2"/>
  <c r="L40" i="2"/>
  <c r="R40" i="2"/>
  <c r="I44" i="2"/>
  <c r="Y44" i="2"/>
  <c r="Y46" i="2"/>
  <c r="M46" i="2"/>
  <c r="AE46" i="2"/>
  <c r="R46" i="2"/>
  <c r="E46" i="2"/>
  <c r="U46" i="2"/>
  <c r="H46" i="2"/>
  <c r="S46" i="2"/>
  <c r="F51" i="2"/>
  <c r="W51" i="2"/>
  <c r="H52" i="2"/>
  <c r="X52" i="2"/>
  <c r="G53" i="2"/>
  <c r="AA53" i="2"/>
  <c r="H54" i="2"/>
  <c r="X54" i="2"/>
  <c r="I55" i="2"/>
  <c r="AA55" i="2"/>
  <c r="H57" i="2"/>
  <c r="AA57" i="2"/>
  <c r="J59" i="2"/>
  <c r="Z59" i="2"/>
  <c r="H60" i="2"/>
  <c r="Y60" i="2"/>
  <c r="K61" i="2"/>
  <c r="AA61" i="2"/>
  <c r="H62" i="2"/>
  <c r="AB62" i="2"/>
  <c r="J63" i="2"/>
  <c r="Z63" i="2"/>
  <c r="L68" i="2"/>
  <c r="AB68" i="2"/>
  <c r="P94" i="2"/>
  <c r="G95" i="2"/>
  <c r="G105" i="2"/>
  <c r="AF108" i="2"/>
  <c r="T108" i="2"/>
  <c r="H108" i="2"/>
  <c r="AG108" i="2"/>
  <c r="S108" i="2"/>
  <c r="F108" i="2"/>
  <c r="AB108" i="2"/>
  <c r="N108" i="2"/>
  <c r="AC108" i="2"/>
  <c r="O108" i="2"/>
  <c r="Y108" i="2"/>
  <c r="I108" i="2"/>
  <c r="X108" i="2"/>
  <c r="G108" i="2"/>
  <c r="W108" i="2"/>
  <c r="E108" i="2"/>
  <c r="AE108" i="2"/>
  <c r="M108" i="2"/>
  <c r="AD108" i="2"/>
  <c r="L108" i="2"/>
  <c r="Z108" i="2"/>
  <c r="J108" i="2"/>
  <c r="Z110" i="2"/>
  <c r="N110" i="2"/>
  <c r="AE110" i="2"/>
  <c r="R110" i="2"/>
  <c r="E110" i="2"/>
  <c r="AG110" i="2"/>
  <c r="S110" i="2"/>
  <c r="T110" i="2"/>
  <c r="F110" i="2"/>
  <c r="AA110" i="2"/>
  <c r="J110" i="2"/>
  <c r="I110" i="2"/>
  <c r="Y110" i="2"/>
  <c r="X110" i="2"/>
  <c r="H110" i="2"/>
  <c r="AF110" i="2"/>
  <c r="O110" i="2"/>
  <c r="AD110" i="2"/>
  <c r="M110" i="2"/>
  <c r="AB110" i="2"/>
  <c r="K110" i="2"/>
  <c r="V20" i="2"/>
  <c r="S11" i="2"/>
  <c r="Y20" i="2"/>
  <c r="T46" i="2"/>
  <c r="AA59" i="2"/>
  <c r="I60" i="2"/>
  <c r="Z60" i="2"/>
  <c r="L61" i="2"/>
  <c r="AB61" i="2"/>
  <c r="J62" i="2"/>
  <c r="AC62" i="2"/>
  <c r="K63" i="2"/>
  <c r="AA63" i="2"/>
  <c r="M68" i="2"/>
  <c r="AC68" i="2"/>
  <c r="AC71" i="2"/>
  <c r="Q71" i="2"/>
  <c r="E71" i="2"/>
  <c r="W71" i="2"/>
  <c r="J71" i="2"/>
  <c r="AG71" i="2"/>
  <c r="S71" i="2"/>
  <c r="X71" i="2"/>
  <c r="I71" i="2"/>
  <c r="V71" i="2"/>
  <c r="H71" i="2"/>
  <c r="Y71" i="2"/>
  <c r="W73" i="2"/>
  <c r="K73" i="2"/>
  <c r="V73" i="2"/>
  <c r="I73" i="2"/>
  <c r="X73" i="2"/>
  <c r="H73" i="2"/>
  <c r="AB73" i="2"/>
  <c r="N73" i="2"/>
  <c r="AA73" i="2"/>
  <c r="M73" i="2"/>
  <c r="T73" i="2"/>
  <c r="AF76" i="2"/>
  <c r="T76" i="2"/>
  <c r="H76" i="2"/>
  <c r="AA76" i="2"/>
  <c r="N76" i="2"/>
  <c r="U76" i="2"/>
  <c r="F76" i="2"/>
  <c r="Y76" i="2"/>
  <c r="K76" i="2"/>
  <c r="X76" i="2"/>
  <c r="J76" i="2"/>
  <c r="V76" i="2"/>
  <c r="W76" i="2"/>
  <c r="AC107" i="2"/>
  <c r="Q107" i="2"/>
  <c r="E107" i="2"/>
  <c r="Z107" i="2"/>
  <c r="M107" i="2"/>
  <c r="AG107" i="2"/>
  <c r="S107" i="2"/>
  <c r="T107" i="2"/>
  <c r="F107" i="2"/>
  <c r="Y107" i="2"/>
  <c r="I107" i="2"/>
  <c r="X107" i="2"/>
  <c r="H107" i="2"/>
  <c r="W107" i="2"/>
  <c r="G107" i="2"/>
  <c r="AE107" i="2"/>
  <c r="N107" i="2"/>
  <c r="AD107" i="2"/>
  <c r="L107" i="2"/>
  <c r="AA107" i="2"/>
  <c r="J107" i="2"/>
  <c r="S37" i="2"/>
  <c r="E37" i="2"/>
  <c r="AG38" i="2"/>
  <c r="E20" i="2"/>
  <c r="Y8" i="2"/>
  <c r="M8" i="2"/>
  <c r="AB8" i="2"/>
  <c r="P8" i="2"/>
  <c r="AF8" i="2"/>
  <c r="U15" i="2"/>
  <c r="AA14" i="2"/>
  <c r="H15" i="2"/>
  <c r="W15" i="2"/>
  <c r="U16" i="2"/>
  <c r="S17" i="2"/>
  <c r="AB23" i="2"/>
  <c r="P23" i="2"/>
  <c r="X23" i="2"/>
  <c r="K23" i="2"/>
  <c r="AA23" i="2"/>
  <c r="N23" i="2"/>
  <c r="S23" i="2"/>
  <c r="L37" i="2"/>
  <c r="AA37" i="2"/>
  <c r="H38" i="2"/>
  <c r="X38" i="2"/>
  <c r="T40" i="2"/>
  <c r="K44" i="2"/>
  <c r="Z44" i="2"/>
  <c r="G51" i="2"/>
  <c r="X51" i="2"/>
  <c r="I52" i="2"/>
  <c r="Y52" i="2"/>
  <c r="I53" i="2"/>
  <c r="AB53" i="2"/>
  <c r="I54" i="2"/>
  <c r="Z54" i="2"/>
  <c r="L55" i="2"/>
  <c r="AC55" i="2"/>
  <c r="L57" i="2"/>
  <c r="AB57" i="2"/>
  <c r="H8" i="2"/>
  <c r="V8" i="2"/>
  <c r="AB9" i="2"/>
  <c r="P9" i="2"/>
  <c r="AE9" i="2"/>
  <c r="S9" i="2"/>
  <c r="G9" i="2"/>
  <c r="R9" i="2"/>
  <c r="AG9" i="2"/>
  <c r="H11" i="2"/>
  <c r="W11" i="2"/>
  <c r="Y12" i="2"/>
  <c r="M12" i="2"/>
  <c r="AB12" i="2"/>
  <c r="P12" i="2"/>
  <c r="R12" i="2"/>
  <c r="AF12" i="2"/>
  <c r="K14" i="2"/>
  <c r="AB14" i="2"/>
  <c r="I15" i="2"/>
  <c r="X15" i="2"/>
  <c r="F16" i="2"/>
  <c r="W16" i="2"/>
  <c r="T17" i="2"/>
  <c r="Q18" i="2"/>
  <c r="AF18" i="2"/>
  <c r="M20" i="2"/>
  <c r="AB20" i="2"/>
  <c r="G22" i="2"/>
  <c r="W22" i="2"/>
  <c r="E23" i="2"/>
  <c r="T23" i="2"/>
  <c r="R24" i="2"/>
  <c r="P25" i="2"/>
  <c r="AE25" i="2"/>
  <c r="F27" i="2"/>
  <c r="U27" i="2"/>
  <c r="AE28" i="2"/>
  <c r="S28" i="2"/>
  <c r="G28" i="2"/>
  <c r="AB28" i="2"/>
  <c r="O28" i="2"/>
  <c r="AF28" i="2"/>
  <c r="R28" i="2"/>
  <c r="E28" i="2"/>
  <c r="T28" i="2"/>
  <c r="Q29" i="2"/>
  <c r="AF29" i="2"/>
  <c r="L31" i="2"/>
  <c r="AA31" i="2"/>
  <c r="G33" i="2"/>
  <c r="X33" i="2"/>
  <c r="S34" i="2"/>
  <c r="Q35" i="2"/>
  <c r="AG35" i="2"/>
  <c r="O36" i="2"/>
  <c r="AD36" i="2"/>
  <c r="M37" i="2"/>
  <c r="AB37" i="2"/>
  <c r="J38" i="2"/>
  <c r="AA38" i="2"/>
  <c r="H39" i="2"/>
  <c r="W39" i="2"/>
  <c r="E40" i="2"/>
  <c r="U40" i="2"/>
  <c r="V41" i="2"/>
  <c r="J41" i="2"/>
  <c r="AB41" i="2"/>
  <c r="O41" i="2"/>
  <c r="AE41" i="2"/>
  <c r="R41" i="2"/>
  <c r="E41" i="2"/>
  <c r="S41" i="2"/>
  <c r="P42" i="2"/>
  <c r="AE42" i="2"/>
  <c r="L44" i="2"/>
  <c r="AA44" i="2"/>
  <c r="F46" i="2"/>
  <c r="V46" i="2"/>
  <c r="AB47" i="2"/>
  <c r="P47" i="2"/>
  <c r="X47" i="2"/>
  <c r="K47" i="2"/>
  <c r="AA47" i="2"/>
  <c r="N47" i="2"/>
  <c r="S47" i="2"/>
  <c r="P48" i="2"/>
  <c r="Q49" i="2"/>
  <c r="AG49" i="2"/>
  <c r="H51" i="2"/>
  <c r="AA51" i="2"/>
  <c r="J52" i="2"/>
  <c r="Z52" i="2"/>
  <c r="K53" i="2"/>
  <c r="AC53" i="2"/>
  <c r="J54" i="2"/>
  <c r="AB54" i="2"/>
  <c r="M55" i="2"/>
  <c r="AD55" i="2"/>
  <c r="M57" i="2"/>
  <c r="AC57" i="2"/>
  <c r="L59" i="2"/>
  <c r="AC59" i="2"/>
  <c r="J60" i="2"/>
  <c r="AC60" i="2"/>
  <c r="M61" i="2"/>
  <c r="AC61" i="2"/>
  <c r="K62" i="2"/>
  <c r="AD62" i="2"/>
  <c r="L63" i="2"/>
  <c r="AD63" i="2"/>
  <c r="P66" i="2"/>
  <c r="AF66" i="2"/>
  <c r="N68" i="2"/>
  <c r="AD68" i="2"/>
  <c r="T70" i="2"/>
  <c r="F71" i="2"/>
  <c r="Z71" i="2"/>
  <c r="U73" i="2"/>
  <c r="T75" i="2"/>
  <c r="Z76" i="2"/>
  <c r="Z79" i="2"/>
  <c r="Z82" i="2"/>
  <c r="N82" i="2"/>
  <c r="W82" i="2"/>
  <c r="J82" i="2"/>
  <c r="T82" i="2"/>
  <c r="F82" i="2"/>
  <c r="Y82" i="2"/>
  <c r="K82" i="2"/>
  <c r="X82" i="2"/>
  <c r="I82" i="2"/>
  <c r="U82" i="2"/>
  <c r="G82" i="2"/>
  <c r="AA82" i="2"/>
  <c r="AF84" i="2"/>
  <c r="T84" i="2"/>
  <c r="H84" i="2"/>
  <c r="W84" i="2"/>
  <c r="J84" i="2"/>
  <c r="Y84" i="2"/>
  <c r="K84" i="2"/>
  <c r="AC84" i="2"/>
  <c r="O84" i="2"/>
  <c r="AB84" i="2"/>
  <c r="N84" i="2"/>
  <c r="Z84" i="2"/>
  <c r="L84" i="2"/>
  <c r="V84" i="2"/>
  <c r="U87" i="2"/>
  <c r="I90" i="2"/>
  <c r="AD90" i="2"/>
  <c r="T94" i="2"/>
  <c r="O95" i="2"/>
  <c r="AG99" i="2"/>
  <c r="AD100" i="2"/>
  <c r="N105" i="2"/>
  <c r="L106" i="2"/>
  <c r="K107" i="2"/>
  <c r="K108" i="2"/>
  <c r="N109" i="2"/>
  <c r="L110" i="2"/>
  <c r="L111" i="2"/>
  <c r="N112" i="2"/>
  <c r="H113" i="2"/>
  <c r="W77" i="2"/>
  <c r="K77" i="2"/>
  <c r="AG77" i="2"/>
  <c r="T77" i="2"/>
  <c r="G77" i="2"/>
  <c r="Q77" i="2"/>
  <c r="AE77" i="2"/>
  <c r="AF80" i="2"/>
  <c r="T80" i="2"/>
  <c r="H80" i="2"/>
  <c r="Y80" i="2"/>
  <c r="L80" i="2"/>
  <c r="Q80" i="2"/>
  <c r="AE80" i="2"/>
  <c r="AC91" i="2"/>
  <c r="Q91" i="2"/>
  <c r="E91" i="2"/>
  <c r="Y91" i="2"/>
  <c r="L91" i="2"/>
  <c r="Z91" i="2"/>
  <c r="R91" i="2"/>
  <c r="AG91" i="2"/>
  <c r="W97" i="2"/>
  <c r="K97" i="2"/>
  <c r="V97" i="2"/>
  <c r="I97" i="2"/>
  <c r="X97" i="2"/>
  <c r="J97" i="2"/>
  <c r="R97" i="2"/>
  <c r="AG97" i="2"/>
  <c r="E101" i="2"/>
  <c r="V101" i="2"/>
  <c r="Z102" i="2"/>
  <c r="N102" i="2"/>
  <c r="Y102" i="2"/>
  <c r="L102" i="2"/>
  <c r="AA102" i="2"/>
  <c r="M102" i="2"/>
  <c r="R102" i="2"/>
  <c r="AG102" i="2"/>
  <c r="F115" i="2"/>
  <c r="Y115" i="2"/>
  <c r="Z118" i="2"/>
  <c r="N118" i="2"/>
  <c r="AA118" i="2"/>
  <c r="M118" i="2"/>
  <c r="T118" i="2"/>
  <c r="F118" i="2"/>
  <c r="U118" i="2"/>
  <c r="G118" i="2"/>
  <c r="S118" i="2"/>
  <c r="AF120" i="2"/>
  <c r="T120" i="2"/>
  <c r="H120" i="2"/>
  <c r="Z120" i="2"/>
  <c r="M120" i="2"/>
  <c r="Y120" i="2"/>
  <c r="K120" i="2"/>
  <c r="AA120" i="2"/>
  <c r="L120" i="2"/>
  <c r="S120" i="2"/>
  <c r="W121" i="2"/>
  <c r="K121" i="2"/>
  <c r="AF121" i="2"/>
  <c r="S121" i="2"/>
  <c r="F121" i="2"/>
  <c r="U121" i="2"/>
  <c r="G121" i="2"/>
  <c r="V121" i="2"/>
  <c r="H121" i="2"/>
  <c r="T121" i="2"/>
  <c r="AF124" i="2"/>
  <c r="T124" i="2"/>
  <c r="H124" i="2"/>
  <c r="X124" i="2"/>
  <c r="K124" i="2"/>
  <c r="U124" i="2"/>
  <c r="F124" i="2"/>
  <c r="V124" i="2"/>
  <c r="G124" i="2"/>
  <c r="S124" i="2"/>
  <c r="Z126" i="2"/>
  <c r="N126" i="2"/>
  <c r="V126" i="2"/>
  <c r="I126" i="2"/>
  <c r="Y126" i="2"/>
  <c r="K126" i="2"/>
  <c r="AA126" i="2"/>
  <c r="L126" i="2"/>
  <c r="S126" i="2"/>
  <c r="W133" i="2"/>
  <c r="K133" i="2"/>
  <c r="Z133" i="2"/>
  <c r="M133" i="2"/>
  <c r="AG133" i="2"/>
  <c r="S133" i="2"/>
  <c r="E133" i="2"/>
  <c r="T133" i="2"/>
  <c r="F133" i="2"/>
  <c r="U133" i="2"/>
  <c r="Z134" i="2"/>
  <c r="N134" i="2"/>
  <c r="AE134" i="2"/>
  <c r="R134" i="2"/>
  <c r="E134" i="2"/>
  <c r="AB134" i="2"/>
  <c r="M134" i="2"/>
  <c r="AC134" i="2"/>
  <c r="O134" i="2"/>
  <c r="T134" i="2"/>
  <c r="AC135" i="2"/>
  <c r="Q135" i="2"/>
  <c r="E135" i="2"/>
  <c r="X135" i="2"/>
  <c r="K135" i="2"/>
  <c r="W135" i="2"/>
  <c r="I135" i="2"/>
  <c r="Y135" i="2"/>
  <c r="J135" i="2"/>
  <c r="T135" i="2"/>
  <c r="AF136" i="2"/>
  <c r="T136" i="2"/>
  <c r="H136" i="2"/>
  <c r="AE136" i="2"/>
  <c r="R136" i="2"/>
  <c r="E136" i="2"/>
  <c r="AD136" i="2"/>
  <c r="Q136" i="2"/>
  <c r="V136" i="2"/>
  <c r="F136" i="2"/>
  <c r="W136" i="2"/>
  <c r="G136" i="2"/>
  <c r="Y136" i="2"/>
  <c r="I137" i="2"/>
  <c r="AC137" i="2"/>
  <c r="J144" i="2"/>
  <c r="AE144" i="2"/>
  <c r="P145" i="2"/>
  <c r="AC147" i="2"/>
  <c r="Q147" i="2"/>
  <c r="E147" i="2"/>
  <c r="AF147" i="2"/>
  <c r="S147" i="2"/>
  <c r="F147" i="2"/>
  <c r="AE147" i="2"/>
  <c r="R147" i="2"/>
  <c r="V147" i="2"/>
  <c r="G147" i="2"/>
  <c r="W147" i="2"/>
  <c r="H147" i="2"/>
  <c r="Y147" i="2"/>
  <c r="J148" i="2"/>
  <c r="AC148" i="2"/>
  <c r="M150" i="2"/>
  <c r="S152" i="2"/>
  <c r="R156" i="2"/>
  <c r="Q157" i="2"/>
  <c r="H158" i="2"/>
  <c r="AC159" i="2"/>
  <c r="Q159" i="2"/>
  <c r="E159" i="2"/>
  <c r="AF159" i="2"/>
  <c r="S159" i="2"/>
  <c r="F159" i="2"/>
  <c r="X159" i="2"/>
  <c r="J159" i="2"/>
  <c r="AB159" i="2"/>
  <c r="N159" i="2"/>
  <c r="AA159" i="2"/>
  <c r="M159" i="2"/>
  <c r="Y159" i="2"/>
  <c r="K159" i="2"/>
  <c r="AD159" i="2"/>
  <c r="G159" i="2"/>
  <c r="O159" i="2"/>
  <c r="AG159" i="2"/>
  <c r="I159" i="2"/>
  <c r="AE159" i="2"/>
  <c r="H159" i="2"/>
  <c r="AF160" i="2"/>
  <c r="T160" i="2"/>
  <c r="H160" i="2"/>
  <c r="Y160" i="2"/>
  <c r="L160" i="2"/>
  <c r="S160" i="2"/>
  <c r="E160" i="2"/>
  <c r="X160" i="2"/>
  <c r="J160" i="2"/>
  <c r="W160" i="2"/>
  <c r="I160" i="2"/>
  <c r="U160" i="2"/>
  <c r="F160" i="2"/>
  <c r="P160" i="2"/>
  <c r="Z160" i="2"/>
  <c r="R160" i="2"/>
  <c r="Q160" i="2"/>
  <c r="AE160" i="2"/>
  <c r="P162" i="2"/>
  <c r="AC119" i="2"/>
  <c r="Q119" i="2"/>
  <c r="E119" i="2"/>
  <c r="AG119" i="2"/>
  <c r="T119" i="2"/>
  <c r="G119" i="2"/>
  <c r="AD119" i="2"/>
  <c r="O119" i="2"/>
  <c r="AE119" i="2"/>
  <c r="P119" i="2"/>
  <c r="U119" i="2"/>
  <c r="AC123" i="2"/>
  <c r="Q123" i="2"/>
  <c r="E123" i="2"/>
  <c r="AE123" i="2"/>
  <c r="R123" i="2"/>
  <c r="Y123" i="2"/>
  <c r="K123" i="2"/>
  <c r="Z123" i="2"/>
  <c r="L123" i="2"/>
  <c r="U123" i="2"/>
  <c r="AC127" i="2"/>
  <c r="Q127" i="2"/>
  <c r="E127" i="2"/>
  <c r="AB127" i="2"/>
  <c r="O127" i="2"/>
  <c r="T127" i="2"/>
  <c r="F127" i="2"/>
  <c r="U127" i="2"/>
  <c r="G127" i="2"/>
  <c r="V127" i="2"/>
  <c r="AF128" i="2"/>
  <c r="T128" i="2"/>
  <c r="H128" i="2"/>
  <c r="V128" i="2"/>
  <c r="I128" i="2"/>
  <c r="AC128" i="2"/>
  <c r="O128" i="2"/>
  <c r="AD128" i="2"/>
  <c r="P128" i="2"/>
  <c r="S128" i="2"/>
  <c r="W129" i="2"/>
  <c r="K129" i="2"/>
  <c r="AB129" i="2"/>
  <c r="O129" i="2"/>
  <c r="X129" i="2"/>
  <c r="I129" i="2"/>
  <c r="Y129" i="2"/>
  <c r="J129" i="2"/>
  <c r="S129" i="2"/>
  <c r="AC131" i="2"/>
  <c r="Q131" i="2"/>
  <c r="E131" i="2"/>
  <c r="Z131" i="2"/>
  <c r="M131" i="2"/>
  <c r="AB131" i="2"/>
  <c r="N131" i="2"/>
  <c r="AD131" i="2"/>
  <c r="O131" i="2"/>
  <c r="T131" i="2"/>
  <c r="AF132" i="2"/>
  <c r="T132" i="2"/>
  <c r="H132" i="2"/>
  <c r="AG132" i="2"/>
  <c r="S132" i="2"/>
  <c r="F132" i="2"/>
  <c r="X132" i="2"/>
  <c r="J132" i="2"/>
  <c r="Y132" i="2"/>
  <c r="K132" i="2"/>
  <c r="U132" i="2"/>
  <c r="M137" i="2"/>
  <c r="AD137" i="2"/>
  <c r="O144" i="2"/>
  <c r="AG144" i="2"/>
  <c r="Q145" i="2"/>
  <c r="Z146" i="2"/>
  <c r="N146" i="2"/>
  <c r="Y146" i="2"/>
  <c r="L146" i="2"/>
  <c r="X146" i="2"/>
  <c r="K146" i="2"/>
  <c r="V146" i="2"/>
  <c r="G146" i="2"/>
  <c r="W146" i="2"/>
  <c r="H146" i="2"/>
  <c r="T146" i="2"/>
  <c r="M148" i="2"/>
  <c r="AD148" i="2"/>
  <c r="O150" i="2"/>
  <c r="U152" i="2"/>
  <c r="S156" i="2"/>
  <c r="V157" i="2"/>
  <c r="I158" i="2"/>
  <c r="AB19" i="2"/>
  <c r="P19" i="2"/>
  <c r="Q19" i="2"/>
  <c r="AD19" i="2"/>
  <c r="V21" i="2"/>
  <c r="J21" i="2"/>
  <c r="P21" i="2"/>
  <c r="AC21" i="2"/>
  <c r="AE32" i="2"/>
  <c r="S32" i="2"/>
  <c r="G32" i="2"/>
  <c r="P32" i="2"/>
  <c r="AC32" i="2"/>
  <c r="AB43" i="2"/>
  <c r="P43" i="2"/>
  <c r="Q43" i="2"/>
  <c r="AD43" i="2"/>
  <c r="V45" i="2"/>
  <c r="J45" i="2"/>
  <c r="P45" i="2"/>
  <c r="AC45" i="2"/>
  <c r="AE56" i="2"/>
  <c r="S56" i="2"/>
  <c r="G56" i="2"/>
  <c r="P56" i="2"/>
  <c r="AC56" i="2"/>
  <c r="O58" i="2"/>
  <c r="AB67" i="2"/>
  <c r="P67" i="2"/>
  <c r="Q67" i="2"/>
  <c r="AD67" i="2"/>
  <c r="E77" i="2"/>
  <c r="S77" i="2"/>
  <c r="E80" i="2"/>
  <c r="S80" i="2"/>
  <c r="Z86" i="2"/>
  <c r="N86" i="2"/>
  <c r="U86" i="2"/>
  <c r="H86" i="2"/>
  <c r="Q86" i="2"/>
  <c r="AE86" i="2"/>
  <c r="P89" i="2"/>
  <c r="F91" i="2"/>
  <c r="T91" i="2"/>
  <c r="Q93" i="2"/>
  <c r="E97" i="2"/>
  <c r="T97" i="2"/>
  <c r="I101" i="2"/>
  <c r="Y101" i="2"/>
  <c r="E102" i="2"/>
  <c r="T102" i="2"/>
  <c r="Q104" i="2"/>
  <c r="K115" i="2"/>
  <c r="AA115" i="2"/>
  <c r="E118" i="2"/>
  <c r="W118" i="2"/>
  <c r="V119" i="2"/>
  <c r="E120" i="2"/>
  <c r="V120" i="2"/>
  <c r="E121" i="2"/>
  <c r="Y121" i="2"/>
  <c r="F123" i="2"/>
  <c r="V123" i="2"/>
  <c r="E124" i="2"/>
  <c r="Y124" i="2"/>
  <c r="E126" i="2"/>
  <c r="U126" i="2"/>
  <c r="W127" i="2"/>
  <c r="U128" i="2"/>
  <c r="T129" i="2"/>
  <c r="Z130" i="2"/>
  <c r="N130" i="2"/>
  <c r="AG130" i="2"/>
  <c r="T130" i="2"/>
  <c r="G130" i="2"/>
  <c r="AF130" i="2"/>
  <c r="R130" i="2"/>
  <c r="S130" i="2"/>
  <c r="E130" i="2"/>
  <c r="V130" i="2"/>
  <c r="U131" i="2"/>
  <c r="V132" i="2"/>
  <c r="G133" i="2"/>
  <c r="X133" i="2"/>
  <c r="F134" i="2"/>
  <c r="V134" i="2"/>
  <c r="F135" i="2"/>
  <c r="V135" i="2"/>
  <c r="J136" i="2"/>
  <c r="AA136" i="2"/>
  <c r="N137" i="2"/>
  <c r="AE137" i="2"/>
  <c r="K143" i="2"/>
  <c r="AB143" i="2"/>
  <c r="P144" i="2"/>
  <c r="R145" i="2"/>
  <c r="U146" i="2"/>
  <c r="J147" i="2"/>
  <c r="AA147" i="2"/>
  <c r="N148" i="2"/>
  <c r="AE148" i="2"/>
  <c r="R150" i="2"/>
  <c r="X152" i="2"/>
  <c r="U156" i="2"/>
  <c r="Z157" i="2"/>
  <c r="J158" i="2"/>
  <c r="L159" i="2"/>
  <c r="G160" i="2"/>
  <c r="S162" i="2"/>
  <c r="Y58" i="2"/>
  <c r="M58" i="2"/>
  <c r="P58" i="2"/>
  <c r="AC58" i="2"/>
  <c r="F77" i="2"/>
  <c r="U77" i="2"/>
  <c r="F80" i="2"/>
  <c r="U80" i="2"/>
  <c r="W89" i="2"/>
  <c r="K89" i="2"/>
  <c r="AA89" i="2"/>
  <c r="N89" i="2"/>
  <c r="Q89" i="2"/>
  <c r="AE89" i="2"/>
  <c r="G91" i="2"/>
  <c r="U91" i="2"/>
  <c r="AF92" i="2"/>
  <c r="T92" i="2"/>
  <c r="H92" i="2"/>
  <c r="AE92" i="2"/>
  <c r="R92" i="2"/>
  <c r="E92" i="2"/>
  <c r="AG92" i="2"/>
  <c r="S92" i="2"/>
  <c r="F92" i="2"/>
  <c r="U92" i="2"/>
  <c r="W93" i="2"/>
  <c r="K93" i="2"/>
  <c r="Y93" i="2"/>
  <c r="L93" i="2"/>
  <c r="Z93" i="2"/>
  <c r="M93" i="2"/>
  <c r="R93" i="2"/>
  <c r="AG93" i="2"/>
  <c r="F97" i="2"/>
  <c r="U97" i="2"/>
  <c r="J101" i="2"/>
  <c r="Z101" i="2"/>
  <c r="F102" i="2"/>
  <c r="U102" i="2"/>
  <c r="AC103" i="2"/>
  <c r="Q103" i="2"/>
  <c r="E103" i="2"/>
  <c r="AF103" i="2"/>
  <c r="S103" i="2"/>
  <c r="F103" i="2"/>
  <c r="AG103" i="2"/>
  <c r="T103" i="2"/>
  <c r="G103" i="2"/>
  <c r="U103" i="2"/>
  <c r="AF104" i="2"/>
  <c r="T104" i="2"/>
  <c r="H104" i="2"/>
  <c r="Y104" i="2"/>
  <c r="L104" i="2"/>
  <c r="Z104" i="2"/>
  <c r="M104" i="2"/>
  <c r="R104" i="2"/>
  <c r="L115" i="2"/>
  <c r="AB115" i="2"/>
  <c r="H118" i="2"/>
  <c r="X118" i="2"/>
  <c r="F119" i="2"/>
  <c r="W119" i="2"/>
  <c r="F120" i="2"/>
  <c r="W120" i="2"/>
  <c r="I121" i="2"/>
  <c r="Z121" i="2"/>
  <c r="G123" i="2"/>
  <c r="W123" i="2"/>
  <c r="I124" i="2"/>
  <c r="Z124" i="2"/>
  <c r="F126" i="2"/>
  <c r="W126" i="2"/>
  <c r="H127" i="2"/>
  <c r="X127" i="2"/>
  <c r="E128" i="2"/>
  <c r="W128" i="2"/>
  <c r="E129" i="2"/>
  <c r="U129" i="2"/>
  <c r="F131" i="2"/>
  <c r="V131" i="2"/>
  <c r="E132" i="2"/>
  <c r="W132" i="2"/>
  <c r="H133" i="2"/>
  <c r="Y133" i="2"/>
  <c r="G134" i="2"/>
  <c r="W134" i="2"/>
  <c r="G135" i="2"/>
  <c r="Z135" i="2"/>
  <c r="K136" i="2"/>
  <c r="AB136" i="2"/>
  <c r="O137" i="2"/>
  <c r="AF137" i="2"/>
  <c r="L143" i="2"/>
  <c r="Q144" i="2"/>
  <c r="E146" i="2"/>
  <c r="AA146" i="2"/>
  <c r="K147" i="2"/>
  <c r="AB147" i="2"/>
  <c r="O148" i="2"/>
  <c r="AG148" i="2"/>
  <c r="S150" i="2"/>
  <c r="V156" i="2"/>
  <c r="AA157" i="2"/>
  <c r="K158" i="2"/>
  <c r="P159" i="2"/>
  <c r="K160" i="2"/>
  <c r="P137" i="2"/>
  <c r="AG137" i="2"/>
  <c r="R144" i="2"/>
  <c r="W145" i="2"/>
  <c r="K145" i="2"/>
  <c r="AG145" i="2"/>
  <c r="T145" i="2"/>
  <c r="G145" i="2"/>
  <c r="AF145" i="2"/>
  <c r="S145" i="2"/>
  <c r="F145" i="2"/>
  <c r="Z145" i="2"/>
  <c r="J145" i="2"/>
  <c r="AA145" i="2"/>
  <c r="L145" i="2"/>
  <c r="V145" i="2"/>
  <c r="P148" i="2"/>
  <c r="AF152" i="2"/>
  <c r="T152" i="2"/>
  <c r="H152" i="2"/>
  <c r="AE152" i="2"/>
  <c r="R152" i="2"/>
  <c r="E152" i="2"/>
  <c r="W152" i="2"/>
  <c r="J152" i="2"/>
  <c r="V152" i="2"/>
  <c r="I152" i="2"/>
  <c r="AB152" i="2"/>
  <c r="L152" i="2"/>
  <c r="P152" i="2"/>
  <c r="AC152" i="2"/>
  <c r="M152" i="2"/>
  <c r="Z152" i="2"/>
  <c r="AB157" i="2"/>
  <c r="M158" i="2"/>
  <c r="Z150" i="2"/>
  <c r="N150" i="2"/>
  <c r="W150" i="2"/>
  <c r="J150" i="2"/>
  <c r="V150" i="2"/>
  <c r="I150" i="2"/>
  <c r="AE150" i="2"/>
  <c r="P150" i="2"/>
  <c r="T150" i="2"/>
  <c r="E150" i="2"/>
  <c r="AF150" i="2"/>
  <c r="Q150" i="2"/>
  <c r="X150" i="2"/>
  <c r="AF144" i="2"/>
  <c r="T144" i="2"/>
  <c r="H144" i="2"/>
  <c r="AA144" i="2"/>
  <c r="N144" i="2"/>
  <c r="Z144" i="2"/>
  <c r="M144" i="2"/>
  <c r="AB144" i="2"/>
  <c r="K144" i="2"/>
  <c r="AC144" i="2"/>
  <c r="L144" i="2"/>
  <c r="U144" i="2"/>
  <c r="AB171" i="2"/>
  <c r="P171" i="2"/>
  <c r="U171" i="2"/>
  <c r="H171" i="2"/>
  <c r="AD171" i="2"/>
  <c r="O171" i="2"/>
  <c r="W171" i="2"/>
  <c r="G171" i="2"/>
  <c r="AA171" i="2"/>
  <c r="L171" i="2"/>
  <c r="Z171" i="2"/>
  <c r="K171" i="2"/>
  <c r="X171" i="2"/>
  <c r="I171" i="2"/>
  <c r="N171" i="2"/>
  <c r="M171" i="2"/>
  <c r="AG171" i="2"/>
  <c r="J171" i="2"/>
  <c r="AE171" i="2"/>
  <c r="E171" i="2"/>
  <c r="T171" i="2"/>
  <c r="S171" i="2"/>
  <c r="R171" i="2"/>
  <c r="Q171" i="2"/>
  <c r="AF156" i="2"/>
  <c r="T156" i="2"/>
  <c r="H156" i="2"/>
  <c r="AA156" i="2"/>
  <c r="N156" i="2"/>
  <c r="X156" i="2"/>
  <c r="J156" i="2"/>
  <c r="AC156" i="2"/>
  <c r="O156" i="2"/>
  <c r="AB156" i="2"/>
  <c r="M156" i="2"/>
  <c r="Y156" i="2"/>
  <c r="K156" i="2"/>
  <c r="W156" i="2"/>
  <c r="AG156" i="2"/>
  <c r="I156" i="2"/>
  <c r="AD156" i="2"/>
  <c r="F156" i="2"/>
  <c r="Z156" i="2"/>
  <c r="E156" i="2"/>
  <c r="W157" i="2"/>
  <c r="K157" i="2"/>
  <c r="AG157" i="2"/>
  <c r="T157" i="2"/>
  <c r="G157" i="2"/>
  <c r="S157" i="2"/>
  <c r="E157" i="2"/>
  <c r="Y157" i="2"/>
  <c r="J157" i="2"/>
  <c r="X157" i="2"/>
  <c r="I157" i="2"/>
  <c r="U157" i="2"/>
  <c r="F157" i="2"/>
  <c r="AF157" i="2"/>
  <c r="N157" i="2"/>
  <c r="R157" i="2"/>
  <c r="P157" i="2"/>
  <c r="O157" i="2"/>
  <c r="AE157" i="2"/>
  <c r="W137" i="2"/>
  <c r="K137" i="2"/>
  <c r="Y137" i="2"/>
  <c r="L137" i="2"/>
  <c r="X137" i="2"/>
  <c r="J137" i="2"/>
  <c r="S137" i="2"/>
  <c r="T137" i="2"/>
  <c r="E137" i="2"/>
  <c r="V137" i="2"/>
  <c r="E144" i="2"/>
  <c r="W144" i="2"/>
  <c r="AF148" i="2"/>
  <c r="T148" i="2"/>
  <c r="H148" i="2"/>
  <c r="Y148" i="2"/>
  <c r="L148" i="2"/>
  <c r="X148" i="2"/>
  <c r="K148" i="2"/>
  <c r="S148" i="2"/>
  <c r="U148" i="2"/>
  <c r="E148" i="2"/>
  <c r="W148" i="2"/>
  <c r="G156" i="2"/>
  <c r="Q101" i="2"/>
  <c r="S115" i="2"/>
  <c r="M119" i="2"/>
  <c r="AF119" i="2"/>
  <c r="O123" i="2"/>
  <c r="AG123" i="2"/>
  <c r="P124" i="2"/>
  <c r="AG124" i="2"/>
  <c r="P126" i="2"/>
  <c r="AF126" i="2"/>
  <c r="N127" i="2"/>
  <c r="AF127" i="2"/>
  <c r="M128" i="2"/>
  <c r="AE128" i="2"/>
  <c r="N129" i="2"/>
  <c r="AE129" i="2"/>
  <c r="L131" i="2"/>
  <c r="AF131" i="2"/>
  <c r="O132" i="2"/>
  <c r="AE132" i="2"/>
  <c r="P133" i="2"/>
  <c r="AF133" i="2"/>
  <c r="P134" i="2"/>
  <c r="AG134" i="2"/>
  <c r="P135" i="2"/>
  <c r="AG135" i="2"/>
  <c r="S136" i="2"/>
  <c r="F137" i="2"/>
  <c r="Z137" i="2"/>
  <c r="AC143" i="2"/>
  <c r="Q143" i="2"/>
  <c r="E143" i="2"/>
  <c r="U143" i="2"/>
  <c r="H143" i="2"/>
  <c r="AG143" i="2"/>
  <c r="T143" i="2"/>
  <c r="G143" i="2"/>
  <c r="AD143" i="2"/>
  <c r="N143" i="2"/>
  <c r="AE143" i="2"/>
  <c r="O143" i="2"/>
  <c r="W143" i="2"/>
  <c r="F144" i="2"/>
  <c r="X144" i="2"/>
  <c r="M145" i="2"/>
  <c r="AD145" i="2"/>
  <c r="P146" i="2"/>
  <c r="AG146" i="2"/>
  <c r="T147" i="2"/>
  <c r="F148" i="2"/>
  <c r="Z148" i="2"/>
  <c r="H150" i="2"/>
  <c r="AC150" i="2"/>
  <c r="N152" i="2"/>
  <c r="L156" i="2"/>
  <c r="H157" i="2"/>
  <c r="Z162" i="2"/>
  <c r="N162" i="2"/>
  <c r="W162" i="2"/>
  <c r="J162" i="2"/>
  <c r="X162" i="2"/>
  <c r="I162" i="2"/>
  <c r="AC162" i="2"/>
  <c r="O162" i="2"/>
  <c r="AB162" i="2"/>
  <c r="M162" i="2"/>
  <c r="Y162" i="2"/>
  <c r="K162" i="2"/>
  <c r="AE162" i="2"/>
  <c r="G162" i="2"/>
  <c r="AA162" i="2"/>
  <c r="E162" i="2"/>
  <c r="Q162" i="2"/>
  <c r="AG162" i="2"/>
  <c r="L162" i="2"/>
  <c r="AF162" i="2"/>
  <c r="H162" i="2"/>
  <c r="Y171" i="2"/>
  <c r="W101" i="2"/>
  <c r="K101" i="2"/>
  <c r="AG101" i="2"/>
  <c r="T101" i="2"/>
  <c r="G101" i="2"/>
  <c r="U101" i="2"/>
  <c r="H101" i="2"/>
  <c r="N119" i="2"/>
  <c r="P123" i="2"/>
  <c r="P127" i="2"/>
  <c r="AG127" i="2"/>
  <c r="N128" i="2"/>
  <c r="AG128" i="2"/>
  <c r="P129" i="2"/>
  <c r="AF129" i="2"/>
  <c r="P131" i="2"/>
  <c r="AG131" i="2"/>
  <c r="P132" i="2"/>
  <c r="G137" i="2"/>
  <c r="AA137" i="2"/>
  <c r="G144" i="2"/>
  <c r="Y144" i="2"/>
  <c r="N145" i="2"/>
  <c r="AE145" i="2"/>
  <c r="Q146" i="2"/>
  <c r="G148" i="2"/>
  <c r="AA148" i="2"/>
  <c r="K150" i="2"/>
  <c r="AD150" i="2"/>
  <c r="P156" i="2"/>
  <c r="L157" i="2"/>
  <c r="Z158" i="2"/>
  <c r="N158" i="2"/>
  <c r="Y158" i="2"/>
  <c r="L158" i="2"/>
  <c r="AC158" i="2"/>
  <c r="O158" i="2"/>
  <c r="AG158" i="2"/>
  <c r="S158" i="2"/>
  <c r="E158" i="2"/>
  <c r="AF158" i="2"/>
  <c r="R158" i="2"/>
  <c r="AD158" i="2"/>
  <c r="P158" i="2"/>
  <c r="T158" i="2"/>
  <c r="X158" i="2"/>
  <c r="F158" i="2"/>
  <c r="V158" i="2"/>
  <c r="U158" i="2"/>
  <c r="AC171" i="2"/>
  <c r="R101" i="2"/>
  <c r="AC115" i="2"/>
  <c r="Q115" i="2"/>
  <c r="E115" i="2"/>
  <c r="V115" i="2"/>
  <c r="I115" i="2"/>
  <c r="W115" i="2"/>
  <c r="H115" i="2"/>
  <c r="X115" i="2"/>
  <c r="J115" i="2"/>
  <c r="M19" i="2"/>
  <c r="Z19" i="2"/>
  <c r="M21" i="2"/>
  <c r="Z21" i="2"/>
  <c r="Y26" i="2"/>
  <c r="M26" i="2"/>
  <c r="P26" i="2"/>
  <c r="AC26" i="2"/>
  <c r="M32" i="2"/>
  <c r="Z32" i="2"/>
  <c r="M43" i="2"/>
  <c r="Z43" i="2"/>
  <c r="M45" i="2"/>
  <c r="Z45" i="2"/>
  <c r="Y50" i="2"/>
  <c r="M50" i="2"/>
  <c r="P50" i="2"/>
  <c r="AC50" i="2"/>
  <c r="M56" i="2"/>
  <c r="Z56" i="2"/>
  <c r="K58" i="2"/>
  <c r="X58" i="2"/>
  <c r="M67" i="2"/>
  <c r="Z67" i="2"/>
  <c r="Z74" i="2"/>
  <c r="N74" i="2"/>
  <c r="AB74" i="2"/>
  <c r="O74" i="2"/>
  <c r="Q74" i="2"/>
  <c r="AE74" i="2"/>
  <c r="P77" i="2"/>
  <c r="AD77" i="2"/>
  <c r="P80" i="2"/>
  <c r="AD80" i="2"/>
  <c r="M86" i="2"/>
  <c r="AB86" i="2"/>
  <c r="AF88" i="2"/>
  <c r="T88" i="2"/>
  <c r="H88" i="2"/>
  <c r="U88" i="2"/>
  <c r="G88" i="2"/>
  <c r="Q88" i="2"/>
  <c r="AE88" i="2"/>
  <c r="L89" i="2"/>
  <c r="Z89" i="2"/>
  <c r="P91" i="2"/>
  <c r="AF91" i="2"/>
  <c r="N92" i="2"/>
  <c r="AC92" i="2"/>
  <c r="N93" i="2"/>
  <c r="AC93" i="2"/>
  <c r="Q97" i="2"/>
  <c r="AF97" i="2"/>
  <c r="S101" i="2"/>
  <c r="Q102" i="2"/>
  <c r="AF102" i="2"/>
  <c r="N103" i="2"/>
  <c r="AD103" i="2"/>
  <c r="N104" i="2"/>
  <c r="AC104" i="2"/>
  <c r="U115" i="2"/>
  <c r="W117" i="2"/>
  <c r="K117" i="2"/>
  <c r="U117" i="2"/>
  <c r="H117" i="2"/>
  <c r="AA117" i="2"/>
  <c r="M117" i="2"/>
  <c r="AB117" i="2"/>
  <c r="N117" i="2"/>
  <c r="S117" i="2"/>
  <c r="R118" i="2"/>
  <c r="R119" i="2"/>
  <c r="R120" i="2"/>
  <c r="R121" i="2"/>
  <c r="S123" i="2"/>
  <c r="R124" i="2"/>
  <c r="R126" i="2"/>
  <c r="R127" i="2"/>
  <c r="Q128" i="2"/>
  <c r="Q129" i="2"/>
  <c r="AG129" i="2"/>
  <c r="P130" i="2"/>
  <c r="R131" i="2"/>
  <c r="Q132" i="2"/>
  <c r="R133" i="2"/>
  <c r="S134" i="2"/>
  <c r="S135" i="2"/>
  <c r="X136" i="2"/>
  <c r="H137" i="2"/>
  <c r="AB137" i="2"/>
  <c r="AC139" i="2"/>
  <c r="Q139" i="2"/>
  <c r="E139" i="2"/>
  <c r="W139" i="2"/>
  <c r="J139" i="2"/>
  <c r="V139" i="2"/>
  <c r="I139" i="2"/>
  <c r="AA139" i="2"/>
  <c r="L139" i="2"/>
  <c r="AB139" i="2"/>
  <c r="M139" i="2"/>
  <c r="U139" i="2"/>
  <c r="W141" i="2"/>
  <c r="K141" i="2"/>
  <c r="V141" i="2"/>
  <c r="I141" i="2"/>
  <c r="U141" i="2"/>
  <c r="H141" i="2"/>
  <c r="T141" i="2"/>
  <c r="E141" i="2"/>
  <c r="X141" i="2"/>
  <c r="F141" i="2"/>
  <c r="Y141" i="2"/>
  <c r="F143" i="2"/>
  <c r="Y143" i="2"/>
  <c r="I144" i="2"/>
  <c r="AD144" i="2"/>
  <c r="O145" i="2"/>
  <c r="R146" i="2"/>
  <c r="X147" i="2"/>
  <c r="I148" i="2"/>
  <c r="AB148" i="2"/>
  <c r="L150" i="2"/>
  <c r="AG150" i="2"/>
  <c r="Q152" i="2"/>
  <c r="Z154" i="2"/>
  <c r="N154" i="2"/>
  <c r="AB154" i="2"/>
  <c r="O154" i="2"/>
  <c r="T154" i="2"/>
  <c r="F154" i="2"/>
  <c r="X154" i="2"/>
  <c r="J154" i="2"/>
  <c r="W154" i="2"/>
  <c r="I154" i="2"/>
  <c r="U154" i="2"/>
  <c r="G154" i="2"/>
  <c r="AF154" i="2"/>
  <c r="L154" i="2"/>
  <c r="R154" i="2"/>
  <c r="AG154" i="2"/>
  <c r="M154" i="2"/>
  <c r="AD154" i="2"/>
  <c r="Q156" i="2"/>
  <c r="M157" i="2"/>
  <c r="G158" i="2"/>
  <c r="AD160" i="2"/>
  <c r="F162" i="2"/>
  <c r="AF171" i="2"/>
  <c r="Z98" i="2"/>
  <c r="N98" i="2"/>
  <c r="P98" i="2"/>
  <c r="AC98" i="2"/>
  <c r="Z122" i="2"/>
  <c r="N122" i="2"/>
  <c r="X122" i="2"/>
  <c r="K122" i="2"/>
  <c r="Q122" i="2"/>
  <c r="AE122" i="2"/>
  <c r="W125" i="2"/>
  <c r="K125" i="2"/>
  <c r="AD125" i="2"/>
  <c r="Q125" i="2"/>
  <c r="R125" i="2"/>
  <c r="AF125" i="2"/>
  <c r="Z142" i="2"/>
  <c r="N142" i="2"/>
  <c r="AB142" i="2"/>
  <c r="O142" i="2"/>
  <c r="AA142" i="2"/>
  <c r="M142" i="2"/>
  <c r="R142" i="2"/>
  <c r="AG142" i="2"/>
  <c r="W149" i="2"/>
  <c r="K149" i="2"/>
  <c r="AE149" i="2"/>
  <c r="R149" i="2"/>
  <c r="E149" i="2"/>
  <c r="AD149" i="2"/>
  <c r="Q149" i="2"/>
  <c r="T149" i="2"/>
  <c r="W161" i="2"/>
  <c r="K161" i="2"/>
  <c r="AE161" i="2"/>
  <c r="R161" i="2"/>
  <c r="E161" i="2"/>
  <c r="AC161" i="2"/>
  <c r="O161" i="2"/>
  <c r="T161" i="2"/>
  <c r="F161" i="2"/>
  <c r="AG161" i="2"/>
  <c r="S161" i="2"/>
  <c r="AD161" i="2"/>
  <c r="P161" i="2"/>
  <c r="Y161" i="2"/>
  <c r="N168" i="2"/>
  <c r="AG168" i="2"/>
  <c r="AE172" i="2"/>
  <c r="S172" i="2"/>
  <c r="G172" i="2"/>
  <c r="AA172" i="2"/>
  <c r="N172" i="2"/>
  <c r="X172" i="2"/>
  <c r="J172" i="2"/>
  <c r="T172" i="2"/>
  <c r="Y172" i="2"/>
  <c r="I172" i="2"/>
  <c r="W172" i="2"/>
  <c r="H172" i="2"/>
  <c r="U172" i="2"/>
  <c r="E172" i="2"/>
  <c r="AC172" i="2"/>
  <c r="P176" i="2"/>
  <c r="V177" i="2"/>
  <c r="J177" i="2"/>
  <c r="AE177" i="2"/>
  <c r="R177" i="2"/>
  <c r="E177" i="2"/>
  <c r="AC177" i="2"/>
  <c r="O177" i="2"/>
  <c r="W177" i="2"/>
  <c r="G177" i="2"/>
  <c r="AA177" i="2"/>
  <c r="L177" i="2"/>
  <c r="Z177" i="2"/>
  <c r="K177" i="2"/>
  <c r="X177" i="2"/>
  <c r="H177" i="2"/>
  <c r="AB177" i="2"/>
  <c r="P178" i="2"/>
  <c r="U180" i="2"/>
  <c r="O168" i="2"/>
  <c r="AB175" i="2"/>
  <c r="P175" i="2"/>
  <c r="AF175" i="2"/>
  <c r="S175" i="2"/>
  <c r="F175" i="2"/>
  <c r="X175" i="2"/>
  <c r="J175" i="2"/>
  <c r="AA175" i="2"/>
  <c r="L175" i="2"/>
  <c r="AG175" i="2"/>
  <c r="Q175" i="2"/>
  <c r="AE175" i="2"/>
  <c r="O175" i="2"/>
  <c r="AC175" i="2"/>
  <c r="M175" i="2"/>
  <c r="Y175" i="2"/>
  <c r="Q176" i="2"/>
  <c r="Q178" i="2"/>
  <c r="X180" i="2"/>
  <c r="P168" i="2"/>
  <c r="E175" i="2"/>
  <c r="Z175" i="2"/>
  <c r="R176" i="2"/>
  <c r="R178" i="2"/>
  <c r="Y180" i="2"/>
  <c r="AA186" i="2"/>
  <c r="O186" i="2"/>
  <c r="Y186" i="2"/>
  <c r="M186" i="2"/>
  <c r="W186" i="2"/>
  <c r="I186" i="2"/>
  <c r="T186" i="2"/>
  <c r="F186" i="2"/>
  <c r="AE186" i="2"/>
  <c r="N186" i="2"/>
  <c r="Z186" i="2"/>
  <c r="H186" i="2"/>
  <c r="U186" i="2"/>
  <c r="R186" i="2"/>
  <c r="L186" i="2"/>
  <c r="K186" i="2"/>
  <c r="AG186" i="2"/>
  <c r="J186" i="2"/>
  <c r="AF186" i="2"/>
  <c r="G186" i="2"/>
  <c r="V186" i="2"/>
  <c r="S186" i="2"/>
  <c r="Q186" i="2"/>
  <c r="P186" i="2"/>
  <c r="AC155" i="2"/>
  <c r="Q155" i="2"/>
  <c r="E155" i="2"/>
  <c r="U155" i="2"/>
  <c r="H155" i="2"/>
  <c r="AD155" i="2"/>
  <c r="O155" i="2"/>
  <c r="T155" i="2"/>
  <c r="F155" i="2"/>
  <c r="AG155" i="2"/>
  <c r="S155" i="2"/>
  <c r="AE155" i="2"/>
  <c r="P155" i="2"/>
  <c r="Y155" i="2"/>
  <c r="G175" i="2"/>
  <c r="AD175" i="2"/>
  <c r="AG188" i="2"/>
  <c r="U188" i="2"/>
  <c r="I188" i="2"/>
  <c r="AE188" i="2"/>
  <c r="S188" i="2"/>
  <c r="G188" i="2"/>
  <c r="AC188" i="2"/>
  <c r="O188" i="2"/>
  <c r="Z188" i="2"/>
  <c r="L188" i="2"/>
  <c r="AF188" i="2"/>
  <c r="N188" i="2"/>
  <c r="Y188" i="2"/>
  <c r="H188" i="2"/>
  <c r="W188" i="2"/>
  <c r="E188" i="2"/>
  <c r="V188" i="2"/>
  <c r="R188" i="2"/>
  <c r="Q188" i="2"/>
  <c r="P188" i="2"/>
  <c r="M188" i="2"/>
  <c r="K188" i="2"/>
  <c r="AB188" i="2"/>
  <c r="AA188" i="2"/>
  <c r="X188" i="2"/>
  <c r="T188" i="2"/>
  <c r="AE180" i="2"/>
  <c r="S180" i="2"/>
  <c r="G180" i="2"/>
  <c r="W180" i="2"/>
  <c r="J180" i="2"/>
  <c r="AG180" i="2"/>
  <c r="R180" i="2"/>
  <c r="AB180" i="2"/>
  <c r="N180" i="2"/>
  <c r="V180" i="2"/>
  <c r="H180" i="2"/>
  <c r="AF180" i="2"/>
  <c r="M180" i="2"/>
  <c r="T180" i="2"/>
  <c r="Q180" i="2"/>
  <c r="O180" i="2"/>
  <c r="AC180" i="2"/>
  <c r="AE176" i="2"/>
  <c r="S176" i="2"/>
  <c r="G176" i="2"/>
  <c r="Y176" i="2"/>
  <c r="L176" i="2"/>
  <c r="T176" i="2"/>
  <c r="E176" i="2"/>
  <c r="Z176" i="2"/>
  <c r="J176" i="2"/>
  <c r="AD176" i="2"/>
  <c r="O176" i="2"/>
  <c r="AC176" i="2"/>
  <c r="N176" i="2"/>
  <c r="AA176" i="2"/>
  <c r="K176" i="2"/>
  <c r="X176" i="2"/>
  <c r="Y178" i="2"/>
  <c r="M178" i="2"/>
  <c r="W178" i="2"/>
  <c r="J178" i="2"/>
  <c r="X178" i="2"/>
  <c r="I178" i="2"/>
  <c r="S178" i="2"/>
  <c r="Z178" i="2"/>
  <c r="H178" i="2"/>
  <c r="V178" i="2"/>
  <c r="G178" i="2"/>
  <c r="T178" i="2"/>
  <c r="E178" i="2"/>
  <c r="AC178" i="2"/>
  <c r="E180" i="2"/>
  <c r="AD180" i="2"/>
  <c r="AF168" i="2"/>
  <c r="T168" i="2"/>
  <c r="H168" i="2"/>
  <c r="U168" i="2"/>
  <c r="G168" i="2"/>
  <c r="V168" i="2"/>
  <c r="F168" i="2"/>
  <c r="Z168" i="2"/>
  <c r="L168" i="2"/>
  <c r="Y168" i="2"/>
  <c r="K168" i="2"/>
  <c r="W168" i="2"/>
  <c r="I168" i="2"/>
  <c r="AA168" i="2"/>
  <c r="AB176" i="2"/>
  <c r="F178" i="2"/>
  <c r="AD178" i="2"/>
  <c r="F180" i="2"/>
  <c r="I180" i="2"/>
  <c r="AD191" i="2"/>
  <c r="R191" i="2"/>
  <c r="F191" i="2"/>
  <c r="AB191" i="2"/>
  <c r="P191" i="2"/>
  <c r="AF191" i="2"/>
  <c r="Q191" i="2"/>
  <c r="AC191" i="2"/>
  <c r="N191" i="2"/>
  <c r="AA191" i="2"/>
  <c r="M191" i="2"/>
  <c r="Y191" i="2"/>
  <c r="K191" i="2"/>
  <c r="AE191" i="2"/>
  <c r="H191" i="2"/>
  <c r="V191" i="2"/>
  <c r="T191" i="2"/>
  <c r="S191" i="2"/>
  <c r="L191" i="2"/>
  <c r="J191" i="2"/>
  <c r="I191" i="2"/>
  <c r="G191" i="2"/>
  <c r="E191" i="2"/>
  <c r="X191" i="2"/>
  <c r="W191" i="2"/>
  <c r="U191" i="2"/>
  <c r="O191" i="2"/>
  <c r="E168" i="2"/>
  <c r="AC168" i="2"/>
  <c r="H176" i="2"/>
  <c r="AG176" i="2"/>
  <c r="L178" i="2"/>
  <c r="AF178" i="2"/>
  <c r="K180" i="2"/>
  <c r="Z191" i="2"/>
  <c r="J168" i="2"/>
  <c r="AD168" i="2"/>
  <c r="I176" i="2"/>
  <c r="N178" i="2"/>
  <c r="AG178" i="2"/>
  <c r="L180" i="2"/>
  <c r="AG191" i="2"/>
  <c r="AF72" i="2"/>
  <c r="T72" i="2"/>
  <c r="H72" i="2"/>
  <c r="P72" i="2"/>
  <c r="AC72" i="2"/>
  <c r="AC83" i="2"/>
  <c r="Q83" i="2"/>
  <c r="E83" i="2"/>
  <c r="P83" i="2"/>
  <c r="AD83" i="2"/>
  <c r="W85" i="2"/>
  <c r="K85" i="2"/>
  <c r="P85" i="2"/>
  <c r="AC85" i="2"/>
  <c r="AF96" i="2"/>
  <c r="T96" i="2"/>
  <c r="H96" i="2"/>
  <c r="P96" i="2"/>
  <c r="AC96" i="2"/>
  <c r="O98" i="2"/>
  <c r="AB98" i="2"/>
  <c r="AF116" i="2"/>
  <c r="T116" i="2"/>
  <c r="H116" i="2"/>
  <c r="AB116" i="2"/>
  <c r="O116" i="2"/>
  <c r="Q116" i="2"/>
  <c r="AE116" i="2"/>
  <c r="P122" i="2"/>
  <c r="AD122" i="2"/>
  <c r="P125" i="2"/>
  <c r="AE125" i="2"/>
  <c r="Q142" i="2"/>
  <c r="AF142" i="2"/>
  <c r="S149" i="2"/>
  <c r="R155" i="2"/>
  <c r="X161" i="2"/>
  <c r="AC167" i="2"/>
  <c r="Q167" i="2"/>
  <c r="E167" i="2"/>
  <c r="AA167" i="2"/>
  <c r="N167" i="2"/>
  <c r="Y167" i="2"/>
  <c r="K167" i="2"/>
  <c r="AE167" i="2"/>
  <c r="P167" i="2"/>
  <c r="AD167" i="2"/>
  <c r="O167" i="2"/>
  <c r="Z167" i="2"/>
  <c r="L167" i="2"/>
  <c r="V167" i="2"/>
  <c r="M168" i="2"/>
  <c r="AE168" i="2"/>
  <c r="Y170" i="2"/>
  <c r="M170" i="2"/>
  <c r="AB170" i="2"/>
  <c r="O170" i="2"/>
  <c r="T170" i="2"/>
  <c r="F170" i="2"/>
  <c r="Z170" i="2"/>
  <c r="J170" i="2"/>
  <c r="AE170" i="2"/>
  <c r="P170" i="2"/>
  <c r="AD170" i="2"/>
  <c r="N170" i="2"/>
  <c r="AA170" i="2"/>
  <c r="K170" i="2"/>
  <c r="W170" i="2"/>
  <c r="AB172" i="2"/>
  <c r="V175" i="2"/>
  <c r="M176" i="2"/>
  <c r="Y177" i="2"/>
  <c r="O178" i="2"/>
  <c r="P180" i="2"/>
  <c r="W169" i="2"/>
  <c r="K169" i="2"/>
  <c r="AA169" i="2"/>
  <c r="N169" i="2"/>
  <c r="Q169" i="2"/>
  <c r="AE169" i="2"/>
  <c r="V173" i="2"/>
  <c r="J173" i="2"/>
  <c r="AG173" i="2"/>
  <c r="T173" i="2"/>
  <c r="G173" i="2"/>
  <c r="S173" i="2"/>
  <c r="E173" i="2"/>
  <c r="R173" i="2"/>
  <c r="L183" i="2"/>
  <c r="V185" i="2"/>
  <c r="J185" i="2"/>
  <c r="AD185" i="2"/>
  <c r="Q185" i="2"/>
  <c r="AA185" i="2"/>
  <c r="N185" i="2"/>
  <c r="AF185" i="2"/>
  <c r="P185" i="2"/>
  <c r="Z185" i="2"/>
  <c r="K185" i="2"/>
  <c r="W185" i="2"/>
  <c r="G185" i="2"/>
  <c r="T185" i="2"/>
  <c r="E185" i="2"/>
  <c r="AB185" i="2"/>
  <c r="P192" i="2"/>
  <c r="AD195" i="2"/>
  <c r="R195" i="2"/>
  <c r="F195" i="2"/>
  <c r="AB195" i="2"/>
  <c r="P195" i="2"/>
  <c r="Z195" i="2"/>
  <c r="L195" i="2"/>
  <c r="X195" i="2"/>
  <c r="J195" i="2"/>
  <c r="W195" i="2"/>
  <c r="I195" i="2"/>
  <c r="U195" i="2"/>
  <c r="G195" i="2"/>
  <c r="N195" i="2"/>
  <c r="AC195" i="2"/>
  <c r="E195" i="2"/>
  <c r="Y195" i="2"/>
  <c r="V195" i="2"/>
  <c r="S195" i="2"/>
  <c r="X197" i="2"/>
  <c r="L197" i="2"/>
  <c r="V197" i="2"/>
  <c r="J197" i="2"/>
  <c r="AF197" i="2"/>
  <c r="R197" i="2"/>
  <c r="AD197" i="2"/>
  <c r="P197" i="2"/>
  <c r="AC197" i="2"/>
  <c r="O197" i="2"/>
  <c r="AA197" i="2"/>
  <c r="M197" i="2"/>
  <c r="AB197" i="2"/>
  <c r="G197" i="2"/>
  <c r="U197" i="2"/>
  <c r="S197" i="2"/>
  <c r="Q197" i="2"/>
  <c r="K197" i="2"/>
  <c r="Z114" i="2"/>
  <c r="N114" i="2"/>
  <c r="P114" i="2"/>
  <c r="AC114" i="2"/>
  <c r="Z138" i="2"/>
  <c r="N138" i="2"/>
  <c r="P138" i="2"/>
  <c r="AC138" i="2"/>
  <c r="O140" i="2"/>
  <c r="O151" i="2"/>
  <c r="P153" i="2"/>
  <c r="AF164" i="2"/>
  <c r="T164" i="2"/>
  <c r="H164" i="2"/>
  <c r="W164" i="2"/>
  <c r="J164" i="2"/>
  <c r="Q164" i="2"/>
  <c r="AE164" i="2"/>
  <c r="F166" i="2"/>
  <c r="T166" i="2"/>
  <c r="E169" i="2"/>
  <c r="S169" i="2"/>
  <c r="AG169" i="2"/>
  <c r="F173" i="2"/>
  <c r="W173" i="2"/>
  <c r="Y174" i="2"/>
  <c r="M174" i="2"/>
  <c r="Z174" i="2"/>
  <c r="L174" i="2"/>
  <c r="AC174" i="2"/>
  <c r="O174" i="2"/>
  <c r="R174" i="2"/>
  <c r="AG174" i="2"/>
  <c r="Q183" i="2"/>
  <c r="T192" i="2"/>
  <c r="H195" i="2"/>
  <c r="AG196" i="2"/>
  <c r="U196" i="2"/>
  <c r="I196" i="2"/>
  <c r="AE196" i="2"/>
  <c r="S196" i="2"/>
  <c r="G196" i="2"/>
  <c r="W196" i="2"/>
  <c r="H196" i="2"/>
  <c r="T196" i="2"/>
  <c r="E196" i="2"/>
  <c r="R196" i="2"/>
  <c r="AD196" i="2"/>
  <c r="P196" i="2"/>
  <c r="X196" i="2"/>
  <c r="N196" i="2"/>
  <c r="AF196" i="2"/>
  <c r="L196" i="2"/>
  <c r="AC196" i="2"/>
  <c r="K196" i="2"/>
  <c r="AA196" i="2"/>
  <c r="F196" i="2"/>
  <c r="E197" i="2"/>
  <c r="AF140" i="2"/>
  <c r="T140" i="2"/>
  <c r="H140" i="2"/>
  <c r="P140" i="2"/>
  <c r="AC140" i="2"/>
  <c r="AC151" i="2"/>
  <c r="Q151" i="2"/>
  <c r="E151" i="2"/>
  <c r="P151" i="2"/>
  <c r="AD151" i="2"/>
  <c r="W153" i="2"/>
  <c r="K153" i="2"/>
  <c r="V153" i="2"/>
  <c r="I153" i="2"/>
  <c r="Q153" i="2"/>
  <c r="AE153" i="2"/>
  <c r="G166" i="2"/>
  <c r="F169" i="2"/>
  <c r="T169" i="2"/>
  <c r="H173" i="2"/>
  <c r="X173" i="2"/>
  <c r="I185" i="2"/>
  <c r="AG185" i="2"/>
  <c r="K195" i="2"/>
  <c r="F197" i="2"/>
  <c r="AB183" i="2"/>
  <c r="P183" i="2"/>
  <c r="AE183" i="2"/>
  <c r="R183" i="2"/>
  <c r="E183" i="2"/>
  <c r="AA183" i="2"/>
  <c r="N183" i="2"/>
  <c r="U183" i="2"/>
  <c r="F183" i="2"/>
  <c r="AF183" i="2"/>
  <c r="O183" i="2"/>
  <c r="Z183" i="2"/>
  <c r="K183" i="2"/>
  <c r="X183" i="2"/>
  <c r="I183" i="2"/>
  <c r="AC183" i="2"/>
  <c r="AG192" i="2"/>
  <c r="U192" i="2"/>
  <c r="I192" i="2"/>
  <c r="AE192" i="2"/>
  <c r="S192" i="2"/>
  <c r="G192" i="2"/>
  <c r="AA192" i="2"/>
  <c r="M192" i="2"/>
  <c r="Y192" i="2"/>
  <c r="K192" i="2"/>
  <c r="X192" i="2"/>
  <c r="J192" i="2"/>
  <c r="V192" i="2"/>
  <c r="F192" i="2"/>
  <c r="Q192" i="2"/>
  <c r="AF192" i="2"/>
  <c r="L192" i="2"/>
  <c r="AC192" i="2"/>
  <c r="E192" i="2"/>
  <c r="AB192" i="2"/>
  <c r="W192" i="2"/>
  <c r="AA195" i="2"/>
  <c r="W197" i="2"/>
  <c r="AE195" i="2"/>
  <c r="Y197" i="2"/>
  <c r="AF195" i="2"/>
  <c r="Z197" i="2"/>
  <c r="Z166" i="2"/>
  <c r="N166" i="2"/>
  <c r="U166" i="2"/>
  <c r="H166" i="2"/>
  <c r="Q166" i="2"/>
  <c r="AE166" i="2"/>
  <c r="P169" i="2"/>
  <c r="AD169" i="2"/>
  <c r="Q173" i="2"/>
  <c r="AF173" i="2"/>
  <c r="J183" i="2"/>
  <c r="O192" i="2"/>
  <c r="AG195" i="2"/>
  <c r="AE197" i="2"/>
  <c r="X189" i="2"/>
  <c r="L189" i="2"/>
  <c r="V189" i="2"/>
  <c r="J189" i="2"/>
  <c r="Z189" i="2"/>
  <c r="K189" i="2"/>
  <c r="U189" i="2"/>
  <c r="G189" i="2"/>
  <c r="S189" i="2"/>
  <c r="F201" i="2"/>
  <c r="AG201" i="2"/>
  <c r="X202" i="2"/>
  <c r="Z209" i="2"/>
  <c r="AD209" i="2"/>
  <c r="AD187" i="2"/>
  <c r="R187" i="2"/>
  <c r="F187" i="2"/>
  <c r="AB187" i="2"/>
  <c r="P187" i="2"/>
  <c r="T187" i="2"/>
  <c r="E187" i="2"/>
  <c r="AE187" i="2"/>
  <c r="O187" i="2"/>
  <c r="V187" i="2"/>
  <c r="I201" i="2"/>
  <c r="M201" i="2"/>
  <c r="AF202" i="2"/>
  <c r="T202" i="2"/>
  <c r="H202" i="2"/>
  <c r="U202" i="2"/>
  <c r="G202" i="2"/>
  <c r="AE202" i="2"/>
  <c r="R202" i="2"/>
  <c r="E202" i="2"/>
  <c r="Q202" i="2"/>
  <c r="AB202" i="2"/>
  <c r="M202" i="2"/>
  <c r="Z202" i="2"/>
  <c r="K202" i="2"/>
  <c r="Y202" i="2"/>
  <c r="J202" i="2"/>
  <c r="W202" i="2"/>
  <c r="F202" i="2"/>
  <c r="AD202" i="2"/>
  <c r="AC163" i="2"/>
  <c r="Q163" i="2"/>
  <c r="E163" i="2"/>
  <c r="P163" i="2"/>
  <c r="AD163" i="2"/>
  <c r="W165" i="2"/>
  <c r="K165" i="2"/>
  <c r="P165" i="2"/>
  <c r="AC165" i="2"/>
  <c r="Y182" i="2"/>
  <c r="M182" i="2"/>
  <c r="X182" i="2"/>
  <c r="K182" i="2"/>
  <c r="U182" i="2"/>
  <c r="H182" i="2"/>
  <c r="R182" i="2"/>
  <c r="AG182" i="2"/>
  <c r="N184" i="2"/>
  <c r="I187" i="2"/>
  <c r="Y187" i="2"/>
  <c r="I189" i="2"/>
  <c r="AB189" i="2"/>
  <c r="R201" i="2"/>
  <c r="I202" i="2"/>
  <c r="AG209" i="2"/>
  <c r="U209" i="2"/>
  <c r="I209" i="2"/>
  <c r="V209" i="2"/>
  <c r="H209" i="2"/>
  <c r="S209" i="2"/>
  <c r="E209" i="2"/>
  <c r="AA209" i="2"/>
  <c r="M209" i="2"/>
  <c r="X209" i="2"/>
  <c r="J209" i="2"/>
  <c r="T209" i="2"/>
  <c r="F209" i="2"/>
  <c r="W209" i="2"/>
  <c r="Q209" i="2"/>
  <c r="AE209" i="2"/>
  <c r="L209" i="2"/>
  <c r="AC209" i="2"/>
  <c r="G209" i="2"/>
  <c r="AB209" i="2"/>
  <c r="Y209" i="2"/>
  <c r="AE184" i="2"/>
  <c r="S184" i="2"/>
  <c r="G184" i="2"/>
  <c r="X184" i="2"/>
  <c r="K184" i="2"/>
  <c r="U184" i="2"/>
  <c r="H184" i="2"/>
  <c r="R184" i="2"/>
  <c r="M187" i="2"/>
  <c r="AF187" i="2"/>
  <c r="P189" i="2"/>
  <c r="AF189" i="2"/>
  <c r="P202" i="2"/>
  <c r="O209" i="2"/>
  <c r="AC201" i="2"/>
  <c r="Q201" i="2"/>
  <c r="E201" i="2"/>
  <c r="AA201" i="2"/>
  <c r="N201" i="2"/>
  <c r="Y201" i="2"/>
  <c r="L201" i="2"/>
  <c r="T201" i="2"/>
  <c r="AE201" i="2"/>
  <c r="O201" i="2"/>
  <c r="AB201" i="2"/>
  <c r="K201" i="2"/>
  <c r="Z201" i="2"/>
  <c r="J201" i="2"/>
  <c r="W201" i="2"/>
  <c r="H201" i="2"/>
  <c r="AF201" i="2"/>
  <c r="R209" i="2"/>
  <c r="AB179" i="2"/>
  <c r="P179" i="2"/>
  <c r="Q179" i="2"/>
  <c r="AD179" i="2"/>
  <c r="V181" i="2"/>
  <c r="J181" i="2"/>
  <c r="P181" i="2"/>
  <c r="AC181" i="2"/>
  <c r="X193" i="2"/>
  <c r="L193" i="2"/>
  <c r="V193" i="2"/>
  <c r="J193" i="2"/>
  <c r="Q193" i="2"/>
  <c r="AE193" i="2"/>
  <c r="O199" i="2"/>
  <c r="L200" i="2"/>
  <c r="AA200" i="2"/>
  <c r="H210" i="2"/>
  <c r="AA210" i="2"/>
  <c r="AD212" i="2"/>
  <c r="R212" i="2"/>
  <c r="F212" i="2"/>
  <c r="Z212" i="2"/>
  <c r="M212" i="2"/>
  <c r="AC212" i="2"/>
  <c r="O212" i="2"/>
  <c r="V212" i="2"/>
  <c r="H212" i="2"/>
  <c r="AG212" i="2"/>
  <c r="S212" i="2"/>
  <c r="AE212" i="2"/>
  <c r="P212" i="2"/>
  <c r="X212" i="2"/>
  <c r="P216" i="2"/>
  <c r="X218" i="2"/>
  <c r="L218" i="2"/>
  <c r="W218" i="2"/>
  <c r="J218" i="2"/>
  <c r="AA218" i="2"/>
  <c r="M218" i="2"/>
  <c r="AG218" i="2"/>
  <c r="S218" i="2"/>
  <c r="E218" i="2"/>
  <c r="AD218" i="2"/>
  <c r="P218" i="2"/>
  <c r="AB218" i="2"/>
  <c r="N218" i="2"/>
  <c r="V218" i="2"/>
  <c r="E221" i="2"/>
  <c r="AD221" i="2"/>
  <c r="R222" i="2"/>
  <c r="E225" i="2"/>
  <c r="AF225" i="2"/>
  <c r="E230" i="2"/>
  <c r="J232" i="2"/>
  <c r="T234" i="2"/>
  <c r="P238" i="2"/>
  <c r="E242" i="2"/>
  <c r="G221" i="2"/>
  <c r="AE221" i="2"/>
  <c r="S222" i="2"/>
  <c r="F230" i="2"/>
  <c r="K232" i="2"/>
  <c r="S238" i="2"/>
  <c r="G242" i="2"/>
  <c r="AD199" i="2"/>
  <c r="R199" i="2"/>
  <c r="F199" i="2"/>
  <c r="AB199" i="2"/>
  <c r="P199" i="2"/>
  <c r="S199" i="2"/>
  <c r="AG199" i="2"/>
  <c r="N200" i="2"/>
  <c r="AC200" i="2"/>
  <c r="J210" i="2"/>
  <c r="AG210" i="2"/>
  <c r="X214" i="2"/>
  <c r="L214" i="2"/>
  <c r="Z214" i="2"/>
  <c r="M214" i="2"/>
  <c r="T214" i="2"/>
  <c r="F214" i="2"/>
  <c r="AB214" i="2"/>
  <c r="N214" i="2"/>
  <c r="W214" i="2"/>
  <c r="I214" i="2"/>
  <c r="U214" i="2"/>
  <c r="G214" i="2"/>
  <c r="Y214" i="2"/>
  <c r="H221" i="2"/>
  <c r="T222" i="2"/>
  <c r="G225" i="2"/>
  <c r="AD228" i="2"/>
  <c r="R228" i="2"/>
  <c r="F228" i="2"/>
  <c r="AE228" i="2"/>
  <c r="Q228" i="2"/>
  <c r="V228" i="2"/>
  <c r="I228" i="2"/>
  <c r="AB228" i="2"/>
  <c r="M228" i="2"/>
  <c r="U228" i="2"/>
  <c r="E228" i="2"/>
  <c r="S228" i="2"/>
  <c r="AG228" i="2"/>
  <c r="P228" i="2"/>
  <c r="AF228" i="2"/>
  <c r="O228" i="2"/>
  <c r="AC228" i="2"/>
  <c r="N228" i="2"/>
  <c r="G230" i="2"/>
  <c r="S232" i="2"/>
  <c r="V234" i="2"/>
  <c r="AD236" i="2"/>
  <c r="R236" i="2"/>
  <c r="F236" i="2"/>
  <c r="Z236" i="2"/>
  <c r="M236" i="2"/>
  <c r="AE236" i="2"/>
  <c r="Q236" i="2"/>
  <c r="AB236" i="2"/>
  <c r="L236" i="2"/>
  <c r="Y236" i="2"/>
  <c r="J236" i="2"/>
  <c r="U236" i="2"/>
  <c r="E236" i="2"/>
  <c r="S236" i="2"/>
  <c r="AG236" i="2"/>
  <c r="P236" i="2"/>
  <c r="AF236" i="2"/>
  <c r="O236" i="2"/>
  <c r="AC236" i="2"/>
  <c r="N236" i="2"/>
  <c r="T238" i="2"/>
  <c r="R242" i="2"/>
  <c r="E199" i="2"/>
  <c r="T199" i="2"/>
  <c r="O200" i="2"/>
  <c r="X206" i="2"/>
  <c r="L206" i="2"/>
  <c r="AD206" i="2"/>
  <c r="Q206" i="2"/>
  <c r="W206" i="2"/>
  <c r="I206" i="2"/>
  <c r="AE206" i="2"/>
  <c r="P206" i="2"/>
  <c r="AA206" i="2"/>
  <c r="M206" i="2"/>
  <c r="Y206" i="2"/>
  <c r="J206" i="2"/>
  <c r="V206" i="2"/>
  <c r="K210" i="2"/>
  <c r="AA214" i="2"/>
  <c r="AD220" i="2"/>
  <c r="R220" i="2"/>
  <c r="F220" i="2"/>
  <c r="V220" i="2"/>
  <c r="I220" i="2"/>
  <c r="Z220" i="2"/>
  <c r="AB220" i="2"/>
  <c r="M220" i="2"/>
  <c r="T220" i="2"/>
  <c r="E220" i="2"/>
  <c r="AF220" i="2"/>
  <c r="P220" i="2"/>
  <c r="AC220" i="2"/>
  <c r="N220" i="2"/>
  <c r="X220" i="2"/>
  <c r="L221" i="2"/>
  <c r="H225" i="2"/>
  <c r="X226" i="2"/>
  <c r="L226" i="2"/>
  <c r="AF226" i="2"/>
  <c r="S226" i="2"/>
  <c r="F226" i="2"/>
  <c r="W226" i="2"/>
  <c r="J226" i="2"/>
  <c r="Y226" i="2"/>
  <c r="H226" i="2"/>
  <c r="AE226" i="2"/>
  <c r="P226" i="2"/>
  <c r="AB226" i="2"/>
  <c r="M226" i="2"/>
  <c r="AA226" i="2"/>
  <c r="K226" i="2"/>
  <c r="Z226" i="2"/>
  <c r="I226" i="2"/>
  <c r="AD226" i="2"/>
  <c r="G228" i="2"/>
  <c r="O230" i="2"/>
  <c r="V232" i="2"/>
  <c r="U238" i="2"/>
  <c r="S242" i="2"/>
  <c r="AG245" i="2"/>
  <c r="U245" i="2"/>
  <c r="I245" i="2"/>
  <c r="AB245" i="2"/>
  <c r="O245" i="2"/>
  <c r="AF245" i="2"/>
  <c r="S245" i="2"/>
  <c r="F245" i="2"/>
  <c r="Y245" i="2"/>
  <c r="J245" i="2"/>
  <c r="W245" i="2"/>
  <c r="G245" i="2"/>
  <c r="T245" i="2"/>
  <c r="Q245" i="2"/>
  <c r="AE245" i="2"/>
  <c r="P245" i="2"/>
  <c r="AD245" i="2"/>
  <c r="N245" i="2"/>
  <c r="AC245" i="2"/>
  <c r="M245" i="2"/>
  <c r="AA245" i="2"/>
  <c r="L245" i="2"/>
  <c r="Z245" i="2"/>
  <c r="K245" i="2"/>
  <c r="X222" i="2"/>
  <c r="L222" i="2"/>
  <c r="U222" i="2"/>
  <c r="H222" i="2"/>
  <c r="Z222" i="2"/>
  <c r="M222" i="2"/>
  <c r="W222" i="2"/>
  <c r="G222" i="2"/>
  <c r="AE222" i="2"/>
  <c r="P222" i="2"/>
  <c r="AB222" i="2"/>
  <c r="K222" i="2"/>
  <c r="Y222" i="2"/>
  <c r="I222" i="2"/>
  <c r="AA222" i="2"/>
  <c r="Z200" i="2"/>
  <c r="U200" i="2"/>
  <c r="I200" i="2"/>
  <c r="AF200" i="2"/>
  <c r="S200" i="2"/>
  <c r="G200" i="2"/>
  <c r="Q200" i="2"/>
  <c r="AG200" i="2"/>
  <c r="H214" i="2"/>
  <c r="AD214" i="2"/>
  <c r="AD216" i="2"/>
  <c r="R216" i="2"/>
  <c r="F216" i="2"/>
  <c r="X216" i="2"/>
  <c r="K216" i="2"/>
  <c r="U216" i="2"/>
  <c r="G216" i="2"/>
  <c r="AB216" i="2"/>
  <c r="N216" i="2"/>
  <c r="Y216" i="2"/>
  <c r="J216" i="2"/>
  <c r="V216" i="2"/>
  <c r="H216" i="2"/>
  <c r="Z216" i="2"/>
  <c r="P221" i="2"/>
  <c r="AC222" i="2"/>
  <c r="P225" i="2"/>
  <c r="J228" i="2"/>
  <c r="S230" i="2"/>
  <c r="X234" i="2"/>
  <c r="L234" i="2"/>
  <c r="AB234" i="2"/>
  <c r="O234" i="2"/>
  <c r="AF234" i="2"/>
  <c r="S234" i="2"/>
  <c r="F234" i="2"/>
  <c r="W234" i="2"/>
  <c r="H234" i="2"/>
  <c r="AE234" i="2"/>
  <c r="P234" i="2"/>
  <c r="AC234" i="2"/>
  <c r="M234" i="2"/>
  <c r="AA234" i="2"/>
  <c r="K234" i="2"/>
  <c r="Z234" i="2"/>
  <c r="J234" i="2"/>
  <c r="Y234" i="2"/>
  <c r="I234" i="2"/>
  <c r="H245" i="2"/>
  <c r="E222" i="2"/>
  <c r="AD222" i="2"/>
  <c r="J222" i="2"/>
  <c r="AG222" i="2"/>
  <c r="AD232" i="2"/>
  <c r="R232" i="2"/>
  <c r="F232" i="2"/>
  <c r="AB232" i="2"/>
  <c r="O232" i="2"/>
  <c r="AG232" i="2"/>
  <c r="T232" i="2"/>
  <c r="G232" i="2"/>
  <c r="AA232" i="2"/>
  <c r="L232" i="2"/>
  <c r="U232" i="2"/>
  <c r="Q232" i="2"/>
  <c r="AF232" i="2"/>
  <c r="P232" i="2"/>
  <c r="AE232" i="2"/>
  <c r="N232" i="2"/>
  <c r="AC232" i="2"/>
  <c r="M232" i="2"/>
  <c r="X238" i="2"/>
  <c r="L238" i="2"/>
  <c r="Z238" i="2"/>
  <c r="M238" i="2"/>
  <c r="AD238" i="2"/>
  <c r="Q238" i="2"/>
  <c r="Y238" i="2"/>
  <c r="I238" i="2"/>
  <c r="V238" i="2"/>
  <c r="G238" i="2"/>
  <c r="AG238" i="2"/>
  <c r="R238" i="2"/>
  <c r="AE238" i="2"/>
  <c r="O238" i="2"/>
  <c r="AC238" i="2"/>
  <c r="N238" i="2"/>
  <c r="AB238" i="2"/>
  <c r="K238" i="2"/>
  <c r="AA238" i="2"/>
  <c r="J238" i="2"/>
  <c r="X210" i="2"/>
  <c r="L210" i="2"/>
  <c r="AB210" i="2"/>
  <c r="O210" i="2"/>
  <c r="AC210" i="2"/>
  <c r="N210" i="2"/>
  <c r="U210" i="2"/>
  <c r="G210" i="2"/>
  <c r="AF210" i="2"/>
  <c r="R210" i="2"/>
  <c r="AD210" i="2"/>
  <c r="P210" i="2"/>
  <c r="W210" i="2"/>
  <c r="N222" i="2"/>
  <c r="E232" i="2"/>
  <c r="E238" i="2"/>
  <c r="AG221" i="2"/>
  <c r="U221" i="2"/>
  <c r="I221" i="2"/>
  <c r="AB221" i="2"/>
  <c r="O221" i="2"/>
  <c r="AF221" i="2"/>
  <c r="S221" i="2"/>
  <c r="F221" i="2"/>
  <c r="Y221" i="2"/>
  <c r="J221" i="2"/>
  <c r="Q221" i="2"/>
  <c r="AC221" i="2"/>
  <c r="M221" i="2"/>
  <c r="Z221" i="2"/>
  <c r="K221" i="2"/>
  <c r="X221" i="2"/>
  <c r="O222" i="2"/>
  <c r="H232" i="2"/>
  <c r="F238" i="2"/>
  <c r="X242" i="2"/>
  <c r="L242" i="2"/>
  <c r="W242" i="2"/>
  <c r="J242" i="2"/>
  <c r="AB242" i="2"/>
  <c r="O242" i="2"/>
  <c r="Y242" i="2"/>
  <c r="H242" i="2"/>
  <c r="U242" i="2"/>
  <c r="F242" i="2"/>
  <c r="AF242" i="2"/>
  <c r="Q242" i="2"/>
  <c r="AE242" i="2"/>
  <c r="P242" i="2"/>
  <c r="AD242" i="2"/>
  <c r="N242" i="2"/>
  <c r="AC242" i="2"/>
  <c r="M242" i="2"/>
  <c r="AA242" i="2"/>
  <c r="K242" i="2"/>
  <c r="Z242" i="2"/>
  <c r="I242" i="2"/>
  <c r="AA221" i="2"/>
  <c r="Q222" i="2"/>
  <c r="AG225" i="2"/>
  <c r="U225" i="2"/>
  <c r="I225" i="2"/>
  <c r="Z225" i="2"/>
  <c r="M225" i="2"/>
  <c r="AD225" i="2"/>
  <c r="Q225" i="2"/>
  <c r="Y225" i="2"/>
  <c r="J225" i="2"/>
  <c r="R225" i="2"/>
  <c r="AC225" i="2"/>
  <c r="N225" i="2"/>
  <c r="AB225" i="2"/>
  <c r="L225" i="2"/>
  <c r="AA225" i="2"/>
  <c r="K225" i="2"/>
  <c r="AE225" i="2"/>
  <c r="X230" i="2"/>
  <c r="L230" i="2"/>
  <c r="AD230" i="2"/>
  <c r="Q230" i="2"/>
  <c r="U230" i="2"/>
  <c r="H230" i="2"/>
  <c r="Y230" i="2"/>
  <c r="I230" i="2"/>
  <c r="AF230" i="2"/>
  <c r="P230" i="2"/>
  <c r="AC230" i="2"/>
  <c r="N230" i="2"/>
  <c r="AB230" i="2"/>
  <c r="M230" i="2"/>
  <c r="AA230" i="2"/>
  <c r="K230" i="2"/>
  <c r="Z230" i="2"/>
  <c r="J230" i="2"/>
  <c r="I232" i="2"/>
  <c r="H238" i="2"/>
  <c r="M190" i="2"/>
  <c r="Y190" i="2"/>
  <c r="M194" i="2"/>
  <c r="Y194" i="2"/>
  <c r="M198" i="2"/>
  <c r="Y198" i="2"/>
  <c r="E204" i="2"/>
  <c r="T204" i="2"/>
  <c r="O205" i="2"/>
  <c r="K208" i="2"/>
  <c r="Y208" i="2"/>
  <c r="L213" i="2"/>
  <c r="Z213" i="2"/>
  <c r="AG217" i="2"/>
  <c r="U217" i="2"/>
  <c r="I217" i="2"/>
  <c r="AD217" i="2"/>
  <c r="Q217" i="2"/>
  <c r="R217" i="2"/>
  <c r="AF217" i="2"/>
  <c r="M224" i="2"/>
  <c r="AB224" i="2"/>
  <c r="L229" i="2"/>
  <c r="AA229" i="2"/>
  <c r="L233" i="2"/>
  <c r="AB233" i="2"/>
  <c r="M237" i="2"/>
  <c r="AB237" i="2"/>
  <c r="N240" i="2"/>
  <c r="AE240" i="2"/>
  <c r="M241" i="2"/>
  <c r="AB241" i="2"/>
  <c r="N244" i="2"/>
  <c r="AC244" i="2"/>
  <c r="I246" i="2"/>
  <c r="Y246" i="2"/>
  <c r="N248" i="2"/>
  <c r="AE248" i="2"/>
  <c r="O249" i="2"/>
  <c r="AF249" i="2"/>
  <c r="P250" i="2"/>
  <c r="J252" i="2"/>
  <c r="Z252" i="2"/>
  <c r="H253" i="2"/>
  <c r="AA253" i="2"/>
  <c r="K254" i="2"/>
  <c r="AB254" i="2"/>
  <c r="AG257" i="2"/>
  <c r="U257" i="2"/>
  <c r="I257" i="2"/>
  <c r="V257" i="2"/>
  <c r="H257" i="2"/>
  <c r="Z257" i="2"/>
  <c r="M257" i="2"/>
  <c r="W257" i="2"/>
  <c r="J257" i="2"/>
  <c r="S257" i="2"/>
  <c r="E262" i="2"/>
  <c r="AE262" i="2"/>
  <c r="AD264" i="2"/>
  <c r="R264" i="2"/>
  <c r="F264" i="2"/>
  <c r="U264" i="2"/>
  <c r="H264" i="2"/>
  <c r="W264" i="2"/>
  <c r="I264" i="2"/>
  <c r="V264" i="2"/>
  <c r="G264" i="2"/>
  <c r="AA264" i="2"/>
  <c r="M264" i="2"/>
  <c r="Z264" i="2"/>
  <c r="L264" i="2"/>
  <c r="X264" i="2"/>
  <c r="J264" i="2"/>
  <c r="AC264" i="2"/>
  <c r="M269" i="2"/>
  <c r="P240" i="2"/>
  <c r="AF240" i="2"/>
  <c r="O244" i="2"/>
  <c r="AE244" i="2"/>
  <c r="J246" i="2"/>
  <c r="AA246" i="2"/>
  <c r="P249" i="2"/>
  <c r="Q250" i="2"/>
  <c r="K252" i="2"/>
  <c r="AA252" i="2"/>
  <c r="J253" i="2"/>
  <c r="AC253" i="2"/>
  <c r="M254" i="2"/>
  <c r="AC254" i="2"/>
  <c r="J262" i="2"/>
  <c r="AF262" i="2"/>
  <c r="P269" i="2"/>
  <c r="X270" i="2"/>
  <c r="L270" i="2"/>
  <c r="AE270" i="2"/>
  <c r="R270" i="2"/>
  <c r="E270" i="2"/>
  <c r="T270" i="2"/>
  <c r="F270" i="2"/>
  <c r="AG270" i="2"/>
  <c r="S270" i="2"/>
  <c r="Y270" i="2"/>
  <c r="J270" i="2"/>
  <c r="W270" i="2"/>
  <c r="I270" i="2"/>
  <c r="U270" i="2"/>
  <c r="G270" i="2"/>
  <c r="AC270" i="2"/>
  <c r="AB333" i="2"/>
  <c r="P333" i="2"/>
  <c r="Z333" i="2"/>
  <c r="M333" i="2"/>
  <c r="AC333" i="2"/>
  <c r="N333" i="2"/>
  <c r="V333" i="2"/>
  <c r="G333" i="2"/>
  <c r="X333" i="2"/>
  <c r="H333" i="2"/>
  <c r="U333" i="2"/>
  <c r="E333" i="2"/>
  <c r="R333" i="2"/>
  <c r="AE333" i="2"/>
  <c r="I333" i="2"/>
  <c r="AD333" i="2"/>
  <c r="F333" i="2"/>
  <c r="Y333" i="2"/>
  <c r="W333" i="2"/>
  <c r="Q333" i="2"/>
  <c r="O333" i="2"/>
  <c r="L333" i="2"/>
  <c r="AG333" i="2"/>
  <c r="K333" i="2"/>
  <c r="AF333" i="2"/>
  <c r="AA333" i="2"/>
  <c r="T333" i="2"/>
  <c r="S333" i="2"/>
  <c r="J333" i="2"/>
  <c r="O190" i="2"/>
  <c r="O194" i="2"/>
  <c r="O198" i="2"/>
  <c r="H204" i="2"/>
  <c r="AG205" i="2"/>
  <c r="U205" i="2"/>
  <c r="I205" i="2"/>
  <c r="X205" i="2"/>
  <c r="K205" i="2"/>
  <c r="Q205" i="2"/>
  <c r="AE205" i="2"/>
  <c r="M208" i="2"/>
  <c r="N213" i="2"/>
  <c r="F217" i="2"/>
  <c r="T217" i="2"/>
  <c r="O224" i="2"/>
  <c r="N229" i="2"/>
  <c r="O233" i="2"/>
  <c r="O237" i="2"/>
  <c r="Q240" i="2"/>
  <c r="O241" i="2"/>
  <c r="P244" i="2"/>
  <c r="AF244" i="2"/>
  <c r="K246" i="2"/>
  <c r="AB246" i="2"/>
  <c r="R249" i="2"/>
  <c r="L252" i="2"/>
  <c r="AB252" i="2"/>
  <c r="M253" i="2"/>
  <c r="AD253" i="2"/>
  <c r="N254" i="2"/>
  <c r="AF254" i="2"/>
  <c r="E257" i="2"/>
  <c r="X257" i="2"/>
  <c r="N262" i="2"/>
  <c r="AG262" i="2"/>
  <c r="E264" i="2"/>
  <c r="AF264" i="2"/>
  <c r="Q269" i="2"/>
  <c r="H270" i="2"/>
  <c r="AD270" i="2"/>
  <c r="AD240" i="2"/>
  <c r="R240" i="2"/>
  <c r="F240" i="2"/>
  <c r="X240" i="2"/>
  <c r="K240" i="2"/>
  <c r="AB240" i="2"/>
  <c r="O240" i="2"/>
  <c r="S240" i="2"/>
  <c r="Q244" i="2"/>
  <c r="N246" i="2"/>
  <c r="AC246" i="2"/>
  <c r="X250" i="2"/>
  <c r="L250" i="2"/>
  <c r="AF250" i="2"/>
  <c r="S250" i="2"/>
  <c r="F250" i="2"/>
  <c r="W250" i="2"/>
  <c r="J250" i="2"/>
  <c r="AG250" i="2"/>
  <c r="T250" i="2"/>
  <c r="G250" i="2"/>
  <c r="U250" i="2"/>
  <c r="M252" i="2"/>
  <c r="AC252" i="2"/>
  <c r="N253" i="2"/>
  <c r="AE253" i="2"/>
  <c r="O254" i="2"/>
  <c r="AG254" i="2"/>
  <c r="O262" i="2"/>
  <c r="R269" i="2"/>
  <c r="AD284" i="2"/>
  <c r="R284" i="2"/>
  <c r="F284" i="2"/>
  <c r="W284" i="2"/>
  <c r="J284" i="2"/>
  <c r="Z284" i="2"/>
  <c r="L284" i="2"/>
  <c r="AA284" i="2"/>
  <c r="K284" i="2"/>
  <c r="Y284" i="2"/>
  <c r="I284" i="2"/>
  <c r="V284" i="2"/>
  <c r="G284" i="2"/>
  <c r="U284" i="2"/>
  <c r="E284" i="2"/>
  <c r="AG284" i="2"/>
  <c r="Q284" i="2"/>
  <c r="AF284" i="2"/>
  <c r="P284" i="2"/>
  <c r="AE284" i="2"/>
  <c r="O284" i="2"/>
  <c r="AC284" i="2"/>
  <c r="N284" i="2"/>
  <c r="AB284" i="2"/>
  <c r="M284" i="2"/>
  <c r="AD244" i="2"/>
  <c r="R244" i="2"/>
  <c r="F244" i="2"/>
  <c r="V244" i="2"/>
  <c r="I244" i="2"/>
  <c r="Z244" i="2"/>
  <c r="M244" i="2"/>
  <c r="S244" i="2"/>
  <c r="O246" i="2"/>
  <c r="AD246" i="2"/>
  <c r="AG249" i="2"/>
  <c r="U249" i="2"/>
  <c r="I249" i="2"/>
  <c r="Z249" i="2"/>
  <c r="M249" i="2"/>
  <c r="AD249" i="2"/>
  <c r="Q249" i="2"/>
  <c r="AA249" i="2"/>
  <c r="N249" i="2"/>
  <c r="T249" i="2"/>
  <c r="P253" i="2"/>
  <c r="AF253" i="2"/>
  <c r="P254" i="2"/>
  <c r="P262" i="2"/>
  <c r="AD208" i="2"/>
  <c r="R208" i="2"/>
  <c r="F208" i="2"/>
  <c r="AB208" i="2"/>
  <c r="O208" i="2"/>
  <c r="Q208" i="2"/>
  <c r="AF208" i="2"/>
  <c r="AG213" i="2"/>
  <c r="U213" i="2"/>
  <c r="I213" i="2"/>
  <c r="AF213" i="2"/>
  <c r="S213" i="2"/>
  <c r="F213" i="2"/>
  <c r="Q213" i="2"/>
  <c r="AE213" i="2"/>
  <c r="AD224" i="2"/>
  <c r="R224" i="2"/>
  <c r="F224" i="2"/>
  <c r="AG224" i="2"/>
  <c r="T224" i="2"/>
  <c r="G224" i="2"/>
  <c r="X224" i="2"/>
  <c r="K224" i="2"/>
  <c r="S224" i="2"/>
  <c r="AG229" i="2"/>
  <c r="U229" i="2"/>
  <c r="I229" i="2"/>
  <c r="X229" i="2"/>
  <c r="K229" i="2"/>
  <c r="AB229" i="2"/>
  <c r="O229" i="2"/>
  <c r="R229" i="2"/>
  <c r="AG233" i="2"/>
  <c r="U233" i="2"/>
  <c r="I233" i="2"/>
  <c r="V233" i="2"/>
  <c r="H233" i="2"/>
  <c r="Z233" i="2"/>
  <c r="M233" i="2"/>
  <c r="R233" i="2"/>
  <c r="AG237" i="2"/>
  <c r="U237" i="2"/>
  <c r="I237" i="2"/>
  <c r="AF237" i="2"/>
  <c r="S237" i="2"/>
  <c r="F237" i="2"/>
  <c r="X237" i="2"/>
  <c r="K237" i="2"/>
  <c r="R237" i="2"/>
  <c r="E240" i="2"/>
  <c r="U240" i="2"/>
  <c r="AG241" i="2"/>
  <c r="U241" i="2"/>
  <c r="I241" i="2"/>
  <c r="AD241" i="2"/>
  <c r="Q241" i="2"/>
  <c r="V241" i="2"/>
  <c r="H241" i="2"/>
  <c r="S241" i="2"/>
  <c r="T244" i="2"/>
  <c r="P246" i="2"/>
  <c r="AD248" i="2"/>
  <c r="R248" i="2"/>
  <c r="F248" i="2"/>
  <c r="AG248" i="2"/>
  <c r="T248" i="2"/>
  <c r="G248" i="2"/>
  <c r="X248" i="2"/>
  <c r="K248" i="2"/>
  <c r="U248" i="2"/>
  <c r="H248" i="2"/>
  <c r="V248" i="2"/>
  <c r="E249" i="2"/>
  <c r="V249" i="2"/>
  <c r="E250" i="2"/>
  <c r="Y250" i="2"/>
  <c r="Q262" i="2"/>
  <c r="H284" i="2"/>
  <c r="Y288" i="2"/>
  <c r="AE288" i="2"/>
  <c r="R288" i="2"/>
  <c r="F288" i="2"/>
  <c r="AA288" i="2"/>
  <c r="M288" i="2"/>
  <c r="U288" i="2"/>
  <c r="H288" i="2"/>
  <c r="X288" i="2"/>
  <c r="I288" i="2"/>
  <c r="T288" i="2"/>
  <c r="AG288" i="2"/>
  <c r="N288" i="2"/>
  <c r="AF288" i="2"/>
  <c r="L288" i="2"/>
  <c r="AC288" i="2"/>
  <c r="J288" i="2"/>
  <c r="AB288" i="2"/>
  <c r="G288" i="2"/>
  <c r="Z288" i="2"/>
  <c r="E288" i="2"/>
  <c r="V288" i="2"/>
  <c r="S288" i="2"/>
  <c r="Q288" i="2"/>
  <c r="P288" i="2"/>
  <c r="O288" i="2"/>
  <c r="Y296" i="2"/>
  <c r="M296" i="2"/>
  <c r="AA296" i="2"/>
  <c r="N296" i="2"/>
  <c r="AC296" i="2"/>
  <c r="O296" i="2"/>
  <c r="V296" i="2"/>
  <c r="H296" i="2"/>
  <c r="AF296" i="2"/>
  <c r="P296" i="2"/>
  <c r="AB296" i="2"/>
  <c r="J296" i="2"/>
  <c r="AG296" i="2"/>
  <c r="K296" i="2"/>
  <c r="AE296" i="2"/>
  <c r="I296" i="2"/>
  <c r="AD296" i="2"/>
  <c r="G296" i="2"/>
  <c r="Z296" i="2"/>
  <c r="F296" i="2"/>
  <c r="X296" i="2"/>
  <c r="E296" i="2"/>
  <c r="W296" i="2"/>
  <c r="T296" i="2"/>
  <c r="S296" i="2"/>
  <c r="R296" i="2"/>
  <c r="Q296" i="2"/>
  <c r="L296" i="2"/>
  <c r="R262" i="2"/>
  <c r="X246" i="2"/>
  <c r="L246" i="2"/>
  <c r="U246" i="2"/>
  <c r="H246" i="2"/>
  <c r="Z246" i="2"/>
  <c r="M246" i="2"/>
  <c r="R246" i="2"/>
  <c r="AG246" i="2"/>
  <c r="AG253" i="2"/>
  <c r="U253" i="2"/>
  <c r="I253" i="2"/>
  <c r="X253" i="2"/>
  <c r="K253" i="2"/>
  <c r="AB253" i="2"/>
  <c r="O253" i="2"/>
  <c r="Y253" i="2"/>
  <c r="L253" i="2"/>
  <c r="S253" i="2"/>
  <c r="X254" i="2"/>
  <c r="L254" i="2"/>
  <c r="AD254" i="2"/>
  <c r="Q254" i="2"/>
  <c r="U254" i="2"/>
  <c r="H254" i="2"/>
  <c r="AE254" i="2"/>
  <c r="R254" i="2"/>
  <c r="E254" i="2"/>
  <c r="V254" i="2"/>
  <c r="S262" i="2"/>
  <c r="AG269" i="2"/>
  <c r="U269" i="2"/>
  <c r="I269" i="2"/>
  <c r="Y269" i="2"/>
  <c r="L269" i="2"/>
  <c r="X269" i="2"/>
  <c r="J269" i="2"/>
  <c r="W269" i="2"/>
  <c r="H269" i="2"/>
  <c r="AC269" i="2"/>
  <c r="O269" i="2"/>
  <c r="AB269" i="2"/>
  <c r="N269" i="2"/>
  <c r="Z269" i="2"/>
  <c r="K269" i="2"/>
  <c r="AA269" i="2"/>
  <c r="Y262" i="2"/>
  <c r="J244" i="2"/>
  <c r="Y244" i="2"/>
  <c r="E246" i="2"/>
  <c r="T246" i="2"/>
  <c r="J249" i="2"/>
  <c r="AB249" i="2"/>
  <c r="AD252" i="2"/>
  <c r="R252" i="2"/>
  <c r="F252" i="2"/>
  <c r="AE252" i="2"/>
  <c r="Q252" i="2"/>
  <c r="V252" i="2"/>
  <c r="I252" i="2"/>
  <c r="AF252" i="2"/>
  <c r="S252" i="2"/>
  <c r="E252" i="2"/>
  <c r="W252" i="2"/>
  <c r="E253" i="2"/>
  <c r="V253" i="2"/>
  <c r="G254" i="2"/>
  <c r="Y254" i="2"/>
  <c r="E269" i="2"/>
  <c r="AE269" i="2"/>
  <c r="X262" i="2"/>
  <c r="L262" i="2"/>
  <c r="V262" i="2"/>
  <c r="I262" i="2"/>
  <c r="U262" i="2"/>
  <c r="G262" i="2"/>
  <c r="T262" i="2"/>
  <c r="F262" i="2"/>
  <c r="AA262" i="2"/>
  <c r="M262" i="2"/>
  <c r="Z262" i="2"/>
  <c r="K262" i="2"/>
  <c r="W262" i="2"/>
  <c r="H262" i="2"/>
  <c r="AC262" i="2"/>
  <c r="AD204" i="2"/>
  <c r="R204" i="2"/>
  <c r="F204" i="2"/>
  <c r="AE204" i="2"/>
  <c r="Q204" i="2"/>
  <c r="S204" i="2"/>
  <c r="AG204" i="2"/>
  <c r="J208" i="2"/>
  <c r="X208" i="2"/>
  <c r="K213" i="2"/>
  <c r="Y213" i="2"/>
  <c r="L224" i="2"/>
  <c r="AA224" i="2"/>
  <c r="J229" i="2"/>
  <c r="Z229" i="2"/>
  <c r="K233" i="2"/>
  <c r="AA233" i="2"/>
  <c r="L237" i="2"/>
  <c r="AA237" i="2"/>
  <c r="M240" i="2"/>
  <c r="AC240" i="2"/>
  <c r="L241" i="2"/>
  <c r="AA241" i="2"/>
  <c r="L244" i="2"/>
  <c r="AB244" i="2"/>
  <c r="G246" i="2"/>
  <c r="W246" i="2"/>
  <c r="M248" i="2"/>
  <c r="AC248" i="2"/>
  <c r="L249" i="2"/>
  <c r="AE249" i="2"/>
  <c r="O250" i="2"/>
  <c r="AE250" i="2"/>
  <c r="H252" i="2"/>
  <c r="Y252" i="2"/>
  <c r="G253" i="2"/>
  <c r="Z253" i="2"/>
  <c r="J254" i="2"/>
  <c r="AA254" i="2"/>
  <c r="R257" i="2"/>
  <c r="AD262" i="2"/>
  <c r="AB264" i="2"/>
  <c r="G269" i="2"/>
  <c r="AA270" i="2"/>
  <c r="AD256" i="2"/>
  <c r="R256" i="2"/>
  <c r="F256" i="2"/>
  <c r="P256" i="2"/>
  <c r="AC256" i="2"/>
  <c r="X258" i="2"/>
  <c r="L258" i="2"/>
  <c r="Y258" i="2"/>
  <c r="K258" i="2"/>
  <c r="Q258" i="2"/>
  <c r="AE258" i="2"/>
  <c r="O268" i="2"/>
  <c r="AG273" i="2"/>
  <c r="U273" i="2"/>
  <c r="I273" i="2"/>
  <c r="W273" i="2"/>
  <c r="J273" i="2"/>
  <c r="Q273" i="2"/>
  <c r="AE273" i="2"/>
  <c r="L276" i="2"/>
  <c r="Z276" i="2"/>
  <c r="H277" i="2"/>
  <c r="W277" i="2"/>
  <c r="X278" i="2"/>
  <c r="L278" i="2"/>
  <c r="AA278" i="2"/>
  <c r="N278" i="2"/>
  <c r="Q278" i="2"/>
  <c r="AE278" i="2"/>
  <c r="AD280" i="2"/>
  <c r="R280" i="2"/>
  <c r="F280" i="2"/>
  <c r="Y280" i="2"/>
  <c r="L280" i="2"/>
  <c r="Q280" i="2"/>
  <c r="AF280" i="2"/>
  <c r="M281" i="2"/>
  <c r="AA281" i="2"/>
  <c r="H282" i="2"/>
  <c r="V282" i="2"/>
  <c r="V291" i="2"/>
  <c r="J291" i="2"/>
  <c r="X291" i="2"/>
  <c r="K291" i="2"/>
  <c r="AB291" i="2"/>
  <c r="N291" i="2"/>
  <c r="U291" i="2"/>
  <c r="G291" i="2"/>
  <c r="Z291" i="2"/>
  <c r="H291" i="2"/>
  <c r="T291" i="2"/>
  <c r="Y291" i="2"/>
  <c r="I295" i="2"/>
  <c r="AB295" i="2"/>
  <c r="M303" i="2"/>
  <c r="L305" i="2"/>
  <c r="L311" i="2"/>
  <c r="L314" i="2"/>
  <c r="N317" i="2"/>
  <c r="AB321" i="2"/>
  <c r="P321" i="2"/>
  <c r="AG321" i="2"/>
  <c r="T321" i="2"/>
  <c r="G321" i="2"/>
  <c r="AD321" i="2"/>
  <c r="O321" i="2"/>
  <c r="W321" i="2"/>
  <c r="H321" i="2"/>
  <c r="Z321" i="2"/>
  <c r="J321" i="2"/>
  <c r="S321" i="2"/>
  <c r="AA321" i="2"/>
  <c r="F321" i="2"/>
  <c r="Y321" i="2"/>
  <c r="E321" i="2"/>
  <c r="U321" i="2"/>
  <c r="N321" i="2"/>
  <c r="AE321" i="2"/>
  <c r="K321" i="2"/>
  <c r="Y324" i="2"/>
  <c r="M324" i="2"/>
  <c r="X324" i="2"/>
  <c r="K324" i="2"/>
  <c r="AD324" i="2"/>
  <c r="P324" i="2"/>
  <c r="AE324" i="2"/>
  <c r="O324" i="2"/>
  <c r="W324" i="2"/>
  <c r="G324" i="2"/>
  <c r="U324" i="2"/>
  <c r="E324" i="2"/>
  <c r="R324" i="2"/>
  <c r="L324" i="2"/>
  <c r="AG324" i="2"/>
  <c r="J324" i="2"/>
  <c r="AC324" i="2"/>
  <c r="H324" i="2"/>
  <c r="AB324" i="2"/>
  <c r="F324" i="2"/>
  <c r="V324" i="2"/>
  <c r="S324" i="2"/>
  <c r="Q324" i="2"/>
  <c r="J277" i="2"/>
  <c r="X277" i="2"/>
  <c r="K295" i="2"/>
  <c r="AE295" i="2"/>
  <c r="N303" i="2"/>
  <c r="Y304" i="2"/>
  <c r="M304" i="2"/>
  <c r="V304" i="2"/>
  <c r="I304" i="2"/>
  <c r="AG304" i="2"/>
  <c r="S304" i="2"/>
  <c r="E304" i="2"/>
  <c r="AB304" i="2"/>
  <c r="N304" i="2"/>
  <c r="X304" i="2"/>
  <c r="G304" i="2"/>
  <c r="AF304" i="2"/>
  <c r="P304" i="2"/>
  <c r="AC304" i="2"/>
  <c r="K304" i="2"/>
  <c r="Z304" i="2"/>
  <c r="P311" i="2"/>
  <c r="O314" i="2"/>
  <c r="Q317" i="2"/>
  <c r="Y328" i="2"/>
  <c r="M328" i="2"/>
  <c r="V328" i="2"/>
  <c r="I328" i="2"/>
  <c r="Z328" i="2"/>
  <c r="K328" i="2"/>
  <c r="T328" i="2"/>
  <c r="E328" i="2"/>
  <c r="AA328" i="2"/>
  <c r="H328" i="2"/>
  <c r="W328" i="2"/>
  <c r="F328" i="2"/>
  <c r="R328" i="2"/>
  <c r="AD328" i="2"/>
  <c r="G328" i="2"/>
  <c r="AC328" i="2"/>
  <c r="X328" i="2"/>
  <c r="U328" i="2"/>
  <c r="P328" i="2"/>
  <c r="O328" i="2"/>
  <c r="AG328" i="2"/>
  <c r="N328" i="2"/>
  <c r="AF328" i="2"/>
  <c r="L328" i="2"/>
  <c r="AD268" i="2"/>
  <c r="R268" i="2"/>
  <c r="F268" i="2"/>
  <c r="AF268" i="2"/>
  <c r="S268" i="2"/>
  <c r="E268" i="2"/>
  <c r="Q268" i="2"/>
  <c r="AG268" i="2"/>
  <c r="O276" i="2"/>
  <c r="AC276" i="2"/>
  <c r="K277" i="2"/>
  <c r="Y277" i="2"/>
  <c r="O281" i="2"/>
  <c r="AC281" i="2"/>
  <c r="J282" i="2"/>
  <c r="AA282" i="2"/>
  <c r="F291" i="2"/>
  <c r="AC291" i="2"/>
  <c r="AB293" i="2"/>
  <c r="P293" i="2"/>
  <c r="V293" i="2"/>
  <c r="I293" i="2"/>
  <c r="AE293" i="2"/>
  <c r="Q293" i="2"/>
  <c r="Y293" i="2"/>
  <c r="K293" i="2"/>
  <c r="R293" i="2"/>
  <c r="AD293" i="2"/>
  <c r="M293" i="2"/>
  <c r="W293" i="2"/>
  <c r="L295" i="2"/>
  <c r="AF295" i="2"/>
  <c r="N299" i="2"/>
  <c r="O301" i="2"/>
  <c r="AE302" i="2"/>
  <c r="S302" i="2"/>
  <c r="G302" i="2"/>
  <c r="X302" i="2"/>
  <c r="K302" i="2"/>
  <c r="AC302" i="2"/>
  <c r="O302" i="2"/>
  <c r="W302" i="2"/>
  <c r="I302" i="2"/>
  <c r="V302" i="2"/>
  <c r="E302" i="2"/>
  <c r="AF302" i="2"/>
  <c r="N302" i="2"/>
  <c r="AA302" i="2"/>
  <c r="J302" i="2"/>
  <c r="Z302" i="2"/>
  <c r="P303" i="2"/>
  <c r="AA304" i="2"/>
  <c r="R305" i="2"/>
  <c r="O308" i="2"/>
  <c r="Q311" i="2"/>
  <c r="Y312" i="2"/>
  <c r="M312" i="2"/>
  <c r="AE312" i="2"/>
  <c r="R312" i="2"/>
  <c r="E312" i="2"/>
  <c r="V312" i="2"/>
  <c r="H312" i="2"/>
  <c r="AD312" i="2"/>
  <c r="P312" i="2"/>
  <c r="U312" i="2"/>
  <c r="AC312" i="2"/>
  <c r="L312" i="2"/>
  <c r="Z312" i="2"/>
  <c r="I312" i="2"/>
  <c r="AA312" i="2"/>
  <c r="P314" i="2"/>
  <c r="U317" i="2"/>
  <c r="L321" i="2"/>
  <c r="I324" i="2"/>
  <c r="J328" i="2"/>
  <c r="AA329" i="2"/>
  <c r="G256" i="2"/>
  <c r="T256" i="2"/>
  <c r="AG256" i="2"/>
  <c r="F258" i="2"/>
  <c r="T258" i="2"/>
  <c r="X266" i="2"/>
  <c r="L266" i="2"/>
  <c r="AG266" i="2"/>
  <c r="T266" i="2"/>
  <c r="G266" i="2"/>
  <c r="Q266" i="2"/>
  <c r="AE266" i="2"/>
  <c r="T268" i="2"/>
  <c r="F273" i="2"/>
  <c r="T273" i="2"/>
  <c r="P276" i="2"/>
  <c r="L277" i="2"/>
  <c r="Z277" i="2"/>
  <c r="F278" i="2"/>
  <c r="T278" i="2"/>
  <c r="G280" i="2"/>
  <c r="U280" i="2"/>
  <c r="P281" i="2"/>
  <c r="M282" i="2"/>
  <c r="AB282" i="2"/>
  <c r="I291" i="2"/>
  <c r="AD291" i="2"/>
  <c r="E293" i="2"/>
  <c r="X293" i="2"/>
  <c r="N295" i="2"/>
  <c r="AE298" i="2"/>
  <c r="S298" i="2"/>
  <c r="G298" i="2"/>
  <c r="Z298" i="2"/>
  <c r="M298" i="2"/>
  <c r="T298" i="2"/>
  <c r="E298" i="2"/>
  <c r="AB298" i="2"/>
  <c r="N298" i="2"/>
  <c r="V298" i="2"/>
  <c r="AD298" i="2"/>
  <c r="L298" i="2"/>
  <c r="Y298" i="2"/>
  <c r="I298" i="2"/>
  <c r="AA298" i="2"/>
  <c r="Y300" i="2"/>
  <c r="M300" i="2"/>
  <c r="X300" i="2"/>
  <c r="K300" i="2"/>
  <c r="W300" i="2"/>
  <c r="I300" i="2"/>
  <c r="AF300" i="2"/>
  <c r="R300" i="2"/>
  <c r="U300" i="2"/>
  <c r="E300" i="2"/>
  <c r="AD300" i="2"/>
  <c r="N300" i="2"/>
  <c r="AA300" i="2"/>
  <c r="H300" i="2"/>
  <c r="AB300" i="2"/>
  <c r="AB302" i="2"/>
  <c r="R303" i="2"/>
  <c r="F304" i="2"/>
  <c r="AD304" i="2"/>
  <c r="S305" i="2"/>
  <c r="V307" i="2"/>
  <c r="J307" i="2"/>
  <c r="AB307" i="2"/>
  <c r="O307" i="2"/>
  <c r="AF307" i="2"/>
  <c r="R307" i="2"/>
  <c r="Z307" i="2"/>
  <c r="L307" i="2"/>
  <c r="U307" i="2"/>
  <c r="E307" i="2"/>
  <c r="AD307" i="2"/>
  <c r="M307" i="2"/>
  <c r="Y307" i="2"/>
  <c r="H307" i="2"/>
  <c r="AA307" i="2"/>
  <c r="AB309" i="2"/>
  <c r="P309" i="2"/>
  <c r="Z309" i="2"/>
  <c r="M309" i="2"/>
  <c r="V309" i="2"/>
  <c r="H309" i="2"/>
  <c r="AE309" i="2"/>
  <c r="Q309" i="2"/>
  <c r="U309" i="2"/>
  <c r="E309" i="2"/>
  <c r="AD309" i="2"/>
  <c r="L309" i="2"/>
  <c r="Y309" i="2"/>
  <c r="I309" i="2"/>
  <c r="AA309" i="2"/>
  <c r="R311" i="2"/>
  <c r="F312" i="2"/>
  <c r="AB312" i="2"/>
  <c r="R314" i="2"/>
  <c r="Y317" i="2"/>
  <c r="M321" i="2"/>
  <c r="N324" i="2"/>
  <c r="Q328" i="2"/>
  <c r="AD276" i="2"/>
  <c r="R276" i="2"/>
  <c r="F276" i="2"/>
  <c r="AA276" i="2"/>
  <c r="N276" i="2"/>
  <c r="Q276" i="2"/>
  <c r="AF276" i="2"/>
  <c r="M277" i="2"/>
  <c r="AA277" i="2"/>
  <c r="AG281" i="2"/>
  <c r="U281" i="2"/>
  <c r="I281" i="2"/>
  <c r="AE281" i="2"/>
  <c r="R281" i="2"/>
  <c r="E281" i="2"/>
  <c r="Q281" i="2"/>
  <c r="AF281" i="2"/>
  <c r="N282" i="2"/>
  <c r="P295" i="2"/>
  <c r="T303" i="2"/>
  <c r="H304" i="2"/>
  <c r="AE304" i="2"/>
  <c r="T314" i="2"/>
  <c r="S328" i="2"/>
  <c r="Y348" i="2"/>
  <c r="M348" i="2"/>
  <c r="X348" i="2"/>
  <c r="K348" i="2"/>
  <c r="AA348" i="2"/>
  <c r="L348" i="2"/>
  <c r="Z348" i="2"/>
  <c r="J348" i="2"/>
  <c r="AG348" i="2"/>
  <c r="Q348" i="2"/>
  <c r="AE348" i="2"/>
  <c r="N348" i="2"/>
  <c r="AC348" i="2"/>
  <c r="H348" i="2"/>
  <c r="AB348" i="2"/>
  <c r="G348" i="2"/>
  <c r="V348" i="2"/>
  <c r="E348" i="2"/>
  <c r="R348" i="2"/>
  <c r="P348" i="2"/>
  <c r="O348" i="2"/>
  <c r="I348" i="2"/>
  <c r="F348" i="2"/>
  <c r="AD348" i="2"/>
  <c r="W348" i="2"/>
  <c r="U348" i="2"/>
  <c r="T348" i="2"/>
  <c r="S348" i="2"/>
  <c r="X314" i="2"/>
  <c r="AE330" i="2"/>
  <c r="S330" i="2"/>
  <c r="G330" i="2"/>
  <c r="V330" i="2"/>
  <c r="I330" i="2"/>
  <c r="AC330" i="2"/>
  <c r="O330" i="2"/>
  <c r="AD330" i="2"/>
  <c r="N330" i="2"/>
  <c r="X330" i="2"/>
  <c r="F330" i="2"/>
  <c r="U330" i="2"/>
  <c r="Q330" i="2"/>
  <c r="Y330" i="2"/>
  <c r="W330" i="2"/>
  <c r="R330" i="2"/>
  <c r="P330" i="2"/>
  <c r="AG330" i="2"/>
  <c r="K330" i="2"/>
  <c r="AF330" i="2"/>
  <c r="J330" i="2"/>
  <c r="AB330" i="2"/>
  <c r="H330" i="2"/>
  <c r="AA330" i="2"/>
  <c r="E330" i="2"/>
  <c r="AF348" i="2"/>
  <c r="P277" i="2"/>
  <c r="X282" i="2"/>
  <c r="L282" i="2"/>
  <c r="Y282" i="2"/>
  <c r="K282" i="2"/>
  <c r="W282" i="2"/>
  <c r="Q282" i="2"/>
  <c r="AF282" i="2"/>
  <c r="O304" i="2"/>
  <c r="AB305" i="2"/>
  <c r="P305" i="2"/>
  <c r="AC305" i="2"/>
  <c r="O305" i="2"/>
  <c r="AA305" i="2"/>
  <c r="M305" i="2"/>
  <c r="V305" i="2"/>
  <c r="H305" i="2"/>
  <c r="X305" i="2"/>
  <c r="G305" i="2"/>
  <c r="AG305" i="2"/>
  <c r="Q305" i="2"/>
  <c r="AD305" i="2"/>
  <c r="K305" i="2"/>
  <c r="Y305" i="2"/>
  <c r="V311" i="2"/>
  <c r="J311" i="2"/>
  <c r="Z311" i="2"/>
  <c r="M311" i="2"/>
  <c r="AB311" i="2"/>
  <c r="N311" i="2"/>
  <c r="U311" i="2"/>
  <c r="G311" i="2"/>
  <c r="W311" i="2"/>
  <c r="E311" i="2"/>
  <c r="AE311" i="2"/>
  <c r="O311" i="2"/>
  <c r="AA311" i="2"/>
  <c r="I311" i="2"/>
  <c r="Y311" i="2"/>
  <c r="AB317" i="2"/>
  <c r="P317" i="2"/>
  <c r="V317" i="2"/>
  <c r="I317" i="2"/>
  <c r="W317" i="2"/>
  <c r="H317" i="2"/>
  <c r="T317" i="2"/>
  <c r="E317" i="2"/>
  <c r="AF317" i="2"/>
  <c r="O317" i="2"/>
  <c r="Z317" i="2"/>
  <c r="J317" i="2"/>
  <c r="S317" i="2"/>
  <c r="R317" i="2"/>
  <c r="AC317" i="2"/>
  <c r="G317" i="2"/>
  <c r="X317" i="2"/>
  <c r="AG317" i="2"/>
  <c r="L330" i="2"/>
  <c r="AB337" i="2"/>
  <c r="P337" i="2"/>
  <c r="X337" i="2"/>
  <c r="K337" i="2"/>
  <c r="W337" i="2"/>
  <c r="I337" i="2"/>
  <c r="AD337" i="2"/>
  <c r="N337" i="2"/>
  <c r="Y337" i="2"/>
  <c r="G337" i="2"/>
  <c r="U337" i="2"/>
  <c r="E337" i="2"/>
  <c r="R337" i="2"/>
  <c r="M337" i="2"/>
  <c r="AG337" i="2"/>
  <c r="L337" i="2"/>
  <c r="AF337" i="2"/>
  <c r="J337" i="2"/>
  <c r="AE337" i="2"/>
  <c r="H337" i="2"/>
  <c r="AC337" i="2"/>
  <c r="F337" i="2"/>
  <c r="V337" i="2"/>
  <c r="T337" i="2"/>
  <c r="S337" i="2"/>
  <c r="Q337" i="2"/>
  <c r="Y344" i="2"/>
  <c r="M344" i="2"/>
  <c r="AA344" i="2"/>
  <c r="N344" i="2"/>
  <c r="AD344" i="2"/>
  <c r="P344" i="2"/>
  <c r="T344" i="2"/>
  <c r="E344" i="2"/>
  <c r="AC344" i="2"/>
  <c r="K344" i="2"/>
  <c r="Z344" i="2"/>
  <c r="I344" i="2"/>
  <c r="X344" i="2"/>
  <c r="H344" i="2"/>
  <c r="V344" i="2"/>
  <c r="F344" i="2"/>
  <c r="Q344" i="2"/>
  <c r="O344" i="2"/>
  <c r="L344" i="2"/>
  <c r="J344" i="2"/>
  <c r="AG344" i="2"/>
  <c r="G344" i="2"/>
  <c r="AF344" i="2"/>
  <c r="AB344" i="2"/>
  <c r="W344" i="2"/>
  <c r="U344" i="2"/>
  <c r="S344" i="2"/>
  <c r="R344" i="2"/>
  <c r="AG277" i="2"/>
  <c r="U277" i="2"/>
  <c r="I277" i="2"/>
  <c r="T277" i="2"/>
  <c r="G277" i="2"/>
  <c r="Q277" i="2"/>
  <c r="AE277" i="2"/>
  <c r="V295" i="2"/>
  <c r="J295" i="2"/>
  <c r="U295" i="2"/>
  <c r="H295" i="2"/>
  <c r="T295" i="2"/>
  <c r="F295" i="2"/>
  <c r="AC295" i="2"/>
  <c r="O295" i="2"/>
  <c r="AG295" i="2"/>
  <c r="Q295" i="2"/>
  <c r="AD295" i="2"/>
  <c r="M295" i="2"/>
  <c r="X295" i="2"/>
  <c r="V303" i="2"/>
  <c r="J303" i="2"/>
  <c r="AD303" i="2"/>
  <c r="Q303" i="2"/>
  <c r="Y303" i="2"/>
  <c r="K303" i="2"/>
  <c r="AG303" i="2"/>
  <c r="S303" i="2"/>
  <c r="E303" i="2"/>
  <c r="X303" i="2"/>
  <c r="G303" i="2"/>
  <c r="AF303" i="2"/>
  <c r="O303" i="2"/>
  <c r="AB303" i="2"/>
  <c r="L303" i="2"/>
  <c r="AA303" i="2"/>
  <c r="AE314" i="2"/>
  <c r="S314" i="2"/>
  <c r="G314" i="2"/>
  <c r="AD314" i="2"/>
  <c r="Q314" i="2"/>
  <c r="AA314" i="2"/>
  <c r="M314" i="2"/>
  <c r="V314" i="2"/>
  <c r="H314" i="2"/>
  <c r="W314" i="2"/>
  <c r="E314" i="2"/>
  <c r="AF314" i="2"/>
  <c r="N314" i="2"/>
  <c r="Z314" i="2"/>
  <c r="J314" i="2"/>
  <c r="AB314" i="2"/>
  <c r="R291" i="2"/>
  <c r="N293" i="2"/>
  <c r="Y295" i="2"/>
  <c r="V299" i="2"/>
  <c r="J299" i="2"/>
  <c r="AF299" i="2"/>
  <c r="S299" i="2"/>
  <c r="F299" i="2"/>
  <c r="AC299" i="2"/>
  <c r="O299" i="2"/>
  <c r="X299" i="2"/>
  <c r="I299" i="2"/>
  <c r="U299" i="2"/>
  <c r="AD299" i="2"/>
  <c r="M299" i="2"/>
  <c r="Z299" i="2"/>
  <c r="H299" i="2"/>
  <c r="AA299" i="2"/>
  <c r="AB301" i="2"/>
  <c r="P301" i="2"/>
  <c r="AE301" i="2"/>
  <c r="R301" i="2"/>
  <c r="E301" i="2"/>
  <c r="T301" i="2"/>
  <c r="F301" i="2"/>
  <c r="AA301" i="2"/>
  <c r="M301" i="2"/>
  <c r="W301" i="2"/>
  <c r="G301" i="2"/>
  <c r="AF301" i="2"/>
  <c r="N301" i="2"/>
  <c r="Z301" i="2"/>
  <c r="J301" i="2"/>
  <c r="AC301" i="2"/>
  <c r="F303" i="2"/>
  <c r="AC303" i="2"/>
  <c r="R304" i="2"/>
  <c r="F305" i="2"/>
  <c r="AE305" i="2"/>
  <c r="Y308" i="2"/>
  <c r="M308" i="2"/>
  <c r="AG308" i="2"/>
  <c r="T308" i="2"/>
  <c r="G308" i="2"/>
  <c r="AA308" i="2"/>
  <c r="L308" i="2"/>
  <c r="U308" i="2"/>
  <c r="F308" i="2"/>
  <c r="V308" i="2"/>
  <c r="AD308" i="2"/>
  <c r="N308" i="2"/>
  <c r="Z308" i="2"/>
  <c r="I308" i="2"/>
  <c r="AB308" i="2"/>
  <c r="F311" i="2"/>
  <c r="AD311" i="2"/>
  <c r="F314" i="2"/>
  <c r="AC314" i="2"/>
  <c r="K317" i="2"/>
  <c r="AF321" i="2"/>
  <c r="AB329" i="2"/>
  <c r="P329" i="2"/>
  <c r="AC329" i="2"/>
  <c r="O329" i="2"/>
  <c r="T329" i="2"/>
  <c r="F329" i="2"/>
  <c r="AG329" i="2"/>
  <c r="R329" i="2"/>
  <c r="X329" i="2"/>
  <c r="H329" i="2"/>
  <c r="V329" i="2"/>
  <c r="E329" i="2"/>
  <c r="Q329" i="2"/>
  <c r="M329" i="2"/>
  <c r="L329" i="2"/>
  <c r="AE329" i="2"/>
  <c r="J329" i="2"/>
  <c r="AD329" i="2"/>
  <c r="I329" i="2"/>
  <c r="Y329" i="2"/>
  <c r="W329" i="2"/>
  <c r="U329" i="2"/>
  <c r="S329" i="2"/>
  <c r="T330" i="2"/>
  <c r="Z337" i="2"/>
  <c r="M268" i="2"/>
  <c r="AA268" i="2"/>
  <c r="J276" i="2"/>
  <c r="X276" i="2"/>
  <c r="E277" i="2"/>
  <c r="S277" i="2"/>
  <c r="K281" i="2"/>
  <c r="Y281" i="2"/>
  <c r="F282" i="2"/>
  <c r="T282" i="2"/>
  <c r="S291" i="2"/>
  <c r="O293" i="2"/>
  <c r="E295" i="2"/>
  <c r="Z295" i="2"/>
  <c r="H303" i="2"/>
  <c r="AE303" i="2"/>
  <c r="T304" i="2"/>
  <c r="I305" i="2"/>
  <c r="AF305" i="2"/>
  <c r="H311" i="2"/>
  <c r="AF311" i="2"/>
  <c r="I314" i="2"/>
  <c r="AG314" i="2"/>
  <c r="L317" i="2"/>
  <c r="Z330" i="2"/>
  <c r="AA337" i="2"/>
  <c r="O256" i="2"/>
  <c r="AB256" i="2"/>
  <c r="P258" i="2"/>
  <c r="AD258" i="2"/>
  <c r="AD260" i="2"/>
  <c r="R260" i="2"/>
  <c r="F260" i="2"/>
  <c r="W260" i="2"/>
  <c r="J260" i="2"/>
  <c r="Q260" i="2"/>
  <c r="AF260" i="2"/>
  <c r="AG265" i="2"/>
  <c r="U265" i="2"/>
  <c r="I265" i="2"/>
  <c r="AA265" i="2"/>
  <c r="N265" i="2"/>
  <c r="Q265" i="2"/>
  <c r="AE265" i="2"/>
  <c r="M266" i="2"/>
  <c r="AA266" i="2"/>
  <c r="N268" i="2"/>
  <c r="AB268" i="2"/>
  <c r="P273" i="2"/>
  <c r="AD273" i="2"/>
  <c r="K276" i="2"/>
  <c r="Y276" i="2"/>
  <c r="F277" i="2"/>
  <c r="V277" i="2"/>
  <c r="P278" i="2"/>
  <c r="AD278" i="2"/>
  <c r="P280" i="2"/>
  <c r="AE280" i="2"/>
  <c r="L281" i="2"/>
  <c r="Z281" i="2"/>
  <c r="G282" i="2"/>
  <c r="U282" i="2"/>
  <c r="X286" i="2"/>
  <c r="L286" i="2"/>
  <c r="AB286" i="2"/>
  <c r="O286" i="2"/>
  <c r="V286" i="2"/>
  <c r="I286" i="2"/>
  <c r="T286" i="2"/>
  <c r="E286" i="2"/>
  <c r="AF286" i="2"/>
  <c r="Q286" i="2"/>
  <c r="U286" i="2"/>
  <c r="W291" i="2"/>
  <c r="S293" i="2"/>
  <c r="AE294" i="2"/>
  <c r="S294" i="2"/>
  <c r="G294" i="2"/>
  <c r="AB294" i="2"/>
  <c r="O294" i="2"/>
  <c r="Y294" i="2"/>
  <c r="K294" i="2"/>
  <c r="T294" i="2"/>
  <c r="E294" i="2"/>
  <c r="Q294" i="2"/>
  <c r="AD294" i="2"/>
  <c r="M294" i="2"/>
  <c r="W294" i="2"/>
  <c r="G295" i="2"/>
  <c r="AA295" i="2"/>
  <c r="R298" i="2"/>
  <c r="G299" i="2"/>
  <c r="AE299" i="2"/>
  <c r="S300" i="2"/>
  <c r="I301" i="2"/>
  <c r="AG301" i="2"/>
  <c r="T302" i="2"/>
  <c r="I303" i="2"/>
  <c r="U304" i="2"/>
  <c r="J305" i="2"/>
  <c r="S307" i="2"/>
  <c r="H308" i="2"/>
  <c r="AE308" i="2"/>
  <c r="S309" i="2"/>
  <c r="K311" i="2"/>
  <c r="AG311" i="2"/>
  <c r="T312" i="2"/>
  <c r="K314" i="2"/>
  <c r="M317" i="2"/>
  <c r="V319" i="2"/>
  <c r="J319" i="2"/>
  <c r="U319" i="2"/>
  <c r="H319" i="2"/>
  <c r="AA319" i="2"/>
  <c r="M319" i="2"/>
  <c r="AD319" i="2"/>
  <c r="O319" i="2"/>
  <c r="AB319" i="2"/>
  <c r="K319" i="2"/>
  <c r="T319" i="2"/>
  <c r="W319" i="2"/>
  <c r="S319" i="2"/>
  <c r="P319" i="2"/>
  <c r="AE319" i="2"/>
  <c r="I319" i="2"/>
  <c r="Y319" i="2"/>
  <c r="E319" i="2"/>
  <c r="K329" i="2"/>
  <c r="AB289" i="2"/>
  <c r="P289" i="2"/>
  <c r="X289" i="2"/>
  <c r="K289" i="2"/>
  <c r="V289" i="2"/>
  <c r="H289" i="2"/>
  <c r="AE289" i="2"/>
  <c r="Q289" i="2"/>
  <c r="T289" i="2"/>
  <c r="AB325" i="2"/>
  <c r="P325" i="2"/>
  <c r="AE325" i="2"/>
  <c r="R325" i="2"/>
  <c r="E325" i="2"/>
  <c r="Y325" i="2"/>
  <c r="K325" i="2"/>
  <c r="AC325" i="2"/>
  <c r="M325" i="2"/>
  <c r="X325" i="2"/>
  <c r="H325" i="2"/>
  <c r="V325" i="2"/>
  <c r="F325" i="2"/>
  <c r="S325" i="2"/>
  <c r="AA325" i="2"/>
  <c r="O326" i="2"/>
  <c r="N331" i="2"/>
  <c r="H336" i="2"/>
  <c r="AC336" i="2"/>
  <c r="AE338" i="2"/>
  <c r="S338" i="2"/>
  <c r="G338" i="2"/>
  <c r="AD338" i="2"/>
  <c r="Q338" i="2"/>
  <c r="T338" i="2"/>
  <c r="E338" i="2"/>
  <c r="AA338" i="2"/>
  <c r="L338" i="2"/>
  <c r="Y338" i="2"/>
  <c r="I338" i="2"/>
  <c r="W338" i="2"/>
  <c r="F338" i="2"/>
  <c r="R338" i="2"/>
  <c r="AB338" i="2"/>
  <c r="N339" i="2"/>
  <c r="M342" i="2"/>
  <c r="V343" i="2"/>
  <c r="J343" i="2"/>
  <c r="U343" i="2"/>
  <c r="H343" i="2"/>
  <c r="W343" i="2"/>
  <c r="G343" i="2"/>
  <c r="Z343" i="2"/>
  <c r="K343" i="2"/>
  <c r="AE343" i="2"/>
  <c r="O343" i="2"/>
  <c r="AC343" i="2"/>
  <c r="M343" i="2"/>
  <c r="AB343" i="2"/>
  <c r="L343" i="2"/>
  <c r="Y343" i="2"/>
  <c r="F343" i="2"/>
  <c r="AD343" i="2"/>
  <c r="J345" i="2"/>
  <c r="AC346" i="2"/>
  <c r="N349" i="2"/>
  <c r="E351" i="2"/>
  <c r="AG351" i="2"/>
  <c r="I362" i="2"/>
  <c r="V369" i="2"/>
  <c r="P326" i="2"/>
  <c r="V327" i="2"/>
  <c r="J327" i="2"/>
  <c r="AD327" i="2"/>
  <c r="Q327" i="2"/>
  <c r="AE327" i="2"/>
  <c r="P327" i="2"/>
  <c r="X327" i="2"/>
  <c r="H327" i="2"/>
  <c r="Z327" i="2"/>
  <c r="I327" i="2"/>
  <c r="W327" i="2"/>
  <c r="F327" i="2"/>
  <c r="S327" i="2"/>
  <c r="AA327" i="2"/>
  <c r="P331" i="2"/>
  <c r="P339" i="2"/>
  <c r="P342" i="2"/>
  <c r="S349" i="2"/>
  <c r="F351" i="2"/>
  <c r="V362" i="2"/>
  <c r="Q342" i="2"/>
  <c r="AE346" i="2"/>
  <c r="S346" i="2"/>
  <c r="G346" i="2"/>
  <c r="Z346" i="2"/>
  <c r="M346" i="2"/>
  <c r="V346" i="2"/>
  <c r="H346" i="2"/>
  <c r="U346" i="2"/>
  <c r="F346" i="2"/>
  <c r="Q346" i="2"/>
  <c r="AD346" i="2"/>
  <c r="L346" i="2"/>
  <c r="AB346" i="2"/>
  <c r="J346" i="2"/>
  <c r="AA346" i="2"/>
  <c r="I346" i="2"/>
  <c r="X346" i="2"/>
  <c r="AG346" i="2"/>
  <c r="T349" i="2"/>
  <c r="G351" i="2"/>
  <c r="W362" i="2"/>
  <c r="G327" i="2"/>
  <c r="AC327" i="2"/>
  <c r="AE334" i="2"/>
  <c r="S334" i="2"/>
  <c r="G334" i="2"/>
  <c r="AG334" i="2"/>
  <c r="T334" i="2"/>
  <c r="F334" i="2"/>
  <c r="X334" i="2"/>
  <c r="J334" i="2"/>
  <c r="U334" i="2"/>
  <c r="Z334" i="2"/>
  <c r="I334" i="2"/>
  <c r="W334" i="2"/>
  <c r="E334" i="2"/>
  <c r="Q334" i="2"/>
  <c r="AB334" i="2"/>
  <c r="K336" i="2"/>
  <c r="R342" i="2"/>
  <c r="O345" i="2"/>
  <c r="E346" i="2"/>
  <c r="W349" i="2"/>
  <c r="H351" i="2"/>
  <c r="Y356" i="2"/>
  <c r="M356" i="2"/>
  <c r="AG356" i="2"/>
  <c r="T356" i="2"/>
  <c r="G356" i="2"/>
  <c r="AD356" i="2"/>
  <c r="P356" i="2"/>
  <c r="AC356" i="2"/>
  <c r="O356" i="2"/>
  <c r="AB356" i="2"/>
  <c r="N356" i="2"/>
  <c r="AF356" i="2"/>
  <c r="K356" i="2"/>
  <c r="W356" i="2"/>
  <c r="U356" i="2"/>
  <c r="S356" i="2"/>
  <c r="R356" i="2"/>
  <c r="Q356" i="2"/>
  <c r="AE356" i="2"/>
  <c r="I356" i="2"/>
  <c r="V355" i="2"/>
  <c r="J355" i="2"/>
  <c r="AB355" i="2"/>
  <c r="O355" i="2"/>
  <c r="U355" i="2"/>
  <c r="G355" i="2"/>
  <c r="T355" i="2"/>
  <c r="F355" i="2"/>
  <c r="AG355" i="2"/>
  <c r="S355" i="2"/>
  <c r="E355" i="2"/>
  <c r="AD355" i="2"/>
  <c r="L355" i="2"/>
  <c r="R355" i="2"/>
  <c r="P355" i="2"/>
  <c r="N355" i="2"/>
  <c r="AF355" i="2"/>
  <c r="M355" i="2"/>
  <c r="AE355" i="2"/>
  <c r="K355" i="2"/>
  <c r="Z355" i="2"/>
  <c r="AE326" i="2"/>
  <c r="S326" i="2"/>
  <c r="G326" i="2"/>
  <c r="X326" i="2"/>
  <c r="K326" i="2"/>
  <c r="U326" i="2"/>
  <c r="F326" i="2"/>
  <c r="AA326" i="2"/>
  <c r="L326" i="2"/>
  <c r="Z326" i="2"/>
  <c r="I326" i="2"/>
  <c r="W326" i="2"/>
  <c r="E326" i="2"/>
  <c r="R326" i="2"/>
  <c r="AB326" i="2"/>
  <c r="V331" i="2"/>
  <c r="J331" i="2"/>
  <c r="AB331" i="2"/>
  <c r="O331" i="2"/>
  <c r="X331" i="2"/>
  <c r="I331" i="2"/>
  <c r="AA331" i="2"/>
  <c r="L331" i="2"/>
  <c r="W331" i="2"/>
  <c r="F331" i="2"/>
  <c r="T331" i="2"/>
  <c r="AG331" i="2"/>
  <c r="Q331" i="2"/>
  <c r="Z331" i="2"/>
  <c r="V339" i="2"/>
  <c r="J339" i="2"/>
  <c r="X339" i="2"/>
  <c r="K339" i="2"/>
  <c r="AC339" i="2"/>
  <c r="O339" i="2"/>
  <c r="Y339" i="2"/>
  <c r="H339" i="2"/>
  <c r="Z339" i="2"/>
  <c r="G339" i="2"/>
  <c r="U339" i="2"/>
  <c r="E339" i="2"/>
  <c r="R339" i="2"/>
  <c r="AA339" i="2"/>
  <c r="V342" i="2"/>
  <c r="O346" i="2"/>
  <c r="Z349" i="2"/>
  <c r="U351" i="2"/>
  <c r="I355" i="2"/>
  <c r="AC326" i="2"/>
  <c r="E331" i="2"/>
  <c r="AC331" i="2"/>
  <c r="AB339" i="2"/>
  <c r="P346" i="2"/>
  <c r="W351" i="2"/>
  <c r="Q355" i="2"/>
  <c r="AE342" i="2"/>
  <c r="S342" i="2"/>
  <c r="G342" i="2"/>
  <c r="AB342" i="2"/>
  <c r="O342" i="2"/>
  <c r="Z342" i="2"/>
  <c r="L342" i="2"/>
  <c r="AA342" i="2"/>
  <c r="K342" i="2"/>
  <c r="AF342" i="2"/>
  <c r="N342" i="2"/>
  <c r="AC342" i="2"/>
  <c r="J342" i="2"/>
  <c r="Y342" i="2"/>
  <c r="I342" i="2"/>
  <c r="W342" i="2"/>
  <c r="F342" i="2"/>
  <c r="AD342" i="2"/>
  <c r="AB349" i="2"/>
  <c r="P349" i="2"/>
  <c r="AE349" i="2"/>
  <c r="R349" i="2"/>
  <c r="E349" i="2"/>
  <c r="V349" i="2"/>
  <c r="H349" i="2"/>
  <c r="U349" i="2"/>
  <c r="G349" i="2"/>
  <c r="Q349" i="2"/>
  <c r="O349" i="2"/>
  <c r="AF349" i="2"/>
  <c r="M349" i="2"/>
  <c r="AD349" i="2"/>
  <c r="L349" i="2"/>
  <c r="AA349" i="2"/>
  <c r="J349" i="2"/>
  <c r="AG349" i="2"/>
  <c r="X351" i="2"/>
  <c r="W355" i="2"/>
  <c r="J326" i="2"/>
  <c r="AF326" i="2"/>
  <c r="R327" i="2"/>
  <c r="H331" i="2"/>
  <c r="AE331" i="2"/>
  <c r="I339" i="2"/>
  <c r="AE339" i="2"/>
  <c r="AG342" i="2"/>
  <c r="T346" i="2"/>
  <c r="F349" i="2"/>
  <c r="Y351" i="2"/>
  <c r="X355" i="2"/>
  <c r="M326" i="2"/>
  <c r="AG326" i="2"/>
  <c r="T327" i="2"/>
  <c r="K331" i="2"/>
  <c r="AF331" i="2"/>
  <c r="Y336" i="2"/>
  <c r="M336" i="2"/>
  <c r="AE336" i="2"/>
  <c r="R336" i="2"/>
  <c r="E336" i="2"/>
  <c r="AB336" i="2"/>
  <c r="N336" i="2"/>
  <c r="AF336" i="2"/>
  <c r="P336" i="2"/>
  <c r="W336" i="2"/>
  <c r="G336" i="2"/>
  <c r="U336" i="2"/>
  <c r="Q336" i="2"/>
  <c r="Z336" i="2"/>
  <c r="L339" i="2"/>
  <c r="AF339" i="2"/>
  <c r="E342" i="2"/>
  <c r="AB345" i="2"/>
  <c r="P345" i="2"/>
  <c r="AG345" i="2"/>
  <c r="T345" i="2"/>
  <c r="G345" i="2"/>
  <c r="Y345" i="2"/>
  <c r="K345" i="2"/>
  <c r="R345" i="2"/>
  <c r="AC345" i="2"/>
  <c r="L345" i="2"/>
  <c r="Z345" i="2"/>
  <c r="I345" i="2"/>
  <c r="X345" i="2"/>
  <c r="H345" i="2"/>
  <c r="V345" i="2"/>
  <c r="E345" i="2"/>
  <c r="AE345" i="2"/>
  <c r="W346" i="2"/>
  <c r="I349" i="2"/>
  <c r="Y355" i="2"/>
  <c r="W369" i="2"/>
  <c r="K369" i="2"/>
  <c r="AD369" i="2"/>
  <c r="Q369" i="2"/>
  <c r="U369" i="2"/>
  <c r="G369" i="2"/>
  <c r="T369" i="2"/>
  <c r="E369" i="2"/>
  <c r="AG369" i="2"/>
  <c r="P369" i="2"/>
  <c r="AF369" i="2"/>
  <c r="O369" i="2"/>
  <c r="AE369" i="2"/>
  <c r="N369" i="2"/>
  <c r="X369" i="2"/>
  <c r="F369" i="2"/>
  <c r="AA369" i="2"/>
  <c r="R369" i="2"/>
  <c r="M369" i="2"/>
  <c r="L369" i="2"/>
  <c r="J369" i="2"/>
  <c r="I369" i="2"/>
  <c r="H369" i="2"/>
  <c r="AB369" i="2"/>
  <c r="Z369" i="2"/>
  <c r="Y369" i="2"/>
  <c r="V351" i="2"/>
  <c r="J351" i="2"/>
  <c r="AD351" i="2"/>
  <c r="Q351" i="2"/>
  <c r="AB351" i="2"/>
  <c r="N351" i="2"/>
  <c r="AA351" i="2"/>
  <c r="M351" i="2"/>
  <c r="Z351" i="2"/>
  <c r="L351" i="2"/>
  <c r="S351" i="2"/>
  <c r="T351" i="2"/>
  <c r="P351" i="2"/>
  <c r="O351" i="2"/>
  <c r="AF351" i="2"/>
  <c r="I351" i="2"/>
  <c r="AE351" i="2"/>
  <c r="AA355" i="2"/>
  <c r="AE362" i="2"/>
  <c r="S362" i="2"/>
  <c r="G362" i="2"/>
  <c r="AD362" i="2"/>
  <c r="Q362" i="2"/>
  <c r="AF362" i="2"/>
  <c r="P362" i="2"/>
  <c r="AC362" i="2"/>
  <c r="O362" i="2"/>
  <c r="AB362" i="2"/>
  <c r="N362" i="2"/>
  <c r="M362" i="2"/>
  <c r="U362" i="2"/>
  <c r="T362" i="2"/>
  <c r="R362" i="2"/>
  <c r="L362" i="2"/>
  <c r="K362" i="2"/>
  <c r="AG362" i="2"/>
  <c r="J362" i="2"/>
  <c r="Z362" i="2"/>
  <c r="H362" i="2"/>
  <c r="Y362" i="2"/>
  <c r="F362" i="2"/>
  <c r="X362" i="2"/>
  <c r="E362" i="2"/>
  <c r="L360" i="2"/>
  <c r="AF360" i="2"/>
  <c r="AF368" i="2"/>
  <c r="T368" i="2"/>
  <c r="H368" i="2"/>
  <c r="X368" i="2"/>
  <c r="K368" i="2"/>
  <c r="Z368" i="2"/>
  <c r="L368" i="2"/>
  <c r="V368" i="2"/>
  <c r="F368" i="2"/>
  <c r="AG368" i="2"/>
  <c r="P368" i="2"/>
  <c r="AE368" i="2"/>
  <c r="O368" i="2"/>
  <c r="AD368" i="2"/>
  <c r="N368" i="2"/>
  <c r="U368" i="2"/>
  <c r="I368" i="2"/>
  <c r="AC368" i="2"/>
  <c r="Z390" i="2"/>
  <c r="N390" i="2"/>
  <c r="X390" i="2"/>
  <c r="K390" i="2"/>
  <c r="AG390" i="2"/>
  <c r="S390" i="2"/>
  <c r="E390" i="2"/>
  <c r="AD390" i="2"/>
  <c r="P390" i="2"/>
  <c r="R390" i="2"/>
  <c r="AB390" i="2"/>
  <c r="I390" i="2"/>
  <c r="AA390" i="2"/>
  <c r="H390" i="2"/>
  <c r="Y390" i="2"/>
  <c r="G390" i="2"/>
  <c r="W390" i="2"/>
  <c r="F390" i="2"/>
  <c r="V390" i="2"/>
  <c r="Q390" i="2"/>
  <c r="O390" i="2"/>
  <c r="AF390" i="2"/>
  <c r="M390" i="2"/>
  <c r="AE390" i="2"/>
  <c r="L390" i="2"/>
  <c r="J390" i="2"/>
  <c r="AE358" i="2"/>
  <c r="S358" i="2"/>
  <c r="G358" i="2"/>
  <c r="AG358" i="2"/>
  <c r="T358" i="2"/>
  <c r="F358" i="2"/>
  <c r="V358" i="2"/>
  <c r="H358" i="2"/>
  <c r="U358" i="2"/>
  <c r="E358" i="2"/>
  <c r="R358" i="2"/>
  <c r="X358" i="2"/>
  <c r="Z358" i="2"/>
  <c r="N360" i="2"/>
  <c r="AG360" i="2"/>
  <c r="E368" i="2"/>
  <c r="T390" i="2"/>
  <c r="O360" i="2"/>
  <c r="G368" i="2"/>
  <c r="Z374" i="2"/>
  <c r="N374" i="2"/>
  <c r="AG374" i="2"/>
  <c r="T374" i="2"/>
  <c r="G374" i="2"/>
  <c r="W374" i="2"/>
  <c r="I374" i="2"/>
  <c r="S374" i="2"/>
  <c r="AD374" i="2"/>
  <c r="M374" i="2"/>
  <c r="AC374" i="2"/>
  <c r="L374" i="2"/>
  <c r="AB374" i="2"/>
  <c r="K374" i="2"/>
  <c r="R374" i="2"/>
  <c r="X374" i="2"/>
  <c r="AE374" i="2"/>
  <c r="W381" i="2"/>
  <c r="K381" i="2"/>
  <c r="X381" i="2"/>
  <c r="J381" i="2"/>
  <c r="AG381" i="2"/>
  <c r="S381" i="2"/>
  <c r="E381" i="2"/>
  <c r="U381" i="2"/>
  <c r="F381" i="2"/>
  <c r="AF381" i="2"/>
  <c r="P381" i="2"/>
  <c r="AE381" i="2"/>
  <c r="O381" i="2"/>
  <c r="AD381" i="2"/>
  <c r="N381" i="2"/>
  <c r="V381" i="2"/>
  <c r="Q381" i="2"/>
  <c r="L381" i="2"/>
  <c r="AC381" i="2"/>
  <c r="G381" i="2"/>
  <c r="U390" i="2"/>
  <c r="AG261" i="2"/>
  <c r="U261" i="2"/>
  <c r="I261" i="2"/>
  <c r="P261" i="2"/>
  <c r="AC261" i="2"/>
  <c r="AD272" i="2"/>
  <c r="R272" i="2"/>
  <c r="F272" i="2"/>
  <c r="P272" i="2"/>
  <c r="AC272" i="2"/>
  <c r="X274" i="2"/>
  <c r="L274" i="2"/>
  <c r="P274" i="2"/>
  <c r="AC274" i="2"/>
  <c r="AG285" i="2"/>
  <c r="U285" i="2"/>
  <c r="I285" i="2"/>
  <c r="P285" i="2"/>
  <c r="AC285" i="2"/>
  <c r="L290" i="2"/>
  <c r="AB297" i="2"/>
  <c r="P297" i="2"/>
  <c r="AG297" i="2"/>
  <c r="T297" i="2"/>
  <c r="G297" i="2"/>
  <c r="R297" i="2"/>
  <c r="AF297" i="2"/>
  <c r="AE306" i="2"/>
  <c r="S306" i="2"/>
  <c r="G306" i="2"/>
  <c r="V306" i="2"/>
  <c r="I306" i="2"/>
  <c r="Q306" i="2"/>
  <c r="AF306" i="2"/>
  <c r="L310" i="2"/>
  <c r="L313" i="2"/>
  <c r="V315" i="2"/>
  <c r="J315" i="2"/>
  <c r="X315" i="2"/>
  <c r="K315" i="2"/>
  <c r="AD315" i="2"/>
  <c r="Q315" i="2"/>
  <c r="AF315" i="2"/>
  <c r="Y320" i="2"/>
  <c r="M320" i="2"/>
  <c r="AA320" i="2"/>
  <c r="N320" i="2"/>
  <c r="T320" i="2"/>
  <c r="F320" i="2"/>
  <c r="Z320" i="2"/>
  <c r="J320" i="2"/>
  <c r="S320" i="2"/>
  <c r="AE322" i="2"/>
  <c r="S322" i="2"/>
  <c r="G322" i="2"/>
  <c r="Z322" i="2"/>
  <c r="M322" i="2"/>
  <c r="Y322" i="2"/>
  <c r="K322" i="2"/>
  <c r="U322" i="2"/>
  <c r="E322" i="2"/>
  <c r="T322" i="2"/>
  <c r="AE354" i="2"/>
  <c r="S354" i="2"/>
  <c r="G354" i="2"/>
  <c r="V354" i="2"/>
  <c r="I354" i="2"/>
  <c r="AA354" i="2"/>
  <c r="M354" i="2"/>
  <c r="Z354" i="2"/>
  <c r="L354" i="2"/>
  <c r="Y354" i="2"/>
  <c r="K354" i="2"/>
  <c r="AB354" i="2"/>
  <c r="F354" i="2"/>
  <c r="W354" i="2"/>
  <c r="AB357" i="2"/>
  <c r="P357" i="2"/>
  <c r="Z357" i="2"/>
  <c r="M357" i="2"/>
  <c r="Y357" i="2"/>
  <c r="K357" i="2"/>
  <c r="X357" i="2"/>
  <c r="J357" i="2"/>
  <c r="W357" i="2"/>
  <c r="I357" i="2"/>
  <c r="R357" i="2"/>
  <c r="V357" i="2"/>
  <c r="K358" i="2"/>
  <c r="AC358" i="2"/>
  <c r="Q360" i="2"/>
  <c r="AB361" i="2"/>
  <c r="P361" i="2"/>
  <c r="X361" i="2"/>
  <c r="K361" i="2"/>
  <c r="U361" i="2"/>
  <c r="G361" i="2"/>
  <c r="T361" i="2"/>
  <c r="F361" i="2"/>
  <c r="AG361" i="2"/>
  <c r="S361" i="2"/>
  <c r="E361" i="2"/>
  <c r="AE361" i="2"/>
  <c r="M361" i="2"/>
  <c r="Z361" i="2"/>
  <c r="Z366" i="2"/>
  <c r="N366" i="2"/>
  <c r="X366" i="2"/>
  <c r="K366" i="2"/>
  <c r="T366" i="2"/>
  <c r="F366" i="2"/>
  <c r="AB366" i="2"/>
  <c r="AF366" i="2"/>
  <c r="P366" i="2"/>
  <c r="AE366" i="2"/>
  <c r="O366" i="2"/>
  <c r="AD366" i="2"/>
  <c r="M366" i="2"/>
  <c r="U366" i="2"/>
  <c r="E366" i="2"/>
  <c r="AA366" i="2"/>
  <c r="AC366" i="2"/>
  <c r="M368" i="2"/>
  <c r="F374" i="2"/>
  <c r="I381" i="2"/>
  <c r="L358" i="2"/>
  <c r="AD358" i="2"/>
  <c r="S360" i="2"/>
  <c r="Q368" i="2"/>
  <c r="H374" i="2"/>
  <c r="Z378" i="2"/>
  <c r="N378" i="2"/>
  <c r="AE378" i="2"/>
  <c r="R378" i="2"/>
  <c r="E378" i="2"/>
  <c r="AG378" i="2"/>
  <c r="S378" i="2"/>
  <c r="AA378" i="2"/>
  <c r="K378" i="2"/>
  <c r="AD378" i="2"/>
  <c r="M378" i="2"/>
  <c r="AC378" i="2"/>
  <c r="L378" i="2"/>
  <c r="AB378" i="2"/>
  <c r="J378" i="2"/>
  <c r="T378" i="2"/>
  <c r="Q378" i="2"/>
  <c r="O378" i="2"/>
  <c r="G378" i="2"/>
  <c r="M381" i="2"/>
  <c r="M358" i="2"/>
  <c r="AF358" i="2"/>
  <c r="T360" i="2"/>
  <c r="R368" i="2"/>
  <c r="Z370" i="2"/>
  <c r="N370" i="2"/>
  <c r="V370" i="2"/>
  <c r="I370" i="2"/>
  <c r="AD370" i="2"/>
  <c r="P370" i="2"/>
  <c r="AF370" i="2"/>
  <c r="Q370" i="2"/>
  <c r="AE370" i="2"/>
  <c r="M370" i="2"/>
  <c r="AC370" i="2"/>
  <c r="L370" i="2"/>
  <c r="AB370" i="2"/>
  <c r="K370" i="2"/>
  <c r="T370" i="2"/>
  <c r="R370" i="2"/>
  <c r="AA370" i="2"/>
  <c r="J374" i="2"/>
  <c r="AC375" i="2"/>
  <c r="Q375" i="2"/>
  <c r="E375" i="2"/>
  <c r="Z375" i="2"/>
  <c r="M375" i="2"/>
  <c r="AG375" i="2"/>
  <c r="S375" i="2"/>
  <c r="R375" i="2"/>
  <c r="AD375" i="2"/>
  <c r="L375" i="2"/>
  <c r="AB375" i="2"/>
  <c r="K375" i="2"/>
  <c r="AA375" i="2"/>
  <c r="J375" i="2"/>
  <c r="T375" i="2"/>
  <c r="W375" i="2"/>
  <c r="N375" i="2"/>
  <c r="AF375" i="2"/>
  <c r="F378" i="2"/>
  <c r="R381" i="2"/>
  <c r="AC383" i="2"/>
  <c r="Q383" i="2"/>
  <c r="E383" i="2"/>
  <c r="V383" i="2"/>
  <c r="I383" i="2"/>
  <c r="W383" i="2"/>
  <c r="H383" i="2"/>
  <c r="AB383" i="2"/>
  <c r="M383" i="2"/>
  <c r="AA383" i="2"/>
  <c r="K383" i="2"/>
  <c r="Z383" i="2"/>
  <c r="J383" i="2"/>
  <c r="Y383" i="2"/>
  <c r="G383" i="2"/>
  <c r="X383" i="2"/>
  <c r="F383" i="2"/>
  <c r="U383" i="2"/>
  <c r="AF383" i="2"/>
  <c r="O383" i="2"/>
  <c r="AE383" i="2"/>
  <c r="T383" i="2"/>
  <c r="S383" i="2"/>
  <c r="AC391" i="2"/>
  <c r="Q391" i="2"/>
  <c r="E391" i="2"/>
  <c r="AE391" i="2"/>
  <c r="R391" i="2"/>
  <c r="AB391" i="2"/>
  <c r="N391" i="2"/>
  <c r="Y391" i="2"/>
  <c r="K391" i="2"/>
  <c r="T391" i="2"/>
  <c r="AF391" i="2"/>
  <c r="L391" i="2"/>
  <c r="AD391" i="2"/>
  <c r="J391" i="2"/>
  <c r="AA391" i="2"/>
  <c r="I391" i="2"/>
  <c r="Z391" i="2"/>
  <c r="H391" i="2"/>
  <c r="X391" i="2"/>
  <c r="G391" i="2"/>
  <c r="U391" i="2"/>
  <c r="S391" i="2"/>
  <c r="P391" i="2"/>
  <c r="O391" i="2"/>
  <c r="W391" i="2"/>
  <c r="M391" i="2"/>
  <c r="F391" i="2"/>
  <c r="Y332" i="2"/>
  <c r="M332" i="2"/>
  <c r="AG332" i="2"/>
  <c r="T332" i="2"/>
  <c r="G332" i="2"/>
  <c r="AF332" i="2"/>
  <c r="R332" i="2"/>
  <c r="X332" i="2"/>
  <c r="I332" i="2"/>
  <c r="U332" i="2"/>
  <c r="N358" i="2"/>
  <c r="V363" i="2"/>
  <c r="J363" i="2"/>
  <c r="X363" i="2"/>
  <c r="K363" i="2"/>
  <c r="AA363" i="2"/>
  <c r="M363" i="2"/>
  <c r="Z363" i="2"/>
  <c r="L363" i="2"/>
  <c r="Y363" i="2"/>
  <c r="I363" i="2"/>
  <c r="S363" i="2"/>
  <c r="U363" i="2"/>
  <c r="S368" i="2"/>
  <c r="E370" i="2"/>
  <c r="AG370" i="2"/>
  <c r="O374" i="2"/>
  <c r="F375" i="2"/>
  <c r="H378" i="2"/>
  <c r="T381" i="2"/>
  <c r="L383" i="2"/>
  <c r="V391" i="2"/>
  <c r="Y360" i="2"/>
  <c r="M360" i="2"/>
  <c r="AE360" i="2"/>
  <c r="R360" i="2"/>
  <c r="E360" i="2"/>
  <c r="Z360" i="2"/>
  <c r="K360" i="2"/>
  <c r="X360" i="2"/>
  <c r="J360" i="2"/>
  <c r="W360" i="2"/>
  <c r="I360" i="2"/>
  <c r="AB360" i="2"/>
  <c r="G360" i="2"/>
  <c r="V360" i="2"/>
  <c r="W368" i="2"/>
  <c r="AE290" i="2"/>
  <c r="S290" i="2"/>
  <c r="G290" i="2"/>
  <c r="AD290" i="2"/>
  <c r="Q290" i="2"/>
  <c r="R290" i="2"/>
  <c r="AG290" i="2"/>
  <c r="AE310" i="2"/>
  <c r="S310" i="2"/>
  <c r="G310" i="2"/>
  <c r="AG310" i="2"/>
  <c r="T310" i="2"/>
  <c r="F310" i="2"/>
  <c r="Q310" i="2"/>
  <c r="AF310" i="2"/>
  <c r="AB313" i="2"/>
  <c r="P313" i="2"/>
  <c r="X313" i="2"/>
  <c r="K313" i="2"/>
  <c r="R313" i="2"/>
  <c r="AF313" i="2"/>
  <c r="F332" i="2"/>
  <c r="W332" i="2"/>
  <c r="P358" i="2"/>
  <c r="AA360" i="2"/>
  <c r="E363" i="2"/>
  <c r="AB363" i="2"/>
  <c r="Y368" i="2"/>
  <c r="G370" i="2"/>
  <c r="Q374" i="2"/>
  <c r="H375" i="2"/>
  <c r="P378" i="2"/>
  <c r="Z381" i="2"/>
  <c r="P383" i="2"/>
  <c r="V323" i="2"/>
  <c r="J323" i="2"/>
  <c r="AF323" i="2"/>
  <c r="S323" i="2"/>
  <c r="F323" i="2"/>
  <c r="U323" i="2"/>
  <c r="G323" i="2"/>
  <c r="R323" i="2"/>
  <c r="V335" i="2"/>
  <c r="J335" i="2"/>
  <c r="Z335" i="2"/>
  <c r="M335" i="2"/>
  <c r="AG335" i="2"/>
  <c r="S335" i="2"/>
  <c r="E335" i="2"/>
  <c r="R335" i="2"/>
  <c r="Y352" i="2"/>
  <c r="M352" i="2"/>
  <c r="V352" i="2"/>
  <c r="I352" i="2"/>
  <c r="W352" i="2"/>
  <c r="H352" i="2"/>
  <c r="U352" i="2"/>
  <c r="G352" i="2"/>
  <c r="T352" i="2"/>
  <c r="F352" i="2"/>
  <c r="X352" i="2"/>
  <c r="AF376" i="2"/>
  <c r="T376" i="2"/>
  <c r="H376" i="2"/>
  <c r="AG376" i="2"/>
  <c r="S376" i="2"/>
  <c r="F376" i="2"/>
  <c r="AB376" i="2"/>
  <c r="N376" i="2"/>
  <c r="AE376" i="2"/>
  <c r="P376" i="2"/>
  <c r="AC376" i="2"/>
  <c r="L376" i="2"/>
  <c r="AA376" i="2"/>
  <c r="K376" i="2"/>
  <c r="Z376" i="2"/>
  <c r="J376" i="2"/>
  <c r="R376" i="2"/>
  <c r="Y376" i="2"/>
  <c r="AF409" i="2"/>
  <c r="T409" i="2"/>
  <c r="H409" i="2"/>
  <c r="W409" i="2"/>
  <c r="J409" i="2"/>
  <c r="S409" i="2"/>
  <c r="E409" i="2"/>
  <c r="V409" i="2"/>
  <c r="F409" i="2"/>
  <c r="AG409" i="2"/>
  <c r="Q409" i="2"/>
  <c r="U409" i="2"/>
  <c r="R409" i="2"/>
  <c r="P409" i="2"/>
  <c r="O409" i="2"/>
  <c r="AE409" i="2"/>
  <c r="N409" i="2"/>
  <c r="AB409" i="2"/>
  <c r="K409" i="2"/>
  <c r="AA409" i="2"/>
  <c r="I409" i="2"/>
  <c r="X409" i="2"/>
  <c r="M409" i="2"/>
  <c r="L409" i="2"/>
  <c r="G409" i="2"/>
  <c r="AD409" i="2"/>
  <c r="AC409" i="2"/>
  <c r="Z409" i="2"/>
  <c r="Y409" i="2"/>
  <c r="M389" i="2"/>
  <c r="AD389" i="2"/>
  <c r="W405" i="2"/>
  <c r="AC367" i="2"/>
  <c r="Q367" i="2"/>
  <c r="E367" i="2"/>
  <c r="AE367" i="2"/>
  <c r="R367" i="2"/>
  <c r="AD367" i="2"/>
  <c r="O367" i="2"/>
  <c r="X367" i="2"/>
  <c r="I367" i="2"/>
  <c r="U367" i="2"/>
  <c r="AC371" i="2"/>
  <c r="Q371" i="2"/>
  <c r="E371" i="2"/>
  <c r="AB371" i="2"/>
  <c r="O371" i="2"/>
  <c r="X371" i="2"/>
  <c r="J371" i="2"/>
  <c r="AD371" i="2"/>
  <c r="M371" i="2"/>
  <c r="T371" i="2"/>
  <c r="AF372" i="2"/>
  <c r="T372" i="2"/>
  <c r="H372" i="2"/>
  <c r="V372" i="2"/>
  <c r="I372" i="2"/>
  <c r="S372" i="2"/>
  <c r="E372" i="2"/>
  <c r="AA372" i="2"/>
  <c r="L372" i="2"/>
  <c r="U372" i="2"/>
  <c r="W373" i="2"/>
  <c r="K373" i="2"/>
  <c r="AB373" i="2"/>
  <c r="O373" i="2"/>
  <c r="AC373" i="2"/>
  <c r="N373" i="2"/>
  <c r="V373" i="2"/>
  <c r="G373" i="2"/>
  <c r="S373" i="2"/>
  <c r="W377" i="2"/>
  <c r="K377" i="2"/>
  <c r="Z377" i="2"/>
  <c r="M377" i="2"/>
  <c r="X377" i="2"/>
  <c r="I377" i="2"/>
  <c r="AD377" i="2"/>
  <c r="O377" i="2"/>
  <c r="S377" i="2"/>
  <c r="AC379" i="2"/>
  <c r="Q379" i="2"/>
  <c r="E379" i="2"/>
  <c r="X379" i="2"/>
  <c r="K379" i="2"/>
  <c r="AB379" i="2"/>
  <c r="N379" i="2"/>
  <c r="Y379" i="2"/>
  <c r="I379" i="2"/>
  <c r="T379" i="2"/>
  <c r="AF380" i="2"/>
  <c r="T380" i="2"/>
  <c r="H380" i="2"/>
  <c r="AD380" i="2"/>
  <c r="Q380" i="2"/>
  <c r="X380" i="2"/>
  <c r="J380" i="2"/>
  <c r="W380" i="2"/>
  <c r="G380" i="2"/>
  <c r="U380" i="2"/>
  <c r="J387" i="2"/>
  <c r="AA387" i="2"/>
  <c r="N389" i="2"/>
  <c r="AE389" i="2"/>
  <c r="R403" i="2"/>
  <c r="AB405" i="2"/>
  <c r="W447" i="2"/>
  <c r="K447" i="2"/>
  <c r="AD447" i="2"/>
  <c r="R447" i="2"/>
  <c r="F447" i="2"/>
  <c r="Y447" i="2"/>
  <c r="J447" i="2"/>
  <c r="X447" i="2"/>
  <c r="I447" i="2"/>
  <c r="V447" i="2"/>
  <c r="H447" i="2"/>
  <c r="U447" i="2"/>
  <c r="G447" i="2"/>
  <c r="AE447" i="2"/>
  <c r="P447" i="2"/>
  <c r="AC447" i="2"/>
  <c r="O447" i="2"/>
  <c r="AB447" i="2"/>
  <c r="N447" i="2"/>
  <c r="AA447" i="2"/>
  <c r="M447" i="2"/>
  <c r="AG447" i="2"/>
  <c r="AF447" i="2"/>
  <c r="Z447" i="2"/>
  <c r="Q447" i="2"/>
  <c r="L447" i="2"/>
  <c r="E447" i="2"/>
  <c r="D447" i="2" s="1"/>
  <c r="T447" i="2"/>
  <c r="S447" i="2"/>
  <c r="O389" i="2"/>
  <c r="AG389" i="2"/>
  <c r="S403" i="2"/>
  <c r="Z415" i="2"/>
  <c r="N415" i="2"/>
  <c r="AF415" i="2"/>
  <c r="S415" i="2"/>
  <c r="F415" i="2"/>
  <c r="AD415" i="2"/>
  <c r="P415" i="2"/>
  <c r="AC415" i="2"/>
  <c r="M415" i="2"/>
  <c r="Y415" i="2"/>
  <c r="J415" i="2"/>
  <c r="T415" i="2"/>
  <c r="R415" i="2"/>
  <c r="Q415" i="2"/>
  <c r="O415" i="2"/>
  <c r="AG415" i="2"/>
  <c r="L415" i="2"/>
  <c r="AA415" i="2"/>
  <c r="H415" i="2"/>
  <c r="X415" i="2"/>
  <c r="G415" i="2"/>
  <c r="W415" i="2"/>
  <c r="E415" i="2"/>
  <c r="D415" i="2" s="1"/>
  <c r="V415" i="2"/>
  <c r="AC420" i="2"/>
  <c r="Q420" i="2"/>
  <c r="E420" i="2"/>
  <c r="D420" i="2" s="1"/>
  <c r="W420" i="2"/>
  <c r="J420" i="2"/>
  <c r="U420" i="2"/>
  <c r="G420" i="2"/>
  <c r="AG420" i="2"/>
  <c r="R420" i="2"/>
  <c r="AD420" i="2"/>
  <c r="N420" i="2"/>
  <c r="AE420" i="2"/>
  <c r="L420" i="2"/>
  <c r="AB420" i="2"/>
  <c r="K420" i="2"/>
  <c r="AA420" i="2"/>
  <c r="I420" i="2"/>
  <c r="Z420" i="2"/>
  <c r="H420" i="2"/>
  <c r="Y420" i="2"/>
  <c r="F420" i="2"/>
  <c r="T420" i="2"/>
  <c r="S420" i="2"/>
  <c r="P420" i="2"/>
  <c r="O420" i="2"/>
  <c r="I415" i="2"/>
  <c r="W389" i="2"/>
  <c r="K389" i="2"/>
  <c r="AF389" i="2"/>
  <c r="S389" i="2"/>
  <c r="F389" i="2"/>
  <c r="Y389" i="2"/>
  <c r="J389" i="2"/>
  <c r="U389" i="2"/>
  <c r="G389" i="2"/>
  <c r="R389" i="2"/>
  <c r="V389" i="2"/>
  <c r="AF405" i="2"/>
  <c r="T405" i="2"/>
  <c r="H405" i="2"/>
  <c r="Y405" i="2"/>
  <c r="L405" i="2"/>
  <c r="Z405" i="2"/>
  <c r="K405" i="2"/>
  <c r="S405" i="2"/>
  <c r="AE405" i="2"/>
  <c r="P405" i="2"/>
  <c r="R405" i="2"/>
  <c r="Q405" i="2"/>
  <c r="O405" i="2"/>
  <c r="AG405" i="2"/>
  <c r="N405" i="2"/>
  <c r="AD405" i="2"/>
  <c r="M405" i="2"/>
  <c r="AA405" i="2"/>
  <c r="G405" i="2"/>
  <c r="X405" i="2"/>
  <c r="F405" i="2"/>
  <c r="AB415" i="2"/>
  <c r="X420" i="2"/>
  <c r="AE318" i="2"/>
  <c r="S318" i="2"/>
  <c r="G318" i="2"/>
  <c r="AB318" i="2"/>
  <c r="O318" i="2"/>
  <c r="Q318" i="2"/>
  <c r="AF318" i="2"/>
  <c r="AB341" i="2"/>
  <c r="P341" i="2"/>
  <c r="V341" i="2"/>
  <c r="I341" i="2"/>
  <c r="R341" i="2"/>
  <c r="AF341" i="2"/>
  <c r="P347" i="2"/>
  <c r="P350" i="2"/>
  <c r="N353" i="2"/>
  <c r="AD353" i="2"/>
  <c r="O359" i="2"/>
  <c r="AC359" i="2"/>
  <c r="P365" i="2"/>
  <c r="AE365" i="2"/>
  <c r="L367" i="2"/>
  <c r="AB367" i="2"/>
  <c r="K371" i="2"/>
  <c r="AA371" i="2"/>
  <c r="M372" i="2"/>
  <c r="AC372" i="2"/>
  <c r="J373" i="2"/>
  <c r="AA373" i="2"/>
  <c r="J377" i="2"/>
  <c r="AB377" i="2"/>
  <c r="L379" i="2"/>
  <c r="AD379" i="2"/>
  <c r="M380" i="2"/>
  <c r="AC380" i="2"/>
  <c r="W385" i="2"/>
  <c r="K385" i="2"/>
  <c r="U385" i="2"/>
  <c r="H385" i="2"/>
  <c r="AA385" i="2"/>
  <c r="M385" i="2"/>
  <c r="V385" i="2"/>
  <c r="F385" i="2"/>
  <c r="S385" i="2"/>
  <c r="U387" i="2"/>
  <c r="AF388" i="2"/>
  <c r="T388" i="2"/>
  <c r="H388" i="2"/>
  <c r="Z388" i="2"/>
  <c r="M388" i="2"/>
  <c r="AC388" i="2"/>
  <c r="O388" i="2"/>
  <c r="Y388" i="2"/>
  <c r="K388" i="2"/>
  <c r="R388" i="2"/>
  <c r="U388" i="2"/>
  <c r="X389" i="2"/>
  <c r="E405" i="2"/>
  <c r="AE415" i="2"/>
  <c r="AF420" i="2"/>
  <c r="V347" i="2"/>
  <c r="J347" i="2"/>
  <c r="AF347" i="2"/>
  <c r="S347" i="2"/>
  <c r="F347" i="2"/>
  <c r="Q347" i="2"/>
  <c r="AE347" i="2"/>
  <c r="AE350" i="2"/>
  <c r="S350" i="2"/>
  <c r="G350" i="2"/>
  <c r="X350" i="2"/>
  <c r="K350" i="2"/>
  <c r="Q350" i="2"/>
  <c r="AF350" i="2"/>
  <c r="Q353" i="2"/>
  <c r="P359" i="2"/>
  <c r="Q365" i="2"/>
  <c r="M367" i="2"/>
  <c r="AF367" i="2"/>
  <c r="L371" i="2"/>
  <c r="AE371" i="2"/>
  <c r="N372" i="2"/>
  <c r="AD372" i="2"/>
  <c r="L373" i="2"/>
  <c r="AD373" i="2"/>
  <c r="L377" i="2"/>
  <c r="AC377" i="2"/>
  <c r="M379" i="2"/>
  <c r="AE379" i="2"/>
  <c r="N380" i="2"/>
  <c r="AE380" i="2"/>
  <c r="E389" i="2"/>
  <c r="Z389" i="2"/>
  <c r="AF404" i="2"/>
  <c r="T404" i="2"/>
  <c r="H404" i="2"/>
  <c r="AD404" i="2"/>
  <c r="Q404" i="2"/>
  <c r="W404" i="2"/>
  <c r="I404" i="2"/>
  <c r="S404" i="2"/>
  <c r="E404" i="2"/>
  <c r="P404" i="2"/>
  <c r="AG404" i="2"/>
  <c r="O404" i="2"/>
  <c r="AE404" i="2"/>
  <c r="N404" i="2"/>
  <c r="AC404" i="2"/>
  <c r="M404" i="2"/>
  <c r="AB404" i="2"/>
  <c r="L404" i="2"/>
  <c r="Y404" i="2"/>
  <c r="G404" i="2"/>
  <c r="X404" i="2"/>
  <c r="F404" i="2"/>
  <c r="I405" i="2"/>
  <c r="AB353" i="2"/>
  <c r="P353" i="2"/>
  <c r="AC353" i="2"/>
  <c r="O353" i="2"/>
  <c r="R353" i="2"/>
  <c r="AF353" i="2"/>
  <c r="V359" i="2"/>
  <c r="J359" i="2"/>
  <c r="Z359" i="2"/>
  <c r="M359" i="2"/>
  <c r="Q359" i="2"/>
  <c r="AE359" i="2"/>
  <c r="W365" i="2"/>
  <c r="K365" i="2"/>
  <c r="AF365" i="2"/>
  <c r="S365" i="2"/>
  <c r="F365" i="2"/>
  <c r="Z365" i="2"/>
  <c r="L365" i="2"/>
  <c r="R365" i="2"/>
  <c r="N367" i="2"/>
  <c r="AG367" i="2"/>
  <c r="N371" i="2"/>
  <c r="AF371" i="2"/>
  <c r="O372" i="2"/>
  <c r="AE372" i="2"/>
  <c r="M373" i="2"/>
  <c r="AE373" i="2"/>
  <c r="N377" i="2"/>
  <c r="AE377" i="2"/>
  <c r="O379" i="2"/>
  <c r="AF379" i="2"/>
  <c r="O380" i="2"/>
  <c r="AG380" i="2"/>
  <c r="AC387" i="2"/>
  <c r="Q387" i="2"/>
  <c r="E387" i="2"/>
  <c r="AG387" i="2"/>
  <c r="T387" i="2"/>
  <c r="G387" i="2"/>
  <c r="S387" i="2"/>
  <c r="AD387" i="2"/>
  <c r="O387" i="2"/>
  <c r="R387" i="2"/>
  <c r="W387" i="2"/>
  <c r="H389" i="2"/>
  <c r="AA389" i="2"/>
  <c r="W401" i="2"/>
  <c r="K401" i="2"/>
  <c r="Z401" i="2"/>
  <c r="M401" i="2"/>
  <c r="V401" i="2"/>
  <c r="H401" i="2"/>
  <c r="AG401" i="2"/>
  <c r="S401" i="2"/>
  <c r="E401" i="2"/>
  <c r="AF401" i="2"/>
  <c r="P401" i="2"/>
  <c r="AD401" i="2"/>
  <c r="N401" i="2"/>
  <c r="AB401" i="2"/>
  <c r="J401" i="2"/>
  <c r="X401" i="2"/>
  <c r="F401" i="2"/>
  <c r="U401" i="2"/>
  <c r="J404" i="2"/>
  <c r="J405" i="2"/>
  <c r="AF425" i="2"/>
  <c r="T425" i="2"/>
  <c r="H425" i="2"/>
  <c r="AA425" i="2"/>
  <c r="N425" i="2"/>
  <c r="W425" i="2"/>
  <c r="I425" i="2"/>
  <c r="AE425" i="2"/>
  <c r="P425" i="2"/>
  <c r="AC425" i="2"/>
  <c r="M425" i="2"/>
  <c r="AB425" i="2"/>
  <c r="L425" i="2"/>
  <c r="U425" i="2"/>
  <c r="S425" i="2"/>
  <c r="R425" i="2"/>
  <c r="Q425" i="2"/>
  <c r="O425" i="2"/>
  <c r="AD425" i="2"/>
  <c r="G425" i="2"/>
  <c r="Z425" i="2"/>
  <c r="F425" i="2"/>
  <c r="Y425" i="2"/>
  <c r="E425" i="2"/>
  <c r="D425" i="2" s="1"/>
  <c r="X425" i="2"/>
  <c r="I389" i="2"/>
  <c r="AB389" i="2"/>
  <c r="AC403" i="2"/>
  <c r="Q403" i="2"/>
  <c r="E403" i="2"/>
  <c r="X403" i="2"/>
  <c r="K403" i="2"/>
  <c r="AA403" i="2"/>
  <c r="M403" i="2"/>
  <c r="W403" i="2"/>
  <c r="I403" i="2"/>
  <c r="AG403" i="2"/>
  <c r="P403" i="2"/>
  <c r="AF403" i="2"/>
  <c r="O403" i="2"/>
  <c r="AE403" i="2"/>
  <c r="N403" i="2"/>
  <c r="AD403" i="2"/>
  <c r="L403" i="2"/>
  <c r="AB403" i="2"/>
  <c r="J403" i="2"/>
  <c r="V403" i="2"/>
  <c r="F403" i="2"/>
  <c r="U403" i="2"/>
  <c r="U405" i="2"/>
  <c r="J425" i="2"/>
  <c r="AG440" i="2"/>
  <c r="U440" i="2"/>
  <c r="I440" i="2"/>
  <c r="T440" i="2"/>
  <c r="G440" i="2"/>
  <c r="AF440" i="2"/>
  <c r="S440" i="2"/>
  <c r="F440" i="2"/>
  <c r="AE440" i="2"/>
  <c r="R440" i="2"/>
  <c r="E440" i="2"/>
  <c r="D440" i="2" s="1"/>
  <c r="AD440" i="2"/>
  <c r="Q440" i="2"/>
  <c r="Z440" i="2"/>
  <c r="M440" i="2"/>
  <c r="Y440" i="2"/>
  <c r="L440" i="2"/>
  <c r="N440" i="2"/>
  <c r="H440" i="2"/>
  <c r="AB440" i="2"/>
  <c r="AA440" i="2"/>
  <c r="AC440" i="2"/>
  <c r="X429" i="2"/>
  <c r="L429" i="2"/>
  <c r="AD429" i="2"/>
  <c r="Q429" i="2"/>
  <c r="V429" i="2"/>
  <c r="H429" i="2"/>
  <c r="AB429" i="2"/>
  <c r="M429" i="2"/>
  <c r="AF429" i="2"/>
  <c r="O429" i="2"/>
  <c r="AC429" i="2"/>
  <c r="K429" i="2"/>
  <c r="AA429" i="2"/>
  <c r="J429" i="2"/>
  <c r="Y429" i="2"/>
  <c r="Q436" i="2"/>
  <c r="J440" i="2"/>
  <c r="Z386" i="2"/>
  <c r="N386" i="2"/>
  <c r="AA386" i="2"/>
  <c r="M386" i="2"/>
  <c r="W386" i="2"/>
  <c r="T386" i="2"/>
  <c r="F386" i="2"/>
  <c r="R386" i="2"/>
  <c r="AF392" i="2"/>
  <c r="T392" i="2"/>
  <c r="H392" i="2"/>
  <c r="X392" i="2"/>
  <c r="K392" i="2"/>
  <c r="Y392" i="2"/>
  <c r="J392" i="2"/>
  <c r="U392" i="2"/>
  <c r="F392" i="2"/>
  <c r="S392" i="2"/>
  <c r="W393" i="2"/>
  <c r="K393" i="2"/>
  <c r="AD393" i="2"/>
  <c r="Q393" i="2"/>
  <c r="T393" i="2"/>
  <c r="F393" i="2"/>
  <c r="AE393" i="2"/>
  <c r="P393" i="2"/>
  <c r="U393" i="2"/>
  <c r="Z394" i="2"/>
  <c r="N394" i="2"/>
  <c r="V394" i="2"/>
  <c r="I394" i="2"/>
  <c r="AC394" i="2"/>
  <c r="O394" i="2"/>
  <c r="Y394" i="2"/>
  <c r="K394" i="2"/>
  <c r="S394" i="2"/>
  <c r="W397" i="2"/>
  <c r="K397" i="2"/>
  <c r="AB397" i="2"/>
  <c r="O397" i="2"/>
  <c r="AA397" i="2"/>
  <c r="M397" i="2"/>
  <c r="X397" i="2"/>
  <c r="I397" i="2"/>
  <c r="S397" i="2"/>
  <c r="AF400" i="2"/>
  <c r="T400" i="2"/>
  <c r="H400" i="2"/>
  <c r="AG400" i="2"/>
  <c r="S400" i="2"/>
  <c r="F400" i="2"/>
  <c r="AA400" i="2"/>
  <c r="M400" i="2"/>
  <c r="X400" i="2"/>
  <c r="J400" i="2"/>
  <c r="U400" i="2"/>
  <c r="I406" i="2"/>
  <c r="K407" i="2"/>
  <c r="AE407" i="2"/>
  <c r="Z411" i="2"/>
  <c r="N411" i="2"/>
  <c r="U411" i="2"/>
  <c r="H411" i="2"/>
  <c r="W411" i="2"/>
  <c r="I411" i="2"/>
  <c r="AB411" i="2"/>
  <c r="L411" i="2"/>
  <c r="X411" i="2"/>
  <c r="G411" i="2"/>
  <c r="T411" i="2"/>
  <c r="AF413" i="2"/>
  <c r="T413" i="2"/>
  <c r="H413" i="2"/>
  <c r="U413" i="2"/>
  <c r="G413" i="2"/>
  <c r="AA413" i="2"/>
  <c r="M413" i="2"/>
  <c r="V413" i="2"/>
  <c r="E413" i="2"/>
  <c r="D413" i="2" s="1"/>
  <c r="AG413" i="2"/>
  <c r="Q413" i="2"/>
  <c r="W413" i="2"/>
  <c r="J416" i="2"/>
  <c r="AE416" i="2"/>
  <c r="O417" i="2"/>
  <c r="O419" i="2"/>
  <c r="Q422" i="2"/>
  <c r="Q426" i="2"/>
  <c r="AD427" i="2"/>
  <c r="R427" i="2"/>
  <c r="F427" i="2"/>
  <c r="AE427" i="2"/>
  <c r="Q427" i="2"/>
  <c r="AF427" i="2"/>
  <c r="P427" i="2"/>
  <c r="AG427" i="2"/>
  <c r="O427" i="2"/>
  <c r="AB427" i="2"/>
  <c r="L427" i="2"/>
  <c r="Z427" i="2"/>
  <c r="J427" i="2"/>
  <c r="Y427" i="2"/>
  <c r="I427" i="2"/>
  <c r="X427" i="2"/>
  <c r="Q428" i="2"/>
  <c r="E429" i="2"/>
  <c r="D429" i="2" s="1"/>
  <c r="Z429" i="2"/>
  <c r="AD436" i="2"/>
  <c r="K440" i="2"/>
  <c r="AC395" i="2"/>
  <c r="Q395" i="2"/>
  <c r="E395" i="2"/>
  <c r="AB395" i="2"/>
  <c r="O395" i="2"/>
  <c r="W395" i="2"/>
  <c r="I395" i="2"/>
  <c r="T395" i="2"/>
  <c r="F395" i="2"/>
  <c r="U395" i="2"/>
  <c r="AF396" i="2"/>
  <c r="T396" i="2"/>
  <c r="H396" i="2"/>
  <c r="V396" i="2"/>
  <c r="I396" i="2"/>
  <c r="AG396" i="2"/>
  <c r="R396" i="2"/>
  <c r="AC396" i="2"/>
  <c r="O396" i="2"/>
  <c r="U396" i="2"/>
  <c r="Z398" i="2"/>
  <c r="N398" i="2"/>
  <c r="AG398" i="2"/>
  <c r="T398" i="2"/>
  <c r="G398" i="2"/>
  <c r="V398" i="2"/>
  <c r="H398" i="2"/>
  <c r="AF398" i="2"/>
  <c r="R398" i="2"/>
  <c r="U398" i="2"/>
  <c r="L407" i="2"/>
  <c r="AF407" i="2"/>
  <c r="N416" i="2"/>
  <c r="AF416" i="2"/>
  <c r="P417" i="2"/>
  <c r="R426" i="2"/>
  <c r="R428" i="2"/>
  <c r="F429" i="2"/>
  <c r="AE429" i="2"/>
  <c r="AD439" i="2"/>
  <c r="R439" i="2"/>
  <c r="F439" i="2"/>
  <c r="AA439" i="2"/>
  <c r="N439" i="2"/>
  <c r="Z439" i="2"/>
  <c r="M439" i="2"/>
  <c r="Y439" i="2"/>
  <c r="L439" i="2"/>
  <c r="X439" i="2"/>
  <c r="K439" i="2"/>
  <c r="AG439" i="2"/>
  <c r="T439" i="2"/>
  <c r="G439" i="2"/>
  <c r="AF439" i="2"/>
  <c r="S439" i="2"/>
  <c r="E439" i="2"/>
  <c r="D439" i="2" s="1"/>
  <c r="U439" i="2"/>
  <c r="O439" i="2"/>
  <c r="AE439" i="2"/>
  <c r="AC439" i="2"/>
  <c r="AB439" i="2"/>
  <c r="W439" i="2"/>
  <c r="O440" i="2"/>
  <c r="R416" i="2"/>
  <c r="Z419" i="2"/>
  <c r="N419" i="2"/>
  <c r="AD419" i="2"/>
  <c r="Q419" i="2"/>
  <c r="Y419" i="2"/>
  <c r="K419" i="2"/>
  <c r="T419" i="2"/>
  <c r="E419" i="2"/>
  <c r="D419" i="2" s="1"/>
  <c r="AF419" i="2"/>
  <c r="P419" i="2"/>
  <c r="V419" i="2"/>
  <c r="W422" i="2"/>
  <c r="K422" i="2"/>
  <c r="V422" i="2"/>
  <c r="I422" i="2"/>
  <c r="Z422" i="2"/>
  <c r="L422" i="2"/>
  <c r="Y422" i="2"/>
  <c r="H422" i="2"/>
  <c r="U422" i="2"/>
  <c r="F422" i="2"/>
  <c r="T422" i="2"/>
  <c r="E422" i="2"/>
  <c r="D422" i="2" s="1"/>
  <c r="AA422" i="2"/>
  <c r="N429" i="2"/>
  <c r="W440" i="2"/>
  <c r="S416" i="2"/>
  <c r="AF417" i="2"/>
  <c r="T417" i="2"/>
  <c r="H417" i="2"/>
  <c r="AE417" i="2"/>
  <c r="R417" i="2"/>
  <c r="E417" i="2"/>
  <c r="D417" i="2" s="1"/>
  <c r="V417" i="2"/>
  <c r="G417" i="2"/>
  <c r="Z417" i="2"/>
  <c r="K417" i="2"/>
  <c r="W417" i="2"/>
  <c r="F417" i="2"/>
  <c r="X417" i="2"/>
  <c r="AA426" i="2"/>
  <c r="O426" i="2"/>
  <c r="X426" i="2"/>
  <c r="K426" i="2"/>
  <c r="U426" i="2"/>
  <c r="G426" i="2"/>
  <c r="S426" i="2"/>
  <c r="AE426" i="2"/>
  <c r="N426" i="2"/>
  <c r="AC426" i="2"/>
  <c r="L426" i="2"/>
  <c r="AB426" i="2"/>
  <c r="J426" i="2"/>
  <c r="Y426" i="2"/>
  <c r="AG428" i="2"/>
  <c r="U428" i="2"/>
  <c r="I428" i="2"/>
  <c r="X428" i="2"/>
  <c r="K428" i="2"/>
  <c r="AA428" i="2"/>
  <c r="M428" i="2"/>
  <c r="AD428" i="2"/>
  <c r="O428" i="2"/>
  <c r="AE428" i="2"/>
  <c r="N428" i="2"/>
  <c r="AB428" i="2"/>
  <c r="J428" i="2"/>
  <c r="Z428" i="2"/>
  <c r="H428" i="2"/>
  <c r="W428" i="2"/>
  <c r="P429" i="2"/>
  <c r="AG436" i="2"/>
  <c r="U436" i="2"/>
  <c r="I436" i="2"/>
  <c r="W436" i="2"/>
  <c r="J436" i="2"/>
  <c r="AF436" i="2"/>
  <c r="S436" i="2"/>
  <c r="F436" i="2"/>
  <c r="AB436" i="2"/>
  <c r="O436" i="2"/>
  <c r="AA436" i="2"/>
  <c r="N436" i="2"/>
  <c r="Y436" i="2"/>
  <c r="E436" i="2"/>
  <c r="D436" i="2" s="1"/>
  <c r="T436" i="2"/>
  <c r="K436" i="2"/>
  <c r="AC436" i="2"/>
  <c r="Z436" i="2"/>
  <c r="X436" i="2"/>
  <c r="V436" i="2"/>
  <c r="R436" i="2"/>
  <c r="X440" i="2"/>
  <c r="Z407" i="2"/>
  <c r="N407" i="2"/>
  <c r="W407" i="2"/>
  <c r="J407" i="2"/>
  <c r="AD407" i="2"/>
  <c r="P407" i="2"/>
  <c r="AC407" i="2"/>
  <c r="M407" i="2"/>
  <c r="Y407" i="2"/>
  <c r="I407" i="2"/>
  <c r="T407" i="2"/>
  <c r="Y417" i="2"/>
  <c r="G419" i="2"/>
  <c r="X419" i="2"/>
  <c r="G422" i="2"/>
  <c r="AC422" i="2"/>
  <c r="E426" i="2"/>
  <c r="D426" i="2" s="1"/>
  <c r="Z426" i="2"/>
  <c r="Y428" i="2"/>
  <c r="R429" i="2"/>
  <c r="G436" i="2"/>
  <c r="AC416" i="2"/>
  <c r="Q416" i="2"/>
  <c r="E416" i="2"/>
  <c r="D416" i="2" s="1"/>
  <c r="Y416" i="2"/>
  <c r="L416" i="2"/>
  <c r="Z416" i="2"/>
  <c r="K416" i="2"/>
  <c r="AB416" i="2"/>
  <c r="M416" i="2"/>
  <c r="W416" i="2"/>
  <c r="H416" i="2"/>
  <c r="U416" i="2"/>
  <c r="I417" i="2"/>
  <c r="AA417" i="2"/>
  <c r="F426" i="2"/>
  <c r="AD426" i="2"/>
  <c r="E428" i="2"/>
  <c r="D428" i="2" s="1"/>
  <c r="AC428" i="2"/>
  <c r="S429" i="2"/>
  <c r="H436" i="2"/>
  <c r="M398" i="2"/>
  <c r="AD398" i="2"/>
  <c r="W406" i="2"/>
  <c r="K406" i="2"/>
  <c r="AE406" i="2"/>
  <c r="R406" i="2"/>
  <c r="E406" i="2"/>
  <c r="U406" i="2"/>
  <c r="G406" i="2"/>
  <c r="AG406" i="2"/>
  <c r="Q406" i="2"/>
  <c r="AC406" i="2"/>
  <c r="N406" i="2"/>
  <c r="V406" i="2"/>
  <c r="E407" i="2"/>
  <c r="V407" i="2"/>
  <c r="V416" i="2"/>
  <c r="J417" i="2"/>
  <c r="AB417" i="2"/>
  <c r="I419" i="2"/>
  <c r="AB419" i="2"/>
  <c r="M422" i="2"/>
  <c r="AE422" i="2"/>
  <c r="H426" i="2"/>
  <c r="AF426" i="2"/>
  <c r="F428" i="2"/>
  <c r="AF428" i="2"/>
  <c r="T429" i="2"/>
  <c r="L436" i="2"/>
  <c r="O203" i="2"/>
  <c r="O207" i="2"/>
  <c r="O211" i="2"/>
  <c r="O215" i="2"/>
  <c r="O219" i="2"/>
  <c r="O223" i="2"/>
  <c r="O227" i="2"/>
  <c r="O231" i="2"/>
  <c r="O235" i="2"/>
  <c r="O239" i="2"/>
  <c r="O243" i="2"/>
  <c r="O247" i="2"/>
  <c r="O251" i="2"/>
  <c r="O255" i="2"/>
  <c r="O259" i="2"/>
  <c r="O263" i="2"/>
  <c r="O267" i="2"/>
  <c r="O271" i="2"/>
  <c r="O275" i="2"/>
  <c r="O279" i="2"/>
  <c r="O283" i="2"/>
  <c r="O287" i="2"/>
  <c r="Y292" i="2"/>
  <c r="M292" i="2"/>
  <c r="P292" i="2"/>
  <c r="AC292" i="2"/>
  <c r="Y316" i="2"/>
  <c r="M316" i="2"/>
  <c r="P316" i="2"/>
  <c r="AC316" i="2"/>
  <c r="Y340" i="2"/>
  <c r="M340" i="2"/>
  <c r="P340" i="2"/>
  <c r="AC340" i="2"/>
  <c r="AF364" i="2"/>
  <c r="T364" i="2"/>
  <c r="Z364" i="2"/>
  <c r="M364" i="2"/>
  <c r="P364" i="2"/>
  <c r="AD364" i="2"/>
  <c r="AF384" i="2"/>
  <c r="T384" i="2"/>
  <c r="H384" i="2"/>
  <c r="AB384" i="2"/>
  <c r="O384" i="2"/>
  <c r="Q384" i="2"/>
  <c r="AE384" i="2"/>
  <c r="N399" i="2"/>
  <c r="M402" i="2"/>
  <c r="O414" i="2"/>
  <c r="Q423" i="2"/>
  <c r="O424" i="2"/>
  <c r="U431" i="2"/>
  <c r="Z423" i="2"/>
  <c r="N423" i="2"/>
  <c r="AB423" i="2"/>
  <c r="O423" i="2"/>
  <c r="AG423" i="2"/>
  <c r="S423" i="2"/>
  <c r="E423" i="2"/>
  <c r="D423" i="2" s="1"/>
  <c r="R423" i="2"/>
  <c r="X433" i="2"/>
  <c r="L433" i="2"/>
  <c r="AB433" i="2"/>
  <c r="O433" i="2"/>
  <c r="V433" i="2"/>
  <c r="I433" i="2"/>
  <c r="T433" i="2"/>
  <c r="E433" i="2"/>
  <c r="D433" i="2" s="1"/>
  <c r="AF433" i="2"/>
  <c r="Q433" i="2"/>
  <c r="S433" i="2"/>
  <c r="AG433" i="2"/>
  <c r="N433" i="2"/>
  <c r="Y433" i="2"/>
  <c r="AD431" i="2"/>
  <c r="R431" i="2"/>
  <c r="F431" i="2"/>
  <c r="AB431" i="2"/>
  <c r="O431" i="2"/>
  <c r="W431" i="2"/>
  <c r="J431" i="2"/>
  <c r="AC431" i="2"/>
  <c r="M431" i="2"/>
  <c r="Y431" i="2"/>
  <c r="I431" i="2"/>
  <c r="V431" i="2"/>
  <c r="S431" i="2"/>
  <c r="Z431" i="2"/>
  <c r="AC399" i="2"/>
  <c r="Q399" i="2"/>
  <c r="E399" i="2"/>
  <c r="Z399" i="2"/>
  <c r="M399" i="2"/>
  <c r="R399" i="2"/>
  <c r="AF399" i="2"/>
  <c r="Z402" i="2"/>
  <c r="N402" i="2"/>
  <c r="AE402" i="2"/>
  <c r="R402" i="2"/>
  <c r="E402" i="2"/>
  <c r="Q402" i="2"/>
  <c r="AF402" i="2"/>
  <c r="W414" i="2"/>
  <c r="K414" i="2"/>
  <c r="AA414" i="2"/>
  <c r="N414" i="2"/>
  <c r="U414" i="2"/>
  <c r="G414" i="2"/>
  <c r="R414" i="2"/>
  <c r="AG414" i="2"/>
  <c r="F423" i="2"/>
  <c r="U423" i="2"/>
  <c r="AC424" i="2"/>
  <c r="Q424" i="2"/>
  <c r="E424" i="2"/>
  <c r="D424" i="2" s="1"/>
  <c r="U424" i="2"/>
  <c r="H424" i="2"/>
  <c r="AB424" i="2"/>
  <c r="N424" i="2"/>
  <c r="S424" i="2"/>
  <c r="E431" i="2"/>
  <c r="D431" i="2" s="1"/>
  <c r="AA431" i="2"/>
  <c r="F433" i="2"/>
  <c r="AA433" i="2"/>
  <c r="X441" i="2"/>
  <c r="L441" i="2"/>
  <c r="AA441" i="2"/>
  <c r="N441" i="2"/>
  <c r="Z441" i="2"/>
  <c r="M441" i="2"/>
  <c r="Y441" i="2"/>
  <c r="K441" i="2"/>
  <c r="W441" i="2"/>
  <c r="J441" i="2"/>
  <c r="AF441" i="2"/>
  <c r="S441" i="2"/>
  <c r="F441" i="2"/>
  <c r="AE441" i="2"/>
  <c r="R441" i="2"/>
  <c r="E441" i="2"/>
  <c r="D441" i="2" s="1"/>
  <c r="AD441" i="2"/>
  <c r="V441" i="2"/>
  <c r="AC441" i="2"/>
  <c r="AB441" i="2"/>
  <c r="U441" i="2"/>
  <c r="T441" i="2"/>
  <c r="Z382" i="2"/>
  <c r="N382" i="2"/>
  <c r="P382" i="2"/>
  <c r="AC382" i="2"/>
  <c r="AC412" i="2"/>
  <c r="Q412" i="2"/>
  <c r="E412" i="2"/>
  <c r="D412" i="2" s="1"/>
  <c r="AA412" i="2"/>
  <c r="N412" i="2"/>
  <c r="R412" i="2"/>
  <c r="AF412" i="2"/>
  <c r="W418" i="2"/>
  <c r="K418" i="2"/>
  <c r="Y418" i="2"/>
  <c r="L418" i="2"/>
  <c r="Q418" i="2"/>
  <c r="AE418" i="2"/>
  <c r="AC453" i="2"/>
  <c r="Q453" i="2"/>
  <c r="E453" i="2"/>
  <c r="D453" i="2" s="1"/>
  <c r="X453" i="2"/>
  <c r="L453" i="2"/>
  <c r="Y453" i="2"/>
  <c r="J453" i="2"/>
  <c r="W453" i="2"/>
  <c r="I453" i="2"/>
  <c r="V453" i="2"/>
  <c r="H453" i="2"/>
  <c r="U453" i="2"/>
  <c r="G453" i="2"/>
  <c r="T453" i="2"/>
  <c r="F453" i="2"/>
  <c r="AE453" i="2"/>
  <c r="P453" i="2"/>
  <c r="AD453" i="2"/>
  <c r="O453" i="2"/>
  <c r="AB453" i="2"/>
  <c r="N453" i="2"/>
  <c r="AA453" i="2"/>
  <c r="M453" i="2"/>
  <c r="Z453" i="2"/>
  <c r="K453" i="2"/>
  <c r="AG453" i="2"/>
  <c r="AF453" i="2"/>
  <c r="S453" i="2"/>
  <c r="Z444" i="2"/>
  <c r="N444" i="2"/>
  <c r="AG444" i="2"/>
  <c r="U444" i="2"/>
  <c r="I444" i="2"/>
  <c r="X444" i="2"/>
  <c r="J444" i="2"/>
  <c r="W444" i="2"/>
  <c r="H444" i="2"/>
  <c r="V444" i="2"/>
  <c r="G444" i="2"/>
  <c r="T444" i="2"/>
  <c r="F444" i="2"/>
  <c r="AD444" i="2"/>
  <c r="P444" i="2"/>
  <c r="AC444" i="2"/>
  <c r="O444" i="2"/>
  <c r="AB444" i="2"/>
  <c r="AA444" i="2"/>
  <c r="Y444" i="2"/>
  <c r="S444" i="2"/>
  <c r="AC408" i="2"/>
  <c r="Q408" i="2"/>
  <c r="E408" i="2"/>
  <c r="P408" i="2"/>
  <c r="AD408" i="2"/>
  <c r="W410" i="2"/>
  <c r="K410" i="2"/>
  <c r="P410" i="2"/>
  <c r="AC410" i="2"/>
  <c r="AF421" i="2"/>
  <c r="T421" i="2"/>
  <c r="H421" i="2"/>
  <c r="P421" i="2"/>
  <c r="AC421" i="2"/>
  <c r="W443" i="2"/>
  <c r="K443" i="2"/>
  <c r="AD443" i="2"/>
  <c r="R443" i="2"/>
  <c r="F443" i="2"/>
  <c r="AC443" i="2"/>
  <c r="O443" i="2"/>
  <c r="AB443" i="2"/>
  <c r="N443" i="2"/>
  <c r="AA443" i="2"/>
  <c r="M443" i="2"/>
  <c r="Z443" i="2"/>
  <c r="L443" i="2"/>
  <c r="U443" i="2"/>
  <c r="G443" i="2"/>
  <c r="T443" i="2"/>
  <c r="E443" i="2"/>
  <c r="D443" i="2" s="1"/>
  <c r="AF443" i="2"/>
  <c r="AC449" i="2"/>
  <c r="Q449" i="2"/>
  <c r="E449" i="2"/>
  <c r="D449" i="2" s="1"/>
  <c r="X449" i="2"/>
  <c r="L449" i="2"/>
  <c r="R449" i="2"/>
  <c r="AF449" i="2"/>
  <c r="Z452" i="2"/>
  <c r="N452" i="2"/>
  <c r="AG452" i="2"/>
  <c r="U452" i="2"/>
  <c r="I452" i="2"/>
  <c r="Q452" i="2"/>
  <c r="AE452" i="2"/>
  <c r="W455" i="2"/>
  <c r="K455" i="2"/>
  <c r="AD455" i="2"/>
  <c r="R455" i="2"/>
  <c r="F455" i="2"/>
  <c r="Q455" i="2"/>
  <c r="AF455" i="2"/>
  <c r="S449" i="2"/>
  <c r="AG449" i="2"/>
  <c r="R452" i="2"/>
  <c r="AF452" i="2"/>
  <c r="S455" i="2"/>
  <c r="AG455" i="2"/>
  <c r="AG432" i="2"/>
  <c r="U432" i="2"/>
  <c r="I432" i="2"/>
  <c r="P432" i="2"/>
  <c r="AC432" i="2"/>
  <c r="H435" i="2"/>
  <c r="G437" i="2"/>
  <c r="T437" i="2"/>
  <c r="J445" i="2"/>
  <c r="Y445" i="2"/>
  <c r="J448" i="2"/>
  <c r="X448" i="2"/>
  <c r="F449" i="2"/>
  <c r="T449" i="2"/>
  <c r="J451" i="2"/>
  <c r="Y451" i="2"/>
  <c r="E452" i="2"/>
  <c r="D452" i="2" s="1"/>
  <c r="S452" i="2"/>
  <c r="E455" i="2"/>
  <c r="D455" i="2" s="1"/>
  <c r="T455" i="2"/>
  <c r="K445" i="2"/>
  <c r="K448" i="2"/>
  <c r="G449" i="2"/>
  <c r="U449" i="2"/>
  <c r="L451" i="2"/>
  <c r="F452" i="2"/>
  <c r="T452" i="2"/>
  <c r="G455" i="2"/>
  <c r="U455" i="2"/>
  <c r="AC445" i="2"/>
  <c r="Q445" i="2"/>
  <c r="E445" i="2"/>
  <c r="D445" i="2" s="1"/>
  <c r="X445" i="2"/>
  <c r="L445" i="2"/>
  <c r="R445" i="2"/>
  <c r="AF445" i="2"/>
  <c r="Z448" i="2"/>
  <c r="N448" i="2"/>
  <c r="AG448" i="2"/>
  <c r="U448" i="2"/>
  <c r="I448" i="2"/>
  <c r="Q448" i="2"/>
  <c r="AE448" i="2"/>
  <c r="M449" i="2"/>
  <c r="AA449" i="2"/>
  <c r="W451" i="2"/>
  <c r="K451" i="2"/>
  <c r="AD451" i="2"/>
  <c r="R451" i="2"/>
  <c r="F451" i="2"/>
  <c r="Q451" i="2"/>
  <c r="AF451" i="2"/>
  <c r="L452" i="2"/>
  <c r="AA452" i="2"/>
  <c r="M455" i="2"/>
  <c r="AA455" i="2"/>
  <c r="S445" i="2"/>
  <c r="AG445" i="2"/>
  <c r="R448" i="2"/>
  <c r="AF448" i="2"/>
  <c r="N449" i="2"/>
  <c r="AB449" i="2"/>
  <c r="S451" i="2"/>
  <c r="AG451" i="2"/>
  <c r="M452" i="2"/>
  <c r="AB452" i="2"/>
  <c r="N455" i="2"/>
  <c r="AB455" i="2"/>
  <c r="AD435" i="2"/>
  <c r="R435" i="2"/>
  <c r="F435" i="2"/>
  <c r="P435" i="2"/>
  <c r="AC435" i="2"/>
  <c r="X437" i="2"/>
  <c r="L437" i="2"/>
  <c r="P437" i="2"/>
  <c r="AC437" i="2"/>
  <c r="F445" i="2"/>
  <c r="T445" i="2"/>
  <c r="E448" i="2"/>
  <c r="D448" i="2" s="1"/>
  <c r="S448" i="2"/>
  <c r="O449" i="2"/>
  <c r="AD449" i="2"/>
  <c r="E451" i="2"/>
  <c r="D451" i="2" s="1"/>
  <c r="T451" i="2"/>
  <c r="O452" i="2"/>
  <c r="AC452" i="2"/>
  <c r="O455" i="2"/>
  <c r="AC455" i="2"/>
  <c r="M458" i="2"/>
  <c r="Y458" i="2"/>
  <c r="P459" i="2"/>
  <c r="AB459" i="2"/>
  <c r="N458" i="2"/>
  <c r="Z458" i="2"/>
  <c r="E459" i="2"/>
  <c r="D459" i="2" s="1"/>
  <c r="Q459" i="2"/>
  <c r="AC459" i="2"/>
  <c r="O430" i="2"/>
  <c r="O434" i="2"/>
  <c r="O438" i="2"/>
  <c r="O442" i="2"/>
  <c r="AA442" i="2"/>
  <c r="O446" i="2"/>
  <c r="AA446" i="2"/>
  <c r="O450" i="2"/>
  <c r="AA450" i="2"/>
  <c r="O454" i="2"/>
  <c r="AA454" i="2"/>
  <c r="I456" i="2"/>
  <c r="U456" i="2"/>
  <c r="AG456" i="2"/>
  <c r="L457" i="2"/>
  <c r="X457" i="2"/>
  <c r="O458" i="2"/>
  <c r="AA458" i="2"/>
  <c r="F459" i="2"/>
  <c r="R459" i="2"/>
  <c r="AD459" i="2"/>
  <c r="M457" i="2"/>
  <c r="Y457" i="2"/>
  <c r="P458" i="2"/>
  <c r="AB458" i="2"/>
  <c r="G459" i="2"/>
  <c r="S459" i="2"/>
  <c r="AE459" i="2"/>
  <c r="N457" i="2"/>
  <c r="Z457" i="2"/>
  <c r="E458" i="2"/>
  <c r="D458" i="2" s="1"/>
  <c r="Q458" i="2"/>
  <c r="AC458" i="2"/>
  <c r="H459" i="2"/>
  <c r="T459" i="2"/>
  <c r="AF459" i="2"/>
  <c r="O457" i="2"/>
  <c r="AA457" i="2"/>
  <c r="F458" i="2"/>
  <c r="R458" i="2"/>
  <c r="AD458" i="2"/>
  <c r="I459" i="2"/>
  <c r="U459" i="2"/>
  <c r="AG459" i="2"/>
  <c r="M456" i="2"/>
  <c r="Y456" i="2"/>
  <c r="P457" i="2"/>
  <c r="AB457" i="2"/>
  <c r="G458" i="2"/>
  <c r="S458" i="2"/>
  <c r="AE458" i="2"/>
  <c r="J459" i="2"/>
  <c r="V459" i="2"/>
  <c r="T442" i="2"/>
  <c r="H446" i="2"/>
  <c r="T446" i="2"/>
  <c r="H450" i="2"/>
  <c r="T450" i="2"/>
  <c r="H454" i="2"/>
  <c r="T454" i="2"/>
  <c r="N456" i="2"/>
  <c r="Z456" i="2"/>
  <c r="E457" i="2"/>
  <c r="D457" i="2" s="1"/>
  <c r="Q457" i="2"/>
  <c r="AC457" i="2"/>
  <c r="H458" i="2"/>
  <c r="T458" i="2"/>
  <c r="AF458" i="2"/>
  <c r="K459" i="2"/>
  <c r="W459" i="2"/>
  <c r="O456" i="2"/>
  <c r="F457" i="2"/>
  <c r="R457" i="2"/>
  <c r="I458" i="2"/>
  <c r="U458" i="2"/>
  <c r="L459" i="2"/>
  <c r="X459" i="2"/>
  <c r="M459" i="2"/>
  <c r="Y459" i="2"/>
  <c r="N459" i="2"/>
  <c r="Z459" i="2"/>
  <c r="O459" i="2"/>
  <c r="D194" i="2" l="1"/>
  <c r="D9" i="2"/>
  <c r="D388" i="2"/>
  <c r="D82" i="2"/>
  <c r="D323" i="2"/>
  <c r="D186" i="2"/>
  <c r="D392" i="2"/>
  <c r="D153" i="2"/>
  <c r="D116" i="2"/>
  <c r="D138" i="2"/>
  <c r="D98" i="2"/>
  <c r="D407" i="2"/>
  <c r="D401" i="2"/>
  <c r="D353" i="2"/>
  <c r="D363" i="2"/>
  <c r="D360" i="2"/>
  <c r="D370" i="2"/>
  <c r="D383" i="2"/>
  <c r="D357" i="2"/>
  <c r="D377" i="2"/>
  <c r="D382" i="2"/>
  <c r="D334" i="2"/>
  <c r="D319" i="2"/>
  <c r="D329" i="2"/>
  <c r="D303" i="2"/>
  <c r="D302" i="2"/>
  <c r="D253" i="2"/>
  <c r="D333" i="2"/>
  <c r="D192" i="2"/>
  <c r="D200" i="2"/>
  <c r="D216" i="2"/>
  <c r="D181" i="2"/>
  <c r="D115" i="2"/>
  <c r="D162" i="2"/>
  <c r="D128" i="2"/>
  <c r="D112" i="2"/>
  <c r="D60" i="2"/>
  <c r="D55" i="2"/>
  <c r="D43" i="2"/>
  <c r="D27" i="2"/>
  <c r="D11" i="2"/>
  <c r="D193" i="2"/>
  <c r="D215" i="2"/>
  <c r="D271" i="2"/>
  <c r="D335" i="2"/>
  <c r="D391" i="2"/>
  <c r="D386" i="2"/>
  <c r="D361" i="2"/>
  <c r="D368" i="2"/>
  <c r="D390" i="2"/>
  <c r="D349" i="2"/>
  <c r="D310" i="2"/>
  <c r="D301" i="2"/>
  <c r="D344" i="2"/>
  <c r="D298" i="2"/>
  <c r="D296" i="2"/>
  <c r="D221" i="2"/>
  <c r="D202" i="2"/>
  <c r="D188" i="2"/>
  <c r="D144" i="2"/>
  <c r="D157" i="2"/>
  <c r="D67" i="2"/>
  <c r="D77" i="2"/>
  <c r="D21" i="2"/>
  <c r="D111" i="2"/>
  <c r="D105" i="2"/>
  <c r="D56" i="2"/>
  <c r="D205" i="2"/>
  <c r="D279" i="2"/>
  <c r="D306" i="2"/>
  <c r="D86" i="2"/>
  <c r="D87" i="2"/>
  <c r="D8" i="2"/>
  <c r="D33" i="2"/>
  <c r="D378" i="2"/>
  <c r="D332" i="2"/>
  <c r="D308" i="2"/>
  <c r="D289" i="2"/>
  <c r="D328" i="2"/>
  <c r="D252" i="2"/>
  <c r="D254" i="2"/>
  <c r="D251" i="2"/>
  <c r="D222" i="2"/>
  <c r="D234" i="2"/>
  <c r="D214" i="2"/>
  <c r="D211" i="2"/>
  <c r="D197" i="2"/>
  <c r="D196" i="2"/>
  <c r="D168" i="2"/>
  <c r="D180" i="2"/>
  <c r="D176" i="2"/>
  <c r="D198" i="2"/>
  <c r="D158" i="2"/>
  <c r="D148" i="2"/>
  <c r="D130" i="2"/>
  <c r="D118" i="2"/>
  <c r="D133" i="2"/>
  <c r="D41" i="2"/>
  <c r="D107" i="2"/>
  <c r="D30" i="2"/>
  <c r="D72" i="2"/>
  <c r="D51" i="2"/>
  <c r="D57" i="2"/>
  <c r="D78" i="2"/>
  <c r="D64" i="2"/>
  <c r="D81" i="2"/>
  <c r="D208" i="2"/>
  <c r="D273" i="2"/>
  <c r="D315" i="2"/>
  <c r="D47" i="2"/>
  <c r="D38" i="2"/>
  <c r="D109" i="2"/>
  <c r="D402" i="2"/>
  <c r="D395" i="2"/>
  <c r="D341" i="2"/>
  <c r="D376" i="2"/>
  <c r="D373" i="2"/>
  <c r="D321" i="2"/>
  <c r="D246" i="2"/>
  <c r="D238" i="2"/>
  <c r="D212" i="2"/>
  <c r="D206" i="2"/>
  <c r="D210" i="2"/>
  <c r="D187" i="2"/>
  <c r="D169" i="2"/>
  <c r="D83" i="2"/>
  <c r="D175" i="2"/>
  <c r="D177" i="2"/>
  <c r="D141" i="2"/>
  <c r="D126" i="2"/>
  <c r="D131" i="2"/>
  <c r="D154" i="2"/>
  <c r="D20" i="2"/>
  <c r="D46" i="2"/>
  <c r="D231" i="2"/>
  <c r="D263" i="2"/>
  <c r="D275" i="2"/>
  <c r="D36" i="2"/>
  <c r="D379" i="2"/>
  <c r="D372" i="2"/>
  <c r="D367" i="2"/>
  <c r="D394" i="2"/>
  <c r="D380" i="2"/>
  <c r="D339" i="2"/>
  <c r="D351" i="2"/>
  <c r="D305" i="2"/>
  <c r="D343" i="2"/>
  <c r="D281" i="2"/>
  <c r="D268" i="2"/>
  <c r="D288" i="2"/>
  <c r="D250" i="2"/>
  <c r="D232" i="2"/>
  <c r="D244" i="2"/>
  <c r="D242" i="2"/>
  <c r="D179" i="2"/>
  <c r="D185" i="2"/>
  <c r="D178" i="2"/>
  <c r="D174" i="2"/>
  <c r="D143" i="2"/>
  <c r="D137" i="2"/>
  <c r="D166" i="2"/>
  <c r="D146" i="2"/>
  <c r="D108" i="2"/>
  <c r="D113" i="2"/>
  <c r="D22" i="2"/>
  <c r="D45" i="2"/>
  <c r="D68" i="2"/>
  <c r="D54" i="2"/>
  <c r="D70" i="2"/>
  <c r="D17" i="2"/>
  <c r="D29" i="2"/>
  <c r="D248" i="2"/>
  <c r="D266" i="2"/>
  <c r="D292" i="2"/>
  <c r="D145" i="2"/>
  <c r="D79" i="2"/>
  <c r="D12" i="2"/>
  <c r="D84" i="2"/>
  <c r="D406" i="2"/>
  <c r="D362" i="2"/>
  <c r="D314" i="2"/>
  <c r="D350" i="2"/>
  <c r="D290" i="2"/>
  <c r="D240" i="2"/>
  <c r="D284" i="2"/>
  <c r="D262" i="2"/>
  <c r="D241" i="2"/>
  <c r="D220" i="2"/>
  <c r="D228" i="2"/>
  <c r="D124" i="2"/>
  <c r="D28" i="2"/>
  <c r="D37" i="2"/>
  <c r="D71" i="2"/>
  <c r="D110" i="2"/>
  <c r="D59" i="2"/>
  <c r="D31" i="2"/>
  <c r="D19" i="2"/>
  <c r="D226" i="2"/>
  <c r="D267" i="2"/>
  <c r="D347" i="2"/>
  <c r="D93" i="2"/>
  <c r="D400" i="2"/>
  <c r="D371" i="2"/>
  <c r="D364" i="2"/>
  <c r="D322" i="2"/>
  <c r="D331" i="2"/>
  <c r="D346" i="2"/>
  <c r="D318" i="2"/>
  <c r="D277" i="2"/>
  <c r="D282" i="2"/>
  <c r="D260" i="2"/>
  <c r="D249" i="2"/>
  <c r="D264" i="2"/>
  <c r="D259" i="2"/>
  <c r="D255" i="2"/>
  <c r="D236" i="2"/>
  <c r="D201" i="2"/>
  <c r="D209" i="2"/>
  <c r="D183" i="2"/>
  <c r="D151" i="2"/>
  <c r="D152" i="2"/>
  <c r="D132" i="2"/>
  <c r="D170" i="2"/>
  <c r="D119" i="2"/>
  <c r="D147" i="2"/>
  <c r="D134" i="2"/>
  <c r="D89" i="2"/>
  <c r="D39" i="2"/>
  <c r="D53" i="2"/>
  <c r="D44" i="2"/>
  <c r="D63" i="2"/>
  <c r="D122" i="2"/>
  <c r="D227" i="2"/>
  <c r="D239" i="2"/>
  <c r="D359" i="2"/>
  <c r="D99" i="2"/>
  <c r="D75" i="2"/>
  <c r="D34" i="2"/>
  <c r="D58" i="2"/>
  <c r="D408" i="2"/>
  <c r="D403" i="2"/>
  <c r="D387" i="2"/>
  <c r="D397" i="2"/>
  <c r="D405" i="2"/>
  <c r="D366" i="2"/>
  <c r="D358" i="2"/>
  <c r="D369" i="2"/>
  <c r="D345" i="2"/>
  <c r="D352" i="2"/>
  <c r="D316" i="2"/>
  <c r="D300" i="2"/>
  <c r="D274" i="2"/>
  <c r="D276" i="2"/>
  <c r="D245" i="2"/>
  <c r="D217" i="2"/>
  <c r="D218" i="2"/>
  <c r="D167" i="2"/>
  <c r="D191" i="2"/>
  <c r="D155" i="2"/>
  <c r="D149" i="2"/>
  <c r="D92" i="2"/>
  <c r="D165" i="2"/>
  <c r="D102" i="2"/>
  <c r="D123" i="2"/>
  <c r="D23" i="2"/>
  <c r="D114" i="2"/>
  <c r="D94" i="2"/>
  <c r="D42" i="2"/>
  <c r="D48" i="2"/>
  <c r="D15" i="2"/>
  <c r="D140" i="2"/>
  <c r="D235" i="2"/>
  <c r="D207" i="2"/>
  <c r="D354" i="2"/>
  <c r="D10" i="2"/>
  <c r="D398" i="2"/>
  <c r="D410" i="2"/>
  <c r="D393" i="2"/>
  <c r="D375" i="2"/>
  <c r="D374" i="2"/>
  <c r="D326" i="2"/>
  <c r="D355" i="2"/>
  <c r="D325" i="2"/>
  <c r="D294" i="2"/>
  <c r="D299" i="2"/>
  <c r="D309" i="2"/>
  <c r="D297" i="2"/>
  <c r="D320" i="2"/>
  <c r="D269" i="2"/>
  <c r="D256" i="2"/>
  <c r="D261" i="2"/>
  <c r="D199" i="2"/>
  <c r="D230" i="2"/>
  <c r="D173" i="2"/>
  <c r="D139" i="2"/>
  <c r="D156" i="2"/>
  <c r="D171" i="2"/>
  <c r="D150" i="2"/>
  <c r="D127" i="2"/>
  <c r="D101" i="2"/>
  <c r="D74" i="2"/>
  <c r="D52" i="2"/>
  <c r="D62" i="2"/>
  <c r="D7" i="2"/>
  <c r="D100" i="2"/>
  <c r="D184" i="2"/>
  <c r="D243" i="2"/>
  <c r="D223" i="2"/>
  <c r="D340" i="2"/>
  <c r="D76" i="2"/>
  <c r="D66" i="2"/>
  <c r="D389" i="2"/>
  <c r="D409" i="2"/>
  <c r="D381" i="2"/>
  <c r="D313" i="2"/>
  <c r="D356" i="2"/>
  <c r="D312" i="2"/>
  <c r="D291" i="2"/>
  <c r="D287" i="2"/>
  <c r="D204" i="2"/>
  <c r="D237" i="2"/>
  <c r="D121" i="2"/>
  <c r="D164" i="2"/>
  <c r="D160" i="2"/>
  <c r="D136" i="2"/>
  <c r="D26" i="2"/>
  <c r="D95" i="2"/>
  <c r="D117" i="2"/>
  <c r="D13" i="2"/>
  <c r="D18" i="2"/>
  <c r="D24" i="2"/>
  <c r="D32" i="2"/>
  <c r="D189" i="2"/>
  <c r="D233" i="2"/>
  <c r="D247" i="2"/>
  <c r="D365" i="2"/>
  <c r="D96" i="2"/>
  <c r="D16" i="2"/>
  <c r="D106" i="2"/>
  <c r="D396" i="2"/>
  <c r="D385" i="2"/>
  <c r="D283" i="2"/>
  <c r="D286" i="2"/>
  <c r="D295" i="2"/>
  <c r="D317" i="2"/>
  <c r="D330" i="2"/>
  <c r="D348" i="2"/>
  <c r="D327" i="2"/>
  <c r="D257" i="2"/>
  <c r="D285" i="2"/>
  <c r="D225" i="2"/>
  <c r="D229" i="2"/>
  <c r="D224" i="2"/>
  <c r="D195" i="2"/>
  <c r="D182" i="2"/>
  <c r="D172" i="2"/>
  <c r="D129" i="2"/>
  <c r="D103" i="2"/>
  <c r="D159" i="2"/>
  <c r="D135" i="2"/>
  <c r="D91" i="2"/>
  <c r="D40" i="2"/>
  <c r="D14" i="2"/>
  <c r="D61" i="2"/>
  <c r="D65" i="2"/>
  <c r="D190" i="2"/>
  <c r="D258" i="2"/>
  <c r="D278" i="2"/>
  <c r="D384" i="2"/>
  <c r="D73" i="2"/>
  <c r="D50" i="2"/>
  <c r="D404" i="2"/>
  <c r="D399" i="2"/>
  <c r="D342" i="2"/>
  <c r="D336" i="2"/>
  <c r="D338" i="2"/>
  <c r="D337" i="2"/>
  <c r="D311" i="2"/>
  <c r="D307" i="2"/>
  <c r="D293" i="2"/>
  <c r="D304" i="2"/>
  <c r="D324" i="2"/>
  <c r="D265" i="2"/>
  <c r="D270" i="2"/>
  <c r="D219" i="2"/>
  <c r="D163" i="2"/>
  <c r="D203" i="2"/>
  <c r="D161" i="2"/>
  <c r="D120" i="2"/>
  <c r="D97" i="2"/>
  <c r="D80" i="2"/>
  <c r="D125" i="2"/>
  <c r="D142" i="2"/>
  <c r="D88" i="2"/>
  <c r="D85" i="2"/>
  <c r="D69" i="2"/>
  <c r="D49" i="2"/>
  <c r="D25" i="2"/>
  <c r="D35" i="2"/>
  <c r="D213" i="2"/>
  <c r="D272" i="2"/>
  <c r="D280" i="2"/>
  <c r="D104" i="2"/>
  <c r="D90" i="2"/>
  <c r="B2" i="5" l="1"/>
  <c r="B2" i="3"/>
</calcChain>
</file>

<file path=xl/sharedStrings.xml><?xml version="1.0" encoding="utf-8"?>
<sst xmlns="http://schemas.openxmlformats.org/spreadsheetml/2006/main" count="6285" uniqueCount="1953">
  <si>
    <t>Eagle Mews</t>
  </si>
  <si>
    <t>Score / 5:</t>
  </si>
  <si>
    <t>Redwood Grove</t>
  </si>
  <si>
    <t>Evergreen Crescent</t>
  </si>
  <si>
    <t>Criteria</t>
  </si>
  <si>
    <t>Weights</t>
  </si>
  <si>
    <t>Scorecard Metric</t>
  </si>
  <si>
    <t>Score</t>
  </si>
  <si>
    <t>Rating</t>
  </si>
  <si>
    <t>Targets</t>
  </si>
  <si>
    <t>Hilltop Gardens</t>
  </si>
  <si>
    <t>Transaction Growth Drivers
(monthly view)</t>
  </si>
  <si>
    <t>Google</t>
  </si>
  <si>
    <t>Lake Pines</t>
  </si>
  <si>
    <t>CHAMPS</t>
  </si>
  <si>
    <t>Golden Walk</t>
  </si>
  <si>
    <t>Complaints</t>
  </si>
  <si>
    <t>River Gate</t>
  </si>
  <si>
    <t>Customer Feedback - Cleanliness</t>
  </si>
  <si>
    <t>Liberty Commons</t>
  </si>
  <si>
    <t>Customer Feedback - Taste</t>
  </si>
  <si>
    <t>Eastwood Way</t>
  </si>
  <si>
    <t>Mystery Shopper - Speed</t>
  </si>
  <si>
    <t>Golden Place</t>
  </si>
  <si>
    <t>Operational Fundamentals 
Operations
(included in quarterly view)</t>
  </si>
  <si>
    <t>RGM Training</t>
  </si>
  <si>
    <t>Lunar Park</t>
  </si>
  <si>
    <t>AM/RS Training</t>
  </si>
  <si>
    <t>Northern Place</t>
  </si>
  <si>
    <t>STEW Training</t>
  </si>
  <si>
    <t>Emerald Quay</t>
  </si>
  <si>
    <t>Overall ROCC</t>
  </si>
  <si>
    <t>Meadow Heights</t>
  </si>
  <si>
    <t>Action Plan Compliance</t>
  </si>
  <si>
    <t>Glen Heath</t>
  </si>
  <si>
    <t>Crown Court</t>
  </si>
  <si>
    <t>River Place</t>
  </si>
  <si>
    <t>Highland Crescent</t>
  </si>
  <si>
    <t>Silverbrook Commons</t>
  </si>
  <si>
    <t>Hilltop Quay</t>
  </si>
  <si>
    <t>Parkside Grove</t>
  </si>
  <si>
    <t>Highland Quay</t>
  </si>
  <si>
    <t>Riverside Gardens</t>
  </si>
  <si>
    <t>Meadow Place</t>
  </si>
  <si>
    <t>Royal Harbor</t>
  </si>
  <si>
    <t>Fox Creek</t>
  </si>
  <si>
    <t>Sunny House</t>
  </si>
  <si>
    <t>Northvale Place</t>
  </si>
  <si>
    <t>Maple Terrace</t>
  </si>
  <si>
    <t>Fox Boulevard</t>
  </si>
  <si>
    <t>Golden Landing</t>
  </si>
  <si>
    <t>Stone Gardens</t>
  </si>
  <si>
    <t>Royal Way</t>
  </si>
  <si>
    <t>Riverside Heath</t>
  </si>
  <si>
    <t>Ash Station</t>
  </si>
  <si>
    <t>Rosewood Crossing</t>
  </si>
  <si>
    <t>Western Quay</t>
  </si>
  <si>
    <t>Autumn Station</t>
  </si>
  <si>
    <t>Liberty Crossing</t>
  </si>
  <si>
    <t>Royal Park</t>
  </si>
  <si>
    <t>Valley Creek</t>
  </si>
  <si>
    <t>Westwood View</t>
  </si>
  <si>
    <t>Ash Way</t>
  </si>
  <si>
    <t>Golden Ridge</t>
  </si>
  <si>
    <t>Harbor Point</t>
  </si>
  <si>
    <t>Evergreen Meadows</t>
  </si>
  <si>
    <t>Elm Plaza</t>
  </si>
  <si>
    <t>Willow Junction</t>
  </si>
  <si>
    <t>Oakridge Point</t>
  </si>
  <si>
    <t>Meadow Plaza</t>
  </si>
  <si>
    <t>Ash Lodge</t>
  </si>
  <si>
    <t>Oak Gate</t>
  </si>
  <si>
    <t>Lunar Boulevard</t>
  </si>
  <si>
    <t>Crestfield Grove</t>
  </si>
  <si>
    <t>Brightmoor Point</t>
  </si>
  <si>
    <t>Brightmoor Landing</t>
  </si>
  <si>
    <t>Evergreen Ridge</t>
  </si>
  <si>
    <t>Meadow Grove</t>
  </si>
  <si>
    <t>Bright Gardens</t>
  </si>
  <si>
    <t>Maple Gardens</t>
  </si>
  <si>
    <t>Silver Corner</t>
  </si>
  <si>
    <t>Briar Corner</t>
  </si>
  <si>
    <t>Westwood Heath</t>
  </si>
  <si>
    <t>Elm Heights</t>
  </si>
  <si>
    <t>Starling View</t>
  </si>
  <si>
    <t>Copper Station</t>
  </si>
  <si>
    <t>Starling Junction</t>
  </si>
  <si>
    <t>Northern Creek</t>
  </si>
  <si>
    <t>Lunar Meadows</t>
  </si>
  <si>
    <t>Haven Boulevard</t>
  </si>
  <si>
    <t>Liberty Quay</t>
  </si>
  <si>
    <t>Lunar Village</t>
  </si>
  <si>
    <t>Parkside Heights</t>
  </si>
  <si>
    <t>Stone Point</t>
  </si>
  <si>
    <t>Woodland Heights</t>
  </si>
  <si>
    <t>Westwood Place</t>
  </si>
  <si>
    <t>Parkside Heath</t>
  </si>
  <si>
    <t>Spring Ridge</t>
  </si>
  <si>
    <t>Woodland Pines</t>
  </si>
  <si>
    <t>Westmere Boulevard</t>
  </si>
  <si>
    <t>Northvale Crescent</t>
  </si>
  <si>
    <t>Crown Point</t>
  </si>
  <si>
    <t>Westmere Park</t>
  </si>
  <si>
    <t>Valley Station</t>
  </si>
  <si>
    <t>Sunny Mews</t>
  </si>
  <si>
    <t>Fox Ridge</t>
  </si>
  <si>
    <t>Hilltop Corner</t>
  </si>
  <si>
    <t>Fox House</t>
  </si>
  <si>
    <t>Glen Place</t>
  </si>
  <si>
    <t>Parkside Village</t>
  </si>
  <si>
    <t>Eastwood Gardens</t>
  </si>
  <si>
    <t>Emerald Gate</t>
  </si>
  <si>
    <t>Royal Creek</t>
  </si>
  <si>
    <t>Meadow View</t>
  </si>
  <si>
    <t>Oak Point</t>
  </si>
  <si>
    <t>Glen Harbor</t>
  </si>
  <si>
    <t>Rosewood Crescent</t>
  </si>
  <si>
    <t>Rosewood Heath</t>
  </si>
  <si>
    <t>Golden Harbor</t>
  </si>
  <si>
    <t>Copper Creek</t>
  </si>
  <si>
    <t>Silver Mews</t>
  </si>
  <si>
    <t>Westwood Plaza</t>
  </si>
  <si>
    <t>Brook Park</t>
  </si>
  <si>
    <t>Oakridge Plaza</t>
  </si>
  <si>
    <t>Fairview Gate</t>
  </si>
  <si>
    <t>Haven Square</t>
  </si>
  <si>
    <t>Highland Corner</t>
  </si>
  <si>
    <t>Bluebell Ridge</t>
  </si>
  <si>
    <t>Clearwater Bridge</t>
  </si>
  <si>
    <t>Highland Walk</t>
  </si>
  <si>
    <t>Lake Bridge</t>
  </si>
  <si>
    <t>River Quay</t>
  </si>
  <si>
    <t>River Lodge</t>
  </si>
  <si>
    <t>Rosewood Quay</t>
  </si>
  <si>
    <t>Fox Crossing</t>
  </si>
  <si>
    <t>Crestfield Point</t>
  </si>
  <si>
    <t>Brightmoor Corner</t>
  </si>
  <si>
    <t>Evergreen Grove</t>
  </si>
  <si>
    <t>Pine Hollow</t>
  </si>
  <si>
    <t>Meadow Point</t>
  </si>
  <si>
    <t>Clearwater Gardens</t>
  </si>
  <si>
    <t>Maple Creek</t>
  </si>
  <si>
    <t>Oak Plaza</t>
  </si>
  <si>
    <t>Eagle Bridge</t>
  </si>
  <si>
    <t>Bright Fields</t>
  </si>
  <si>
    <t>Sunset House</t>
  </si>
  <si>
    <t>Westmere Mews</t>
  </si>
  <si>
    <t>Pine Crescent</t>
  </si>
  <si>
    <t>Brook Place</t>
  </si>
  <si>
    <t>Liberty Heights</t>
  </si>
  <si>
    <t>Autumn House</t>
  </si>
  <si>
    <t>Haven Commons</t>
  </si>
  <si>
    <t>Parkside Walk</t>
  </si>
  <si>
    <t>Spring Gate</t>
  </si>
  <si>
    <t>Pine Station</t>
  </si>
  <si>
    <t>Fairview Valley</t>
  </si>
  <si>
    <t>Westwood Quay</t>
  </si>
  <si>
    <t>Copper Terrace</t>
  </si>
  <si>
    <t>Bluebell Point</t>
  </si>
  <si>
    <t>Rosewood Harbor</t>
  </si>
  <si>
    <t>Redwood Square</t>
  </si>
  <si>
    <t>Hilltop View</t>
  </si>
  <si>
    <t>Pine Gardens</t>
  </si>
  <si>
    <t>Oakridge Terrace</t>
  </si>
  <si>
    <t>Lake Gardens</t>
  </si>
  <si>
    <t>Brightmoor Bridge</t>
  </si>
  <si>
    <t>Westmere Fields</t>
  </si>
  <si>
    <t>Ash View</t>
  </si>
  <si>
    <t>Silver Junction</t>
  </si>
  <si>
    <t>Northern Gardens</t>
  </si>
  <si>
    <t>Stone Ridge</t>
  </si>
  <si>
    <t>Harbor Crescent</t>
  </si>
  <si>
    <t>Clearwater Boulevard</t>
  </si>
  <si>
    <t>Stone Gate</t>
  </si>
  <si>
    <t>Glen Pines</t>
  </si>
  <si>
    <t>Highland Gardens</t>
  </si>
  <si>
    <t>Parkside Court</t>
  </si>
  <si>
    <t>Highland Heath</t>
  </si>
  <si>
    <t>Silverbrook Fields</t>
  </si>
  <si>
    <t>Golden Heights</t>
  </si>
  <si>
    <t>Eastwood Hollow</t>
  </si>
  <si>
    <t>Redwood Corner</t>
  </si>
  <si>
    <t>Clearwater Landing</t>
  </si>
  <si>
    <t>Copper Mews</t>
  </si>
  <si>
    <t>Harbor Village</t>
  </si>
  <si>
    <t>Lunar Point</t>
  </si>
  <si>
    <t>Briar Pines</t>
  </si>
  <si>
    <t>Silverbrook Harbor</t>
  </si>
  <si>
    <t>Haven Valley</t>
  </si>
  <si>
    <t>Elm Point</t>
  </si>
  <si>
    <t>Clearwater Creek</t>
  </si>
  <si>
    <t>Western Harbor</t>
  </si>
  <si>
    <t>Northvale Gardens</t>
  </si>
  <si>
    <t>Silverbrook Creek</t>
  </si>
  <si>
    <t>Bright Junction</t>
  </si>
  <si>
    <t>Liberty Harbor</t>
  </si>
  <si>
    <t>Emerald Mews</t>
  </si>
  <si>
    <t>Fox Junction</t>
  </si>
  <si>
    <t>Glen Commons</t>
  </si>
  <si>
    <t>Highland Crossing</t>
  </si>
  <si>
    <t>Elm Crossing</t>
  </si>
  <si>
    <t>Eagle Junction</t>
  </si>
  <si>
    <t>Liberty Junction</t>
  </si>
  <si>
    <t>Glen Way</t>
  </si>
  <si>
    <t>Sunny Harbor</t>
  </si>
  <si>
    <t>Redwood Ridge</t>
  </si>
  <si>
    <t>Highland Creek</t>
  </si>
  <si>
    <t>Woodland Walk</t>
  </si>
  <si>
    <t>Golden Valley</t>
  </si>
  <si>
    <t>Bluebell Village</t>
  </si>
  <si>
    <t>Northern Commons</t>
  </si>
  <si>
    <t>Westwood Meadows</t>
  </si>
  <si>
    <t>Fox Terrace</t>
  </si>
  <si>
    <t>Pine Park</t>
  </si>
  <si>
    <t>Oak Corner</t>
  </si>
  <si>
    <t>Bright Square</t>
  </si>
  <si>
    <t>Parkside Gate</t>
  </si>
  <si>
    <t>Harbor Court</t>
  </si>
  <si>
    <t>Evergreen Pines</t>
  </si>
  <si>
    <t>Willow Grove</t>
  </si>
  <si>
    <t>Haven Landing</t>
  </si>
  <si>
    <t>Westmere Court</t>
  </si>
  <si>
    <t>Bright Mews</t>
  </si>
  <si>
    <t>Lunar Lodge</t>
  </si>
  <si>
    <t>Starling Crossing</t>
  </si>
  <si>
    <t>Clearwater Meadows</t>
  </si>
  <si>
    <t>Silverbrook Landing</t>
  </si>
  <si>
    <t>Silverbrook Terrace</t>
  </si>
  <si>
    <t>Glen Grove</t>
  </si>
  <si>
    <t>Briar Junction</t>
  </si>
  <si>
    <t>Elm Landing</t>
  </si>
  <si>
    <t>Silverbrook Way</t>
  </si>
  <si>
    <t>Cedar Way</t>
  </si>
  <si>
    <t>Silverbrook Crossing</t>
  </si>
  <si>
    <t>Greenfield Commons</t>
  </si>
  <si>
    <t>Brook Junction</t>
  </si>
  <si>
    <t>Rosewood House</t>
  </si>
  <si>
    <t>Rosewood Court</t>
  </si>
  <si>
    <t>Cedar Place</t>
  </si>
  <si>
    <t>Meadow Bridge</t>
  </si>
  <si>
    <t>Crown Gate</t>
  </si>
  <si>
    <t>Glen Lodge</t>
  </si>
  <si>
    <t>Ash Mews</t>
  </si>
  <si>
    <t>Northern Pines</t>
  </si>
  <si>
    <t>Westmere Place</t>
  </si>
  <si>
    <t>Hilltop Mews</t>
  </si>
  <si>
    <t>Eastwood Square</t>
  </si>
  <si>
    <t>Rosewood Creek</t>
  </si>
  <si>
    <t>Lunar Terrace</t>
  </si>
  <si>
    <t>Crown Station</t>
  </si>
  <si>
    <t>Elm Terrace</t>
  </si>
  <si>
    <t>Stone Village</t>
  </si>
  <si>
    <t>Starling Way</t>
  </si>
  <si>
    <t>Starling Plaza</t>
  </si>
  <si>
    <t>Westmere Walk</t>
  </si>
  <si>
    <t>Fairview Harbor</t>
  </si>
  <si>
    <t>Woodland Ridge</t>
  </si>
  <si>
    <t>Oakridge Place</t>
  </si>
  <si>
    <t>Crystal Quay</t>
  </si>
  <si>
    <t>Brightmoor Boulevard</t>
  </si>
  <si>
    <t>Crestfield Lodge</t>
  </si>
  <si>
    <t>Crestfield Crescent</t>
  </si>
  <si>
    <t>Bright Plaza</t>
  </si>
  <si>
    <t>Rosewood Meadows</t>
  </si>
  <si>
    <t>Willow Gate</t>
  </si>
  <si>
    <t>Hilltop Harbor</t>
  </si>
  <si>
    <t>Pine Plaza</t>
  </si>
  <si>
    <t>Brook Pines</t>
  </si>
  <si>
    <t>Meadow Junction</t>
  </si>
  <si>
    <t>Eagle Crescent</t>
  </si>
  <si>
    <t>Sunny Commons</t>
  </si>
  <si>
    <t>Northvale Boulevard</t>
  </si>
  <si>
    <t>Crestfield Park</t>
  </si>
  <si>
    <t>Cedar Ridge</t>
  </si>
  <si>
    <t>Oak Mews</t>
  </si>
  <si>
    <t>Liberty Pines</t>
  </si>
  <si>
    <t>Maple Quay</t>
  </si>
  <si>
    <t>Bright Hollow</t>
  </si>
  <si>
    <t>Crystal Place</t>
  </si>
  <si>
    <t>Spring Creek</t>
  </si>
  <si>
    <t>Parkside Creek</t>
  </si>
  <si>
    <t>Haven Lodge</t>
  </si>
  <si>
    <t>Greenfield Gardens</t>
  </si>
  <si>
    <t>Westmere Point</t>
  </si>
  <si>
    <t>Maple View</t>
  </si>
  <si>
    <t>Parkside Quay</t>
  </si>
  <si>
    <t>Bluebell Crossing</t>
  </si>
  <si>
    <t>Glen Crescent</t>
  </si>
  <si>
    <t>Hilltop Hollow</t>
  </si>
  <si>
    <t>Evergreen View</t>
  </si>
  <si>
    <t>Greenfield Junction</t>
  </si>
  <si>
    <t>Harbor Mews</t>
  </si>
  <si>
    <t>Rosewood Village</t>
  </si>
  <si>
    <t>Eastwood Gate</t>
  </si>
  <si>
    <t>Silver Station</t>
  </si>
  <si>
    <t>Royal Crossing</t>
  </si>
  <si>
    <t>Northvale Heath</t>
  </si>
  <si>
    <t>Cedar Plaza</t>
  </si>
  <si>
    <t>Haven Ridge</t>
  </si>
  <si>
    <t>Highland Pines</t>
  </si>
  <si>
    <t>Riverside House</t>
  </si>
  <si>
    <t>Willow Pines</t>
  </si>
  <si>
    <t>Rosewood Commons</t>
  </si>
  <si>
    <t>Harbor Bridge</t>
  </si>
  <si>
    <t>Haven Quay</t>
  </si>
  <si>
    <t>Emerald Gardens</t>
  </si>
  <si>
    <t>Westwood Grove</t>
  </si>
  <si>
    <t>Highland Ridge</t>
  </si>
  <si>
    <t>Emerald Heath</t>
  </si>
  <si>
    <t>Redwood Quay</t>
  </si>
  <si>
    <t>Sunset Mews</t>
  </si>
  <si>
    <t>Crestfield Pines</t>
  </si>
  <si>
    <t>Eagle Pines</t>
  </si>
  <si>
    <t>River View</t>
  </si>
  <si>
    <t>Riverside Crescent</t>
  </si>
  <si>
    <t>Starling Place</t>
  </si>
  <si>
    <t>Maple Plaza</t>
  </si>
  <si>
    <t>Riverside Creek</t>
  </si>
  <si>
    <t>Riverside Plaza</t>
  </si>
  <si>
    <t>Eastwood Court</t>
  </si>
  <si>
    <t>Woodland Terrace</t>
  </si>
  <si>
    <t>Pine Walk</t>
  </si>
  <si>
    <t>Stone Lodge</t>
  </si>
  <si>
    <t>Lunar Heath</t>
  </si>
  <si>
    <t>Royal Village</t>
  </si>
  <si>
    <t>Willow View</t>
  </si>
  <si>
    <t>Northvale Valley</t>
  </si>
  <si>
    <t>Golden Way</t>
  </si>
  <si>
    <t>Western Point</t>
  </si>
  <si>
    <t>Sunny Gate</t>
  </si>
  <si>
    <t>Northern Point</t>
  </si>
  <si>
    <t>Fox Square</t>
  </si>
  <si>
    <t>Riverside Point</t>
  </si>
  <si>
    <t>Eagle Boulevard</t>
  </si>
  <si>
    <t>Liberty Gate</t>
  </si>
  <si>
    <t>Silver Bridge</t>
  </si>
  <si>
    <t>Lunar Square</t>
  </si>
  <si>
    <t>Haven Way</t>
  </si>
  <si>
    <t>Crestfield View</t>
  </si>
  <si>
    <t>Silver Park</t>
  </si>
  <si>
    <t>Oakridge Hollow</t>
  </si>
  <si>
    <t>Bright Harbor</t>
  </si>
  <si>
    <t>Eastwood View</t>
  </si>
  <si>
    <t>Glen Creek</t>
  </si>
  <si>
    <t>Northern Quay</t>
  </si>
  <si>
    <t>Pine Court</t>
  </si>
  <si>
    <t>Silver Valley</t>
  </si>
  <si>
    <t>Fox Commons</t>
  </si>
  <si>
    <t>Crestfield Junction</t>
  </si>
  <si>
    <t>Westwood Junction</t>
  </si>
  <si>
    <t>Royal Junction</t>
  </si>
  <si>
    <t>Emerald Walk</t>
  </si>
  <si>
    <t>Woodland Commons</t>
  </si>
  <si>
    <t>Liberty Court</t>
  </si>
  <si>
    <t>Westmere Crossing</t>
  </si>
  <si>
    <t>Fox Plaza</t>
  </si>
  <si>
    <t>Hilltop Walk</t>
  </si>
  <si>
    <t>Northern Hollow</t>
  </si>
  <si>
    <t>Eastwood Pines</t>
  </si>
  <si>
    <t>Sunset Court</t>
  </si>
  <si>
    <t>Crestfield Boulevard</t>
  </si>
  <si>
    <t>River Point</t>
  </si>
  <si>
    <t>Emerald Plaza</t>
  </si>
  <si>
    <t>Brook Crescent</t>
  </si>
  <si>
    <t>Royal Heights</t>
  </si>
  <si>
    <t>Haven Meadows</t>
  </si>
  <si>
    <t>Royal Heath</t>
  </si>
  <si>
    <t>Oakridge Meadows</t>
  </si>
  <si>
    <t>Clearwater Ridge</t>
  </si>
  <si>
    <t>Bright Station</t>
  </si>
  <si>
    <t>Oakridge Valley</t>
  </si>
  <si>
    <t>Brook Plaza</t>
  </si>
  <si>
    <t>Harbor Park</t>
  </si>
  <si>
    <t>Greenfield Way</t>
  </si>
  <si>
    <t>Lake Landing</t>
  </si>
  <si>
    <t>Bluebell Mews</t>
  </si>
  <si>
    <t>Maple Fields</t>
  </si>
  <si>
    <t>Lake Harbor</t>
  </si>
  <si>
    <t>Parkside Plaza</t>
  </si>
  <si>
    <t>Northvale Meadows</t>
  </si>
  <si>
    <t>Sunny Junction</t>
  </si>
  <si>
    <t>Golden Fields</t>
  </si>
  <si>
    <t>Stone Quay</t>
  </si>
  <si>
    <t>Lake Grove</t>
  </si>
  <si>
    <t>Westmere Meadows</t>
  </si>
  <si>
    <t>Spring Fields</t>
  </si>
  <si>
    <t>Lake Boulevard</t>
  </si>
  <si>
    <t>Harbor Ridge</t>
  </si>
  <si>
    <t>Lunar Mews</t>
  </si>
  <si>
    <t>Northern Terrace</t>
  </si>
  <si>
    <t>Elm Harbor</t>
  </si>
  <si>
    <t>Fairview Landing</t>
  </si>
  <si>
    <t>Copper Square</t>
  </si>
  <si>
    <t>Oakridge Harbor</t>
  </si>
  <si>
    <t>Lunar Fields</t>
  </si>
  <si>
    <t>Willow House</t>
  </si>
  <si>
    <t>Greenfield Fields</t>
  </si>
  <si>
    <t>Sunny Heath</t>
  </si>
  <si>
    <t>Emerald Grove</t>
  </si>
  <si>
    <t>Crown Village</t>
  </si>
  <si>
    <t>Copper Quay</t>
  </si>
  <si>
    <t>Cedar View</t>
  </si>
  <si>
    <t>Copper Commons</t>
  </si>
  <si>
    <t>Meadow Park</t>
  </si>
  <si>
    <t>Oak House</t>
  </si>
  <si>
    <t>Cedar Gardens</t>
  </si>
  <si>
    <t>Oak Court</t>
  </si>
  <si>
    <t>Maple Hollow</t>
  </si>
  <si>
    <t>Bright Way</t>
  </si>
  <si>
    <t>Pine View</t>
  </si>
  <si>
    <t>Western Ridge</t>
  </si>
  <si>
    <t>Golden Heath</t>
  </si>
  <si>
    <t>Valley Way</t>
  </si>
  <si>
    <t>Glen Gardens</t>
  </si>
  <si>
    <t>Eastwood Fields</t>
  </si>
  <si>
    <t>Fox Harbor</t>
  </si>
  <si>
    <t>Briar View</t>
  </si>
  <si>
    <t>Crystal Park</t>
  </si>
  <si>
    <t>Oak Harbor</t>
  </si>
  <si>
    <t>Bluebell Way</t>
  </si>
  <si>
    <t>Westwood Crossing</t>
  </si>
  <si>
    <t>Bluebell Station</t>
  </si>
  <si>
    <t>Fairview Square</t>
  </si>
  <si>
    <t>Westmere Heights</t>
  </si>
  <si>
    <t>Operational Performance Report</t>
  </si>
  <si>
    <t>Operating Principles</t>
  </si>
  <si>
    <t>- The Operational Performance ranking is a framework for measuring restaurant performance.
- It defines long-term targets across the core pillars: Customers, Restaurant, and Teams. Each metric in the scorecard is assigned a rating from 1 to 5, with thresholds based on synthetic historical performance and portfolio targets.</t>
  </si>
  <si>
    <t>- Metrics cover the selected month, except team metrics, which cover the full active team regardless of join date.</t>
  </si>
  <si>
    <t>2026 Scores</t>
  </si>
  <si>
    <t>NETWORK SCORECARD</t>
  </si>
  <si>
    <t>2026 Targets</t>
  </si>
  <si>
    <t>Score Bands</t>
  </si>
  <si>
    <t>Weighting</t>
  </si>
  <si>
    <t>Category</t>
  </si>
  <si>
    <t>Theme / Type</t>
  </si>
  <si>
    <t>Metric</t>
  </si>
  <si>
    <t>Weight</t>
  </si>
  <si>
    <t>Source</t>
  </si>
  <si>
    <t>Owner</t>
  </si>
  <si>
    <t>Network</t>
  </si>
  <si>
    <t>Overall Satisfaction</t>
  </si>
  <si>
    <t>Google Score</t>
  </si>
  <si>
    <t>Survey Platform</t>
  </si>
  <si>
    <t>Emma</t>
  </si>
  <si>
    <t>&lt;4,05</t>
  </si>
  <si>
    <t>&gt;=4,05</t>
  </si>
  <si>
    <t>&gt;=4,20</t>
  </si>
  <si>
    <t>&gt;=4,35</t>
  </si>
  <si>
    <t>&gt;=4,50</t>
  </si>
  <si>
    <t>Overall Mystery Shopper Score</t>
  </si>
  <si>
    <t>Quality Audit Platform</t>
  </si>
  <si>
    <t>&lt;78%</t>
  </si>
  <si>
    <t>&gt;=78%</t>
  </si>
  <si>
    <t>&gt;=83%</t>
  </si>
  <si>
    <t>&gt;=88%</t>
  </si>
  <si>
    <t>&gt;=94%</t>
  </si>
  <si>
    <t>Recla/1000</t>
  </si>
  <si>
    <t>Service Desk Platform</t>
  </si>
  <si>
    <t>&gt;0,18</t>
  </si>
  <si>
    <t>&gt;=0,18</t>
  </si>
  <si>
    <t>&gt;=0,13</t>
  </si>
  <si>
    <t>&gt;=0,10</t>
  </si>
  <si>
    <t>&gt;=0,06</t>
  </si>
  <si>
    <t>Cleanliness</t>
  </si>
  <si>
    <t>Cleanliness Satisfaction</t>
  </si>
  <si>
    <t xml:space="preserve">Survey Platform </t>
  </si>
  <si>
    <t>&lt;60%</t>
  </si>
  <si>
    <t>&gt;=60%</t>
  </si>
  <si>
    <t>&gt;=64%</t>
  </si>
  <si>
    <t>&gt;=68%</t>
  </si>
  <si>
    <t>&gt;=72%</t>
  </si>
  <si>
    <t>Qualité</t>
  </si>
  <si>
    <t>Taste Satisfaction</t>
  </si>
  <si>
    <t>&lt;61%</t>
  </si>
  <si>
    <t>&gt;=61%</t>
  </si>
  <si>
    <t>&gt;=65%</t>
  </si>
  <si>
    <t>&gt;=69%</t>
  </si>
  <si>
    <t>&gt;=73%</t>
  </si>
  <si>
    <t xml:space="preserve">Service </t>
  </si>
  <si>
    <t>Score VM |Speed</t>
  </si>
  <si>
    <t xml:space="preserve"> Quality Audit Platform</t>
  </si>
  <si>
    <t>&lt;57%</t>
  </si>
  <si>
    <t>&gt;=57%</t>
  </si>
  <si>
    <t>Team Experience</t>
  </si>
  <si>
    <t>% Director/GEX2 Certification</t>
  </si>
  <si>
    <t>Training Platform</t>
  </si>
  <si>
    <t>Daniel</t>
  </si>
  <si>
    <t>&gt;=80%</t>
  </si>
  <si>
    <t>&gt;=92%</t>
  </si>
  <si>
    <t>&gt;=97%</t>
  </si>
  <si>
    <t>% Service Management Certification</t>
  </si>
  <si>
    <t>&gt;=82%</t>
  </si>
  <si>
    <t>&gt;=98%</t>
  </si>
  <si>
    <t>% Fundamentals Certification within 14 Days</t>
  </si>
  <si>
    <t>&gt;=85%</t>
  </si>
  <si>
    <t>&gt;=96%</t>
  </si>
  <si>
    <t>&gt;=99%</t>
  </si>
  <si>
    <t>ROCC Standards</t>
  </si>
  <si>
    <t>Rating Overall ROCCe</t>
  </si>
  <si>
    <t>Reporting Platform</t>
  </si>
  <si>
    <t>Olivia</t>
  </si>
  <si>
    <t>&lt;72%</t>
  </si>
  <si>
    <t>&gt;=89%</t>
  </si>
  <si>
    <t>&gt;=95%</t>
  </si>
  <si>
    <t>L3 Action Plan completed within 72h</t>
  </si>
  <si>
    <t>&lt;75%</t>
  </si>
  <si>
    <t>&gt;=75%</t>
  </si>
  <si>
    <t>&gt;=84%</t>
  </si>
  <si>
    <t>&gt;=93%</t>
  </si>
  <si>
    <t>Period</t>
  </si>
  <si>
    <t>July YTD</t>
  </si>
  <si>
    <t>Network Average</t>
  </si>
  <si>
    <t>Overall Satisfaction 25%</t>
  </si>
  <si>
    <t>Cleanliness 15%</t>
  </si>
  <si>
    <t>Taste 15%</t>
  </si>
  <si>
    <t>Service 10%</t>
  </si>
  <si>
    <t>Team Experience 15%</t>
  </si>
  <si>
    <t>ROCC Standards 20%</t>
  </si>
  <si>
    <t>Consultant</t>
  </si>
  <si>
    <t>Franchisee</t>
  </si>
  <si>
    <t>Restaurant</t>
  </si>
  <si>
    <t>Rank</t>
  </si>
  <si>
    <t>Total Score</t>
  </si>
  <si>
    <t>Overall Google Score</t>
  </si>
  <si>
    <t>CHAMPS Average</t>
  </si>
  <si>
    <t>CHAMPS Mystery Shopper Score</t>
  </si>
  <si>
    <t>Complaints per 1,000</t>
  </si>
  <si>
    <t>Complaints Score</t>
  </si>
  <si>
    <t>% Cleanliness Satisfaction</t>
  </si>
  <si>
    <t>Cleanliness Satisfaction Score</t>
  </si>
  <si>
    <t>% Taste Satisfaction</t>
  </si>
  <si>
    <t>Taste Satisfaction Score</t>
  </si>
  <si>
    <t>Speed Average</t>
  </si>
  <si>
    <t>Speed Mystery Shopper Score</t>
  </si>
  <si>
    <t>% RGM Certified</t>
  </si>
  <si>
    <t>RGM Certification Score</t>
  </si>
  <si>
    <t>% AM/RS Certified</t>
  </si>
  <si>
    <t>AM/RS Certification Score</t>
  </si>
  <si>
    <t>% STew Certified within 14 Days v2</t>
  </si>
  <si>
    <t>STEW Certification Score (14 Days) v2</t>
  </si>
  <si>
    <t>Satisfactory ROCC Audit %</t>
  </si>
  <si>
    <t>Audit at Standard Score v2</t>
  </si>
  <si>
    <t>L3 Action Plan Average</t>
  </si>
  <si>
    <t>Action Plan Score</t>
  </si>
  <si>
    <t>MMX_AREAMANAGER</t>
  </si>
  <si>
    <t>MMX_MASTER</t>
  </si>
  <si>
    <t>NCR_NAMESTORE</t>
  </si>
  <si>
    <t>Avery Ashford</t>
  </si>
  <si>
    <t>Northstar Dining Group</t>
  </si>
  <si>
    <t>4,627</t>
  </si>
  <si>
    <t>95,00 %</t>
  </si>
  <si>
    <t>0,035</t>
  </si>
  <si>
    <t>85,20 %</t>
  </si>
  <si>
    <t>94,20 %</t>
  </si>
  <si>
    <t>91,80 %</t>
  </si>
  <si>
    <t>86,60 %</t>
  </si>
  <si>
    <t>88,00 %</t>
  </si>
  <si>
    <t>59,50 %</t>
  </si>
  <si>
    <t>76,70 %</t>
  </si>
  <si>
    <t>Blake Bellamy</t>
  </si>
  <si>
    <t>Bluecrest Food Partners</t>
  </si>
  <si>
    <t>4,351</t>
  </si>
  <si>
    <t>93,40 %</t>
  </si>
  <si>
    <t>0,086</t>
  </si>
  <si>
    <t>64,70 %</t>
  </si>
  <si>
    <t>97,60 %</t>
  </si>
  <si>
    <t>88,80 %</t>
  </si>
  <si>
    <t>57,50 %</t>
  </si>
  <si>
    <t>76,20 %</t>
  </si>
  <si>
    <t>Casey Briarwood</t>
  </si>
  <si>
    <t>Silverline Hospitality</t>
  </si>
  <si>
    <t>4,564</t>
  </si>
  <si>
    <t>69,30 %</t>
  </si>
  <si>
    <t>0,190</t>
  </si>
  <si>
    <t>75,30 %</t>
  </si>
  <si>
    <t>60,60 %</t>
  </si>
  <si>
    <t>74,30 %</t>
  </si>
  <si>
    <t>91,00 %</t>
  </si>
  <si>
    <t>86,00 %</t>
  </si>
  <si>
    <t>93,00 %</t>
  </si>
  <si>
    <t>90,90 %</t>
  </si>
  <si>
    <t>Cameron Creston</t>
  </si>
  <si>
    <t>Oakbridge Restaurant Group</t>
  </si>
  <si>
    <t>4,197</t>
  </si>
  <si>
    <t>98,40 %</t>
  </si>
  <si>
    <t>0,184</t>
  </si>
  <si>
    <t>89,30 %</t>
  </si>
  <si>
    <t>58,90 %</t>
  </si>
  <si>
    <t>85,40 %</t>
  </si>
  <si>
    <t>60,50 %</t>
  </si>
  <si>
    <t>95,40 %</t>
  </si>
  <si>
    <t>56,60 %</t>
  </si>
  <si>
    <t>73,00 %</t>
  </si>
  <si>
    <t>Drew Fairbourne</t>
  </si>
  <si>
    <t>Westhaven Foods</t>
  </si>
  <si>
    <t>4,527</t>
  </si>
  <si>
    <t>90,50 %</t>
  </si>
  <si>
    <t>0,128</t>
  </si>
  <si>
    <t>79,70 %</t>
  </si>
  <si>
    <t>57,80 %</t>
  </si>
  <si>
    <t>56,80 %</t>
  </si>
  <si>
    <t>60,70 %</t>
  </si>
  <si>
    <t>94,70 %</t>
  </si>
  <si>
    <t>58,40 %</t>
  </si>
  <si>
    <t>64,40 %</t>
  </si>
  <si>
    <t>Elliot Hawthorne</t>
  </si>
  <si>
    <t>Brightfield Dining</t>
  </si>
  <si>
    <t>4,674</t>
  </si>
  <si>
    <t>82,50 %</t>
  </si>
  <si>
    <t>0,181</t>
  </si>
  <si>
    <t>81,20 %</t>
  </si>
  <si>
    <t>69,10 %</t>
  </si>
  <si>
    <t>63,80 %</t>
  </si>
  <si>
    <t>89,80 %</t>
  </si>
  <si>
    <t>61,80 %</t>
  </si>
  <si>
    <t>88,60 %</t>
  </si>
  <si>
    <t>83,10 %</t>
  </si>
  <si>
    <t>Finley Kensington</t>
  </si>
  <si>
    <t>Cedarstone Hospitality</t>
  </si>
  <si>
    <t>4,011</t>
  </si>
  <si>
    <t>72,60 %</t>
  </si>
  <si>
    <t>0,041</t>
  </si>
  <si>
    <t>56,10 %</t>
  </si>
  <si>
    <t>62,20 %</t>
  </si>
  <si>
    <t>81,60 %</t>
  </si>
  <si>
    <t>64,90 %</t>
  </si>
  <si>
    <t>70,00 %</t>
  </si>
  <si>
    <t>Harper Langford</t>
  </si>
  <si>
    <t>Rivermark Food Group</t>
  </si>
  <si>
    <t>4,673</t>
  </si>
  <si>
    <t>95,70 %</t>
  </si>
  <si>
    <t>0,129</t>
  </si>
  <si>
    <t>72,50 %</t>
  </si>
  <si>
    <t>80,50 %</t>
  </si>
  <si>
    <t>86,90 %</t>
  </si>
  <si>
    <t>56,70 %</t>
  </si>
  <si>
    <t>78,10 %</t>
  </si>
  <si>
    <t>Hayden Merriton</t>
  </si>
  <si>
    <t>Evercrest Restaurants</t>
  </si>
  <si>
    <t>4,432</t>
  </si>
  <si>
    <t>95,80 %</t>
  </si>
  <si>
    <t>0,159</t>
  </si>
  <si>
    <t>76,50 %</t>
  </si>
  <si>
    <t>63,00 %</t>
  </si>
  <si>
    <t>95,90 %</t>
  </si>
  <si>
    <t>87,70 %</t>
  </si>
  <si>
    <t>55,80 %</t>
  </si>
  <si>
    <t>83,50 %</t>
  </si>
  <si>
    <t>Jamie Northcott</t>
  </si>
  <si>
    <t>Harborline Dining</t>
  </si>
  <si>
    <t>4,729</t>
  </si>
  <si>
    <t>68,40 %</t>
  </si>
  <si>
    <t>0,113</t>
  </si>
  <si>
    <t>94,10 %</t>
  </si>
  <si>
    <t>74,80 %</t>
  </si>
  <si>
    <t>96,30 %</t>
  </si>
  <si>
    <t>66,30 %</t>
  </si>
  <si>
    <t>62,70 %</t>
  </si>
  <si>
    <t>Jordan Oakley</t>
  </si>
  <si>
    <t>Kingswell Food Partners</t>
  </si>
  <si>
    <t>68,00 %</t>
  </si>
  <si>
    <t>0,169</t>
  </si>
  <si>
    <t>63,50 %</t>
  </si>
  <si>
    <t>58,00 %</t>
  </si>
  <si>
    <t>87,30 %</t>
  </si>
  <si>
    <t>84,30 %</t>
  </si>
  <si>
    <t>91,10 %</t>
  </si>
  <si>
    <t>61,50 %</t>
  </si>
  <si>
    <t>Kendall Prescott</t>
  </si>
  <si>
    <t>Maplewood Hospitality</t>
  </si>
  <si>
    <t>4,583</t>
  </si>
  <si>
    <t>0,074</t>
  </si>
  <si>
    <t>80,70 %</t>
  </si>
  <si>
    <t>78,90 %</t>
  </si>
  <si>
    <t>61,40 %</t>
  </si>
  <si>
    <t>73,80 %</t>
  </si>
  <si>
    <t>71,00 %</t>
  </si>
  <si>
    <t>60,90 %</t>
  </si>
  <si>
    <t>Logan Redford</t>
  </si>
  <si>
    <t>Stonebridge Restaurant Co</t>
  </si>
  <si>
    <t>4,139</t>
  </si>
  <si>
    <t>80,40 %</t>
  </si>
  <si>
    <t>0,060</t>
  </si>
  <si>
    <t>98,90 %</t>
  </si>
  <si>
    <t>96,80 %</t>
  </si>
  <si>
    <t>60,40 %</t>
  </si>
  <si>
    <t>88,50 %</t>
  </si>
  <si>
    <t>Morgan Rivington</t>
  </si>
  <si>
    <t>Clearview Dining Group</t>
  </si>
  <si>
    <t>4,535</t>
  </si>
  <si>
    <t>94,90 %</t>
  </si>
  <si>
    <t>0,158</t>
  </si>
  <si>
    <t>98,60 %</t>
  </si>
  <si>
    <t>57,40 %</t>
  </si>
  <si>
    <t>70,70 %</t>
  </si>
  <si>
    <t>95,50 %</t>
  </si>
  <si>
    <t>63,40 %</t>
  </si>
  <si>
    <t>78,40 %</t>
  </si>
  <si>
    <t>Parker Sterling</t>
  </si>
  <si>
    <t>Redwood Food Partners</t>
  </si>
  <si>
    <t>4,443</t>
  </si>
  <si>
    <t>97,30 %</t>
  </si>
  <si>
    <t>0,138</t>
  </si>
  <si>
    <t>94,00 %</t>
  </si>
  <si>
    <t>92,20 %</t>
  </si>
  <si>
    <t>93,10 %</t>
  </si>
  <si>
    <t>Quinn Westbrook</t>
  </si>
  <si>
    <t>Greenhaven Restaurants</t>
  </si>
  <si>
    <t>4,517</t>
  </si>
  <si>
    <t>80,30 %</t>
  </si>
  <si>
    <t>0,099</t>
  </si>
  <si>
    <t>59,60 %</t>
  </si>
  <si>
    <t>95,20 %</t>
  </si>
  <si>
    <t>71,20 %</t>
  </si>
  <si>
    <t>97,90 %</t>
  </si>
  <si>
    <t>77,50 %</t>
  </si>
  <si>
    <t>Reese Whitmore</t>
  </si>
  <si>
    <t>Crownfield Hospitality</t>
  </si>
  <si>
    <t>4,121</t>
  </si>
  <si>
    <t>99,10 %</t>
  </si>
  <si>
    <t>0,036</t>
  </si>
  <si>
    <t>99,50 %</t>
  </si>
  <si>
    <t>71,60 %</t>
  </si>
  <si>
    <t>86,80 %</t>
  </si>
  <si>
    <t>75,60 %</t>
  </si>
  <si>
    <t>92,30 %</t>
  </si>
  <si>
    <t>80,80 %</t>
  </si>
  <si>
    <t>81,80 %</t>
  </si>
  <si>
    <t>Riley Wellington</t>
  </si>
  <si>
    <t>Fairmont Food Group</t>
  </si>
  <si>
    <t>4,219</t>
  </si>
  <si>
    <t>0,111</t>
  </si>
  <si>
    <t>90,10 %</t>
  </si>
  <si>
    <t>84,20 %</t>
  </si>
  <si>
    <t>76,40 %</t>
  </si>
  <si>
    <t>83,70 %</t>
  </si>
  <si>
    <t>Rowan Kingsley</t>
  </si>
  <si>
    <t>Willowcrest Dining</t>
  </si>
  <si>
    <t>4,008</t>
  </si>
  <si>
    <t>96,40 %</t>
  </si>
  <si>
    <t>0,205</t>
  </si>
  <si>
    <t>92,50 %</t>
  </si>
  <si>
    <t>59,30 %</t>
  </si>
  <si>
    <t>81,30 %</t>
  </si>
  <si>
    <t>59,10 %</t>
  </si>
  <si>
    <t>70,60 %</t>
  </si>
  <si>
    <t>Skyler Everhart</t>
  </si>
  <si>
    <t>Parkstone Restaurant Group</t>
  </si>
  <si>
    <t>4,376</t>
  </si>
  <si>
    <t>70,40 %</t>
  </si>
  <si>
    <t>0,108</t>
  </si>
  <si>
    <t>86,40 %</t>
  </si>
  <si>
    <t>99,00 %</t>
  </si>
  <si>
    <t>65,20 %</t>
  </si>
  <si>
    <t>77,20 %</t>
  </si>
  <si>
    <t>86,70 %</t>
  </si>
  <si>
    <t>84,10 %</t>
  </si>
  <si>
    <t>Taylor Hartwell</t>
  </si>
  <si>
    <t>Eastmere Foods</t>
  </si>
  <si>
    <t>4,447</t>
  </si>
  <si>
    <t>82,30 %</t>
  </si>
  <si>
    <t>0,210</t>
  </si>
  <si>
    <t>76,00 %</t>
  </si>
  <si>
    <t>90,70 %</t>
  </si>
  <si>
    <t>72,20 %</t>
  </si>
  <si>
    <t>Arden Brookstone</t>
  </si>
  <si>
    <t>Goldenridge Hospitality</t>
  </si>
  <si>
    <t>4,208</t>
  </si>
  <si>
    <t>0,146</t>
  </si>
  <si>
    <t>66,50 %</t>
  </si>
  <si>
    <t>77,40 %</t>
  </si>
  <si>
    <t>55,40 %</t>
  </si>
  <si>
    <t>86,10 %</t>
  </si>
  <si>
    <t>75,70 %</t>
  </si>
  <si>
    <t>79,90 %</t>
  </si>
  <si>
    <t>Emerson Greenleigh</t>
  </si>
  <si>
    <t>Brookvale Dining</t>
  </si>
  <si>
    <t>4,108</t>
  </si>
  <si>
    <t>69,70 %</t>
  </si>
  <si>
    <t>0,200</t>
  </si>
  <si>
    <t>94,50 %</t>
  </si>
  <si>
    <t>67,20 %</t>
  </si>
  <si>
    <t>84,60 %</t>
  </si>
  <si>
    <t>64,00 %</t>
  </si>
  <si>
    <t>93,50 %</t>
  </si>
  <si>
    <t>Bailey Silverton</t>
  </si>
  <si>
    <t>Lakeshore Food Partners</t>
  </si>
  <si>
    <t>4,068</t>
  </si>
  <si>
    <t>79,50 %</t>
  </si>
  <si>
    <t>0,112</t>
  </si>
  <si>
    <t>96,50 %</t>
  </si>
  <si>
    <t>94,60 %</t>
  </si>
  <si>
    <t>73,90 %</t>
  </si>
  <si>
    <t>66,00 %</t>
  </si>
  <si>
    <t>70,20 %</t>
  </si>
  <si>
    <t>56,20 %</t>
  </si>
  <si>
    <t>Dakota Cavendish</t>
  </si>
  <si>
    <t>Highland Crest Restaurants</t>
  </si>
  <si>
    <t>4,348</t>
  </si>
  <si>
    <t>0,066</t>
  </si>
  <si>
    <t>59,70 %</t>
  </si>
  <si>
    <t>72,00 %</t>
  </si>
  <si>
    <t>96,70 %</t>
  </si>
  <si>
    <t>83,60 %</t>
  </si>
  <si>
    <t>Marlowe Ellington</t>
  </si>
  <si>
    <t>Meadowgate Hospitality</t>
  </si>
  <si>
    <t>4,210</t>
  </si>
  <si>
    <t>74,60 %</t>
  </si>
  <si>
    <t>0,215</t>
  </si>
  <si>
    <t>77,10 %</t>
  </si>
  <si>
    <t>84,70 %</t>
  </si>
  <si>
    <t>73,70 %</t>
  </si>
  <si>
    <t>73,30 %</t>
  </si>
  <si>
    <t>74,40 %</t>
  </si>
  <si>
    <t>Sage Rosemont</t>
  </si>
  <si>
    <t>Silverbrook Dining</t>
  </si>
  <si>
    <t>4,130</t>
  </si>
  <si>
    <t>0,157</t>
  </si>
  <si>
    <t>65,10 %</t>
  </si>
  <si>
    <t>58,20 %</t>
  </si>
  <si>
    <t>68,80 %</t>
  </si>
  <si>
    <t>89,60 %</t>
  </si>
  <si>
    <t>Sawyer Thornfield</t>
  </si>
  <si>
    <t>Westfield Food Group</t>
  </si>
  <si>
    <t>4,149</t>
  </si>
  <si>
    <t>0,053</t>
  </si>
  <si>
    <t>73,40 %</t>
  </si>
  <si>
    <t>86,50 %</t>
  </si>
  <si>
    <t>93,30 %</t>
  </si>
  <si>
    <t>90,20 %</t>
  </si>
  <si>
    <t>97,50 %</t>
  </si>
  <si>
    <t>Tatum Westmere</t>
  </si>
  <si>
    <t>Northvale Restaurants</t>
  </si>
  <si>
    <t>4,049</t>
  </si>
  <si>
    <t>64,30 %</t>
  </si>
  <si>
    <t>0,042</t>
  </si>
  <si>
    <t>82,40 %</t>
  </si>
  <si>
    <t>59,40 %</t>
  </si>
  <si>
    <t>98,70 %</t>
  </si>
  <si>
    <t>89,90 %</t>
  </si>
  <si>
    <t>Rosebridge Hospitality</t>
  </si>
  <si>
    <t>4,488</t>
  </si>
  <si>
    <t>0,090</t>
  </si>
  <si>
    <t>61,70 %</t>
  </si>
  <si>
    <t>70,90 %</t>
  </si>
  <si>
    <t>90,80 %</t>
  </si>
  <si>
    <t>71,80 %</t>
  </si>
  <si>
    <t>61,90 %</t>
  </si>
  <si>
    <t>66,80 %</t>
  </si>
  <si>
    <t>Oakmont Dining Partners</t>
  </si>
  <si>
    <t>4,099</t>
  </si>
  <si>
    <t>55,60 %</t>
  </si>
  <si>
    <t>0,182</t>
  </si>
  <si>
    <t>81,00 %</t>
  </si>
  <si>
    <t>63,60 %</t>
  </si>
  <si>
    <t>69,20 %</t>
  </si>
  <si>
    <t>81,40 %</t>
  </si>
  <si>
    <t>91,30 %</t>
  </si>
  <si>
    <t>Brightstone Food Group</t>
  </si>
  <si>
    <t>4,799</t>
  </si>
  <si>
    <t>0,092</t>
  </si>
  <si>
    <t>57,70 %</t>
  </si>
  <si>
    <t>87,80 %</t>
  </si>
  <si>
    <t>59,00 %</t>
  </si>
  <si>
    <t>93,60 %</t>
  </si>
  <si>
    <t>Ridgeway Restaurants</t>
  </si>
  <si>
    <t>0,189</t>
  </si>
  <si>
    <t>76,10 %</t>
  </si>
  <si>
    <t>64,20 %</t>
  </si>
  <si>
    <t>83,80 %</t>
  </si>
  <si>
    <t>Springwell Hospitality</t>
  </si>
  <si>
    <t>4,663</t>
  </si>
  <si>
    <t>76,60 %</t>
  </si>
  <si>
    <t>90,30 %</t>
  </si>
  <si>
    <t>98,80 %</t>
  </si>
  <si>
    <t>75,10 %</t>
  </si>
  <si>
    <t>78,60 %</t>
  </si>
  <si>
    <t>58,80 %</t>
  </si>
  <si>
    <t>62,50 %</t>
  </si>
  <si>
    <t>Crestwood Dining</t>
  </si>
  <si>
    <t>4,358</t>
  </si>
  <si>
    <t>0,105</t>
  </si>
  <si>
    <t>89,50 %</t>
  </si>
  <si>
    <t>74,00 %</t>
  </si>
  <si>
    <t>65,80 %</t>
  </si>
  <si>
    <t>62,90 %</t>
  </si>
  <si>
    <t>60,80 %</t>
  </si>
  <si>
    <t>Riverstone Food Partners</t>
  </si>
  <si>
    <t>4,223</t>
  </si>
  <si>
    <t>0,049</t>
  </si>
  <si>
    <t>78,00 %</t>
  </si>
  <si>
    <t>96,10 %</t>
  </si>
  <si>
    <t>75,40 %</t>
  </si>
  <si>
    <t>75,00 %</t>
  </si>
  <si>
    <t>92,40 %</t>
  </si>
  <si>
    <t>71,50 %</t>
  </si>
  <si>
    <t>Havenbrook Restaurants</t>
  </si>
  <si>
    <t>4,483</t>
  </si>
  <si>
    <t>56,50 %</t>
  </si>
  <si>
    <t>85,50 %</t>
  </si>
  <si>
    <t>85,80 %</t>
  </si>
  <si>
    <t>Pinecrest Hospitality</t>
  </si>
  <si>
    <t>4,179</t>
  </si>
  <si>
    <t>93,20 %</t>
  </si>
  <si>
    <t>97,80 %</t>
  </si>
  <si>
    <t>72,30 %</t>
  </si>
  <si>
    <t>55,30 %</t>
  </si>
  <si>
    <t>79,60 %</t>
  </si>
  <si>
    <t>66,40 %</t>
  </si>
  <si>
    <t>Elmwood Dining Group</t>
  </si>
  <si>
    <t>4,111</t>
  </si>
  <si>
    <t>84,90 %</t>
  </si>
  <si>
    <t>0,043</t>
  </si>
  <si>
    <t>77,00 %</t>
  </si>
  <si>
    <t>58,60 %</t>
  </si>
  <si>
    <t>80,90 %</t>
  </si>
  <si>
    <t>81,70 %</t>
  </si>
  <si>
    <t>89,00 %</t>
  </si>
  <si>
    <t>Sunridge Food Partners</t>
  </si>
  <si>
    <t>4,212</t>
  </si>
  <si>
    <t>65,70 %</t>
  </si>
  <si>
    <t>0,037</t>
  </si>
  <si>
    <t>67,10 %</t>
  </si>
  <si>
    <t>82,10 %</t>
  </si>
  <si>
    <t>90,60 %</t>
  </si>
  <si>
    <t>67,90 %</t>
  </si>
  <si>
    <t>72,40 %</t>
  </si>
  <si>
    <t>4,543</t>
  </si>
  <si>
    <t>0,062</t>
  </si>
  <si>
    <t>70,30 %</t>
  </si>
  <si>
    <t>64,10 %</t>
  </si>
  <si>
    <t>55,00 %</t>
  </si>
  <si>
    <t>4,229</t>
  </si>
  <si>
    <t>0,201</t>
  </si>
  <si>
    <t>89,10 %</t>
  </si>
  <si>
    <t>60,20 %</t>
  </si>
  <si>
    <t>99,20 %</t>
  </si>
  <si>
    <t>4,582</t>
  </si>
  <si>
    <t>0,148</t>
  </si>
  <si>
    <t>92,80 %</t>
  </si>
  <si>
    <t>89,20 %</t>
  </si>
  <si>
    <t>85,60 %</t>
  </si>
  <si>
    <t>91,60 %</t>
  </si>
  <si>
    <t>0,059</t>
  </si>
  <si>
    <t>80,00 %</t>
  </si>
  <si>
    <t>82,60 %</t>
  </si>
  <si>
    <t>4,737</t>
  </si>
  <si>
    <t>65,60 %</t>
  </si>
  <si>
    <t>0,126</t>
  </si>
  <si>
    <t>96,90 %</t>
  </si>
  <si>
    <t>65,90 %</t>
  </si>
  <si>
    <t>96,00 %</t>
  </si>
  <si>
    <t>69,00 %</t>
  </si>
  <si>
    <t>86,30 %</t>
  </si>
  <si>
    <t>4,595</t>
  </si>
  <si>
    <t>0,089</t>
  </si>
  <si>
    <t>62,40 %</t>
  </si>
  <si>
    <t>68,20 %</t>
  </si>
  <si>
    <t>56,40 %</t>
  </si>
  <si>
    <t>4,333</t>
  </si>
  <si>
    <t>63,30 %</t>
  </si>
  <si>
    <t>0,145</t>
  </si>
  <si>
    <t>67,70 %</t>
  </si>
  <si>
    <t>57,30 %</t>
  </si>
  <si>
    <t>79,80 %</t>
  </si>
  <si>
    <t>4,122</t>
  </si>
  <si>
    <t>57,10 %</t>
  </si>
  <si>
    <t>0,173</t>
  </si>
  <si>
    <t>79,20 %</t>
  </si>
  <si>
    <t>4,490</t>
  </si>
  <si>
    <t>93,70 %</t>
  </si>
  <si>
    <t>0,155</t>
  </si>
  <si>
    <t>68,30 %</t>
  </si>
  <si>
    <t>91,40 %</t>
  </si>
  <si>
    <t>87,50 %</t>
  </si>
  <si>
    <t>97,10 %</t>
  </si>
  <si>
    <t>4,106</t>
  </si>
  <si>
    <t>0,167</t>
  </si>
  <si>
    <t>77,30 %</t>
  </si>
  <si>
    <t>98,10 %</t>
  </si>
  <si>
    <t>87,10 %</t>
  </si>
  <si>
    <t>4,548</t>
  </si>
  <si>
    <t>57,00 %</t>
  </si>
  <si>
    <t>0,120</t>
  </si>
  <si>
    <t>78,20 %</t>
  </si>
  <si>
    <t>85,10 %</t>
  </si>
  <si>
    <t>55,90 %</t>
  </si>
  <si>
    <t>56,30 %</t>
  </si>
  <si>
    <t>4,616</t>
  </si>
  <si>
    <t>0,208</t>
  </si>
  <si>
    <t>61,20 %</t>
  </si>
  <si>
    <t>68,10 %</t>
  </si>
  <si>
    <t>80,10 %</t>
  </si>
  <si>
    <t>74,20 %</t>
  </si>
  <si>
    <t>57,20 %</t>
  </si>
  <si>
    <t>4,653</t>
  </si>
  <si>
    <t>97,20 %</t>
  </si>
  <si>
    <t>81,50 %</t>
  </si>
  <si>
    <t>92,90 %</t>
  </si>
  <si>
    <t>84,40 %</t>
  </si>
  <si>
    <t>4,475</t>
  </si>
  <si>
    <t>82,70 %</t>
  </si>
  <si>
    <t>61,30 %</t>
  </si>
  <si>
    <t>72,10 %</t>
  </si>
  <si>
    <t>55,20 %</t>
  </si>
  <si>
    <t>4,010</t>
  </si>
  <si>
    <t>0,107</t>
  </si>
  <si>
    <t>4,330</t>
  </si>
  <si>
    <t>0,078</t>
  </si>
  <si>
    <t>64,60 %</t>
  </si>
  <si>
    <t>66,20 %</t>
  </si>
  <si>
    <t>0,204</t>
  </si>
  <si>
    <t>77,80 %</t>
  </si>
  <si>
    <t>60,10 %</t>
  </si>
  <si>
    <t>73,50 %</t>
  </si>
  <si>
    <t>55,50 %</t>
  </si>
  <si>
    <t>71,10 %</t>
  </si>
  <si>
    <t>4,265</t>
  </si>
  <si>
    <t>59,80 %</t>
  </si>
  <si>
    <t>85,30 %</t>
  </si>
  <si>
    <t>4,378</t>
  </si>
  <si>
    <t>0,136</t>
  </si>
  <si>
    <t>72,70 %</t>
  </si>
  <si>
    <t>75,80 %</t>
  </si>
  <si>
    <t>82,20 %</t>
  </si>
  <si>
    <t>4,171</t>
  </si>
  <si>
    <t>0,039</t>
  </si>
  <si>
    <t>69,40 %</t>
  </si>
  <si>
    <t>74,70 %</t>
  </si>
  <si>
    <t>4,574</t>
  </si>
  <si>
    <t>0,116</t>
  </si>
  <si>
    <t>83,00 %</t>
  </si>
  <si>
    <t>60,30 %</t>
  </si>
  <si>
    <t>88,90 %</t>
  </si>
  <si>
    <t>4,481</t>
  </si>
  <si>
    <t>0,050</t>
  </si>
  <si>
    <t>69,80 %</t>
  </si>
  <si>
    <t>77,70 %</t>
  </si>
  <si>
    <t>57,60 %</t>
  </si>
  <si>
    <t>69,60 %</t>
  </si>
  <si>
    <t>4,559</t>
  </si>
  <si>
    <t>66,90 %</t>
  </si>
  <si>
    <t>0,077</t>
  </si>
  <si>
    <t>81,90 %</t>
  </si>
  <si>
    <t>70,80 %</t>
  </si>
  <si>
    <t>66,10 %</t>
  </si>
  <si>
    <t>81,10 %</t>
  </si>
  <si>
    <t>4,165</t>
  </si>
  <si>
    <t>0,038</t>
  </si>
  <si>
    <t>4,086</t>
  </si>
  <si>
    <t>65,40 %</t>
  </si>
  <si>
    <t>0,166</t>
  </si>
  <si>
    <t>71,90 %</t>
  </si>
  <si>
    <t>87,40 %</t>
  </si>
  <si>
    <t>92,00 %</t>
  </si>
  <si>
    <t>4,557</t>
  </si>
  <si>
    <t>0,058</t>
  </si>
  <si>
    <t>58,50 %</t>
  </si>
  <si>
    <t>94,40 %</t>
  </si>
  <si>
    <t>85,00 %</t>
  </si>
  <si>
    <t>91,70 %</t>
  </si>
  <si>
    <t>96,60 %</t>
  </si>
  <si>
    <t>4,415</t>
  </si>
  <si>
    <t>64,80 %</t>
  </si>
  <si>
    <t>0,068</t>
  </si>
  <si>
    <t>79,00 %</t>
  </si>
  <si>
    <t>4,769</t>
  </si>
  <si>
    <t>87,00 %</t>
  </si>
  <si>
    <t>99,30 %</t>
  </si>
  <si>
    <t>4,044</t>
  </si>
  <si>
    <t>67,60 %</t>
  </si>
  <si>
    <t>4,040</t>
  </si>
  <si>
    <t>80,60 %</t>
  </si>
  <si>
    <t>59,90 %</t>
  </si>
  <si>
    <t>99,40 %</t>
  </si>
  <si>
    <t>89,40 %</t>
  </si>
  <si>
    <t>56,90 %</t>
  </si>
  <si>
    <t>65,00 %</t>
  </si>
  <si>
    <t>4,580</t>
  </si>
  <si>
    <t>82,00 %</t>
  </si>
  <si>
    <t>0,179</t>
  </si>
  <si>
    <t>74,10 %</t>
  </si>
  <si>
    <t>78,30 %</t>
  </si>
  <si>
    <t>67,80 %</t>
  </si>
  <si>
    <t>58,10 %</t>
  </si>
  <si>
    <t>4,129</t>
  </si>
  <si>
    <t>75,20 %</t>
  </si>
  <si>
    <t>0,214</t>
  </si>
  <si>
    <t>78,80 %</t>
  </si>
  <si>
    <t>88,30 %</t>
  </si>
  <si>
    <t>69,90 %</t>
  </si>
  <si>
    <t>4,576</t>
  </si>
  <si>
    <t>0,085</t>
  </si>
  <si>
    <t>97,00 %</t>
  </si>
  <si>
    <t>4,566</t>
  </si>
  <si>
    <t>0,103</t>
  </si>
  <si>
    <t>79,40 %</t>
  </si>
  <si>
    <t>59,20 %</t>
  </si>
  <si>
    <t>4,060</t>
  </si>
  <si>
    <t>96,20 %</t>
  </si>
  <si>
    <t>4,678</t>
  </si>
  <si>
    <t>0,174</t>
  </si>
  <si>
    <t>94,30 %</t>
  </si>
  <si>
    <t>88,10 %</t>
  </si>
  <si>
    <t>58,70 %</t>
  </si>
  <si>
    <t>4,126</t>
  </si>
  <si>
    <t>91,50 %</t>
  </si>
  <si>
    <t>94,80 %</t>
  </si>
  <si>
    <t>83,40 %</t>
  </si>
  <si>
    <t>4,759</t>
  </si>
  <si>
    <t>0,142</t>
  </si>
  <si>
    <t>62,80 %</t>
  </si>
  <si>
    <t>80,20 %</t>
  </si>
  <si>
    <t>4,782</t>
  </si>
  <si>
    <t>0,098</t>
  </si>
  <si>
    <t>4,633</t>
  </si>
  <si>
    <t>0,170</t>
  </si>
  <si>
    <t>4,074</t>
  </si>
  <si>
    <t>0,117</t>
  </si>
  <si>
    <t>82,90 %</t>
  </si>
  <si>
    <t>4,473</t>
  </si>
  <si>
    <t>83,20 %</t>
  </si>
  <si>
    <t>4,080</t>
  </si>
  <si>
    <t>71,70 %</t>
  </si>
  <si>
    <t>4,418</t>
  </si>
  <si>
    <t>0,177</t>
  </si>
  <si>
    <t>55,10 %</t>
  </si>
  <si>
    <t>61,00 %</t>
  </si>
  <si>
    <t>0,196</t>
  </si>
  <si>
    <t>4,671</t>
  </si>
  <si>
    <t>4,381</t>
  </si>
  <si>
    <t>0,080</t>
  </si>
  <si>
    <t>4,169</t>
  </si>
  <si>
    <t>0,084</t>
  </si>
  <si>
    <t>95,30 %</t>
  </si>
  <si>
    <t>98,50 %</t>
  </si>
  <si>
    <t>4,168</t>
  </si>
  <si>
    <t>95,60 %</t>
  </si>
  <si>
    <t>4,119</t>
  </si>
  <si>
    <t>62,30 %</t>
  </si>
  <si>
    <t>61,60 %</t>
  </si>
  <si>
    <t>4,028</t>
  </si>
  <si>
    <t>98,20 %</t>
  </si>
  <si>
    <t>98,30 %</t>
  </si>
  <si>
    <t>0,040</t>
  </si>
  <si>
    <t>68,90 %</t>
  </si>
  <si>
    <t>89,70 %</t>
  </si>
  <si>
    <t>4,798</t>
  </si>
  <si>
    <t>73,10 %</t>
  </si>
  <si>
    <t>0,164</t>
  </si>
  <si>
    <t>4,728</t>
  </si>
  <si>
    <t>0,061</t>
  </si>
  <si>
    <t>92,60 %</t>
  </si>
  <si>
    <t>4,411</t>
  </si>
  <si>
    <t>76,80 %</t>
  </si>
  <si>
    <t>0,088</t>
  </si>
  <si>
    <t>79,10 %</t>
  </si>
  <si>
    <t>70,10 %</t>
  </si>
  <si>
    <t>4,495</t>
  </si>
  <si>
    <t>4,014</t>
  </si>
  <si>
    <t>0,192</t>
  </si>
  <si>
    <t>74,50 %</t>
  </si>
  <si>
    <t>4,629</t>
  </si>
  <si>
    <t>0,087</t>
  </si>
  <si>
    <t>85,90 %</t>
  </si>
  <si>
    <t>4,200</t>
  </si>
  <si>
    <t>4,090</t>
  </si>
  <si>
    <t>0,076</t>
  </si>
  <si>
    <t>71,30 %</t>
  </si>
  <si>
    <t>0,079</t>
  </si>
  <si>
    <t>84,00 %</t>
  </si>
  <si>
    <t>4,398</t>
  </si>
  <si>
    <t>0,153</t>
  </si>
  <si>
    <t>73,60 %</t>
  </si>
  <si>
    <t>92,10 %</t>
  </si>
  <si>
    <t>4,420</t>
  </si>
  <si>
    <t>0,161</t>
  </si>
  <si>
    <t>72,80 %</t>
  </si>
  <si>
    <t>4,222</t>
  </si>
  <si>
    <t>4,688</t>
  </si>
  <si>
    <t>0,093</t>
  </si>
  <si>
    <t>65,30 %</t>
  </si>
  <si>
    <t>4,128</t>
  </si>
  <si>
    <t>0,162</t>
  </si>
  <si>
    <t>62,00 %</t>
  </si>
  <si>
    <t>4,310</t>
  </si>
  <si>
    <t>63,10 %</t>
  </si>
  <si>
    <t>0,075</t>
  </si>
  <si>
    <t>97,70 %</t>
  </si>
  <si>
    <t>4,054</t>
  </si>
  <si>
    <t>70,50 %</t>
  </si>
  <si>
    <t>4,066</t>
  </si>
  <si>
    <t>95,10 %</t>
  </si>
  <si>
    <t>4,103</t>
  </si>
  <si>
    <t>82,80 %</t>
  </si>
  <si>
    <t>0,073</t>
  </si>
  <si>
    <t>90,40 %</t>
  </si>
  <si>
    <t>72,90 %</t>
  </si>
  <si>
    <t>4,650</t>
  </si>
  <si>
    <t>86,20 %</t>
  </si>
  <si>
    <t>63,20 %</t>
  </si>
  <si>
    <t>4,837</t>
  </si>
  <si>
    <t>85,70 %</t>
  </si>
  <si>
    <t>0,140</t>
  </si>
  <si>
    <t>91,90 %</t>
  </si>
  <si>
    <t>66,70 %</t>
  </si>
  <si>
    <t>66,60 %</t>
  </si>
  <si>
    <t>4,203</t>
  </si>
  <si>
    <t>88,40 %</t>
  </si>
  <si>
    <t>84,80 %</t>
  </si>
  <si>
    <t>0,094</t>
  </si>
  <si>
    <t>0,067</t>
  </si>
  <si>
    <t>75,90 %</t>
  </si>
  <si>
    <t>4,569</t>
  </si>
  <si>
    <t>78,50 %</t>
  </si>
  <si>
    <t>77,60 %</t>
  </si>
  <si>
    <t>4,416</t>
  </si>
  <si>
    <t>0,141</t>
  </si>
  <si>
    <t>90,00 %</t>
  </si>
  <si>
    <t>4,107</t>
  </si>
  <si>
    <t>0,097</t>
  </si>
  <si>
    <t>4,035</t>
  </si>
  <si>
    <t>0,047</t>
  </si>
  <si>
    <t>93,90 %</t>
  </si>
  <si>
    <t>4,428</t>
  </si>
  <si>
    <t>65,50 %</t>
  </si>
  <si>
    <t>4,509</t>
  </si>
  <si>
    <t>0,198</t>
  </si>
  <si>
    <t>79,30 %</t>
  </si>
  <si>
    <t>4,764</t>
  </si>
  <si>
    <t>0,144</t>
  </si>
  <si>
    <t>4,698</t>
  </si>
  <si>
    <t>58,30 %</t>
  </si>
  <si>
    <t>4,148</t>
  </si>
  <si>
    <t>88,70 %</t>
  </si>
  <si>
    <t>4,771</t>
  </si>
  <si>
    <t>4,134</t>
  </si>
  <si>
    <t>0,064</t>
  </si>
  <si>
    <t>67,30 %</t>
  </si>
  <si>
    <t>4,832</t>
  </si>
  <si>
    <t>0,109</t>
  </si>
  <si>
    <t>4,339</t>
  </si>
  <si>
    <t>0,131</t>
  </si>
  <si>
    <t>74,90 %</t>
  </si>
  <si>
    <t>56,00 %</t>
  </si>
  <si>
    <t>4,757</t>
  </si>
  <si>
    <t>0,178</t>
  </si>
  <si>
    <t>69,50 %</t>
  </si>
  <si>
    <t>4,141</t>
  </si>
  <si>
    <t>0,051</t>
  </si>
  <si>
    <t>4,605</t>
  </si>
  <si>
    <t>63,90 %</t>
  </si>
  <si>
    <t>0,185</t>
  </si>
  <si>
    <t>93,80 %</t>
  </si>
  <si>
    <t>4,039</t>
  </si>
  <si>
    <t>71,40 %</t>
  </si>
  <si>
    <t>87,90 %</t>
  </si>
  <si>
    <t>62,10 %</t>
  </si>
  <si>
    <t>4,352</t>
  </si>
  <si>
    <t>0,134</t>
  </si>
  <si>
    <t>4,709</t>
  </si>
  <si>
    <t>83,30 %</t>
  </si>
  <si>
    <t>0,151</t>
  </si>
  <si>
    <t>4,256</t>
  </si>
  <si>
    <t>0,156</t>
  </si>
  <si>
    <t>4,842</t>
  </si>
  <si>
    <t>92,70 %</t>
  </si>
  <si>
    <t>4,055</t>
  </si>
  <si>
    <t>4,051</t>
  </si>
  <si>
    <t>0,132</t>
  </si>
  <si>
    <t>4,175</t>
  </si>
  <si>
    <t>4,567</t>
  </si>
  <si>
    <t>4,290</t>
  </si>
  <si>
    <t>64,50 %</t>
  </si>
  <si>
    <t>4,489</t>
  </si>
  <si>
    <t>0,055</t>
  </si>
  <si>
    <t>4,503</t>
  </si>
  <si>
    <t>68,70 %</t>
  </si>
  <si>
    <t>4,615</t>
  </si>
  <si>
    <t>0,069</t>
  </si>
  <si>
    <t>63,70 %</t>
  </si>
  <si>
    <t>4,162</t>
  </si>
  <si>
    <t>0,124</t>
  </si>
  <si>
    <t>4,354</t>
  </si>
  <si>
    <t>0,070</t>
  </si>
  <si>
    <t>4,241</t>
  </si>
  <si>
    <t>4,020</t>
  </si>
  <si>
    <t>0,119</t>
  </si>
  <si>
    <t>4,088</t>
  </si>
  <si>
    <t>0,045</t>
  </si>
  <si>
    <t>4,146</t>
  </si>
  <si>
    <t>4,618</t>
  </si>
  <si>
    <t>67,00 %</t>
  </si>
  <si>
    <t>4,041</t>
  </si>
  <si>
    <t>0,195</t>
  </si>
  <si>
    <t>76,90 %</t>
  </si>
  <si>
    <t>4,158</t>
  </si>
  <si>
    <t>0,127</t>
  </si>
  <si>
    <t>4,205</t>
  </si>
  <si>
    <t>4,751</t>
  </si>
  <si>
    <t>68,50 %</t>
  </si>
  <si>
    <t>4,677</t>
  </si>
  <si>
    <t>4,815</t>
  </si>
  <si>
    <t>4,645</t>
  </si>
  <si>
    <t>4,199</t>
  </si>
  <si>
    <t>57,90 %</t>
  </si>
  <si>
    <t>0,212</t>
  </si>
  <si>
    <t>4,357</t>
  </si>
  <si>
    <t>55,70 %</t>
  </si>
  <si>
    <t>4,510</t>
  </si>
  <si>
    <t>0,048</t>
  </si>
  <si>
    <t>97,40 %</t>
  </si>
  <si>
    <t>4,299</t>
  </si>
  <si>
    <t>67,40 %</t>
  </si>
  <si>
    <t>4,533</t>
  </si>
  <si>
    <t>0,110</t>
  </si>
  <si>
    <t>4,803</t>
  </si>
  <si>
    <t>61,10 %</t>
  </si>
  <si>
    <t>0,168</t>
  </si>
  <si>
    <t>4,439</t>
  </si>
  <si>
    <t>4,797</t>
  </si>
  <si>
    <t>88,20 %</t>
  </si>
  <si>
    <t>4,392</t>
  </si>
  <si>
    <t>4,662</t>
  </si>
  <si>
    <t>0,102</t>
  </si>
  <si>
    <t>4,460</t>
  </si>
  <si>
    <t>0,191</t>
  </si>
  <si>
    <t>4,617</t>
  </si>
  <si>
    <t>0,054</t>
  </si>
  <si>
    <t>84,50 %</t>
  </si>
  <si>
    <t>4,781</t>
  </si>
  <si>
    <t>0,165</t>
  </si>
  <si>
    <t>4,526</t>
  </si>
  <si>
    <t>0,135</t>
  </si>
  <si>
    <t>4,320</t>
  </si>
  <si>
    <t>4,512</t>
  </si>
  <si>
    <t>4,829</t>
  </si>
  <si>
    <t>4,050</t>
  </si>
  <si>
    <t>4,154</t>
  </si>
  <si>
    <t>4,847</t>
  </si>
  <si>
    <t>4,514</t>
  </si>
  <si>
    <t>4,251</t>
  </si>
  <si>
    <t>0,071</t>
  </si>
  <si>
    <t>4,025</t>
  </si>
  <si>
    <t>0,082</t>
  </si>
  <si>
    <t>4,606</t>
  </si>
  <si>
    <t>0,186</t>
  </si>
  <si>
    <t>87,20 %</t>
  </si>
  <si>
    <t>4,637</t>
  </si>
  <si>
    <t>4,524</t>
  </si>
  <si>
    <t>4,234</t>
  </si>
  <si>
    <t>76,30 %</t>
  </si>
  <si>
    <t>0,044</t>
  </si>
  <si>
    <t>4,335</t>
  </si>
  <si>
    <t>0,130</t>
  </si>
  <si>
    <t>4,545</t>
  </si>
  <si>
    <t>0,150</t>
  </si>
  <si>
    <t>4,546</t>
  </si>
  <si>
    <t>0,095</t>
  </si>
  <si>
    <t>4,110</t>
  </si>
  <si>
    <t>73,20 %</t>
  </si>
  <si>
    <t>4,263</t>
  </si>
  <si>
    <t>4,831</t>
  </si>
  <si>
    <t>60,00 %</t>
  </si>
  <si>
    <t>4,204</t>
  </si>
  <si>
    <t>4,464</t>
  </si>
  <si>
    <t>4,009</t>
  </si>
  <si>
    <t>0,188</t>
  </si>
  <si>
    <t>4,180</t>
  </si>
  <si>
    <t>4,098</t>
  </si>
  <si>
    <t>4,396</t>
  </si>
  <si>
    <t>0,056</t>
  </si>
  <si>
    <t>4,585</t>
  </si>
  <si>
    <t>0,213</t>
  </si>
  <si>
    <t>4,233</t>
  </si>
  <si>
    <t>75,50 %</t>
  </si>
  <si>
    <t>4,399</t>
  </si>
  <si>
    <t>0,083</t>
  </si>
  <si>
    <t>0,176</t>
  </si>
  <si>
    <t>4,643</t>
  </si>
  <si>
    <t>98,00 %</t>
  </si>
  <si>
    <t>4,395</t>
  </si>
  <si>
    <t>4,441</t>
  </si>
  <si>
    <t>0,172</t>
  </si>
  <si>
    <t>4,647</t>
  </si>
  <si>
    <t>4,433</t>
  </si>
  <si>
    <t>4,812</t>
  </si>
  <si>
    <t>0,101</t>
  </si>
  <si>
    <t>4,307</t>
  </si>
  <si>
    <t>4,702</t>
  </si>
  <si>
    <t>4,274</t>
  </si>
  <si>
    <t>0,175</t>
  </si>
  <si>
    <t>4,116</t>
  </si>
  <si>
    <t>0,046</t>
  </si>
  <si>
    <t>4,360</t>
  </si>
  <si>
    <t>4,539</t>
  </si>
  <si>
    <t>4,575</t>
  </si>
  <si>
    <t>4,727</t>
  </si>
  <si>
    <t>0,180</t>
  </si>
  <si>
    <t>4,082</t>
  </si>
  <si>
    <t>4,282</t>
  </si>
  <si>
    <t>87,60 %</t>
  </si>
  <si>
    <t>4,683</t>
  </si>
  <si>
    <t>4,644</t>
  </si>
  <si>
    <t>0,199</t>
  </si>
  <si>
    <t>0,183</t>
  </si>
  <si>
    <t>0,139</t>
  </si>
  <si>
    <t>4,786</t>
  </si>
  <si>
    <t>4,707</t>
  </si>
  <si>
    <t>4,331</t>
  </si>
  <si>
    <t>0,072</t>
  </si>
  <si>
    <t>4,776</t>
  </si>
  <si>
    <t>0,154</t>
  </si>
  <si>
    <t>83,90 %</t>
  </si>
  <si>
    <t>4,105</t>
  </si>
  <si>
    <t>4,805</t>
  </si>
  <si>
    <t>4,516</t>
  </si>
  <si>
    <t>4,532</t>
  </si>
  <si>
    <t>4,097</t>
  </si>
  <si>
    <t>4,397</t>
  </si>
  <si>
    <t>0,197</t>
  </si>
  <si>
    <t>4,607</t>
  </si>
  <si>
    <t>4,382</t>
  </si>
  <si>
    <t>0,104</t>
  </si>
  <si>
    <t>4,819</t>
  </si>
  <si>
    <t>0,100</t>
  </si>
  <si>
    <t>4,161</t>
  </si>
  <si>
    <t>4,719</t>
  </si>
  <si>
    <t>77,90 %</t>
  </si>
  <si>
    <t>4,795</t>
  </si>
  <si>
    <t>4,689</t>
  </si>
  <si>
    <t>4,303</t>
  </si>
  <si>
    <t>4,743</t>
  </si>
  <si>
    <t>0,057</t>
  </si>
  <si>
    <t>4,196</t>
  </si>
  <si>
    <t>0,149</t>
  </si>
  <si>
    <t>4,215</t>
  </si>
  <si>
    <t>4,356</t>
  </si>
  <si>
    <t>4,779</t>
  </si>
  <si>
    <t>4,551</t>
  </si>
  <si>
    <t>4,337</t>
  </si>
  <si>
    <t>4,722</t>
  </si>
  <si>
    <t>4,534</t>
  </si>
  <si>
    <t>4,511</t>
  </si>
  <si>
    <t>78,70 %</t>
  </si>
  <si>
    <t>4,225</t>
  </si>
  <si>
    <t>4,461</t>
  </si>
  <si>
    <t>0,203</t>
  </si>
  <si>
    <t>4,571</t>
  </si>
  <si>
    <t>4,170</t>
  </si>
  <si>
    <t>4,578</t>
  </si>
  <si>
    <t>4,496</t>
  </si>
  <si>
    <t>4,435</t>
  </si>
  <si>
    <t>62,60 %</t>
  </si>
  <si>
    <t>4,780</t>
  </si>
  <si>
    <t>4,405</t>
  </si>
  <si>
    <t>4,136</t>
  </si>
  <si>
    <t>4,127</t>
  </si>
  <si>
    <t>0,202</t>
  </si>
  <si>
    <t>91,20 %</t>
  </si>
  <si>
    <t>4,238</t>
  </si>
  <si>
    <t>0,147</t>
  </si>
  <si>
    <t>4,839</t>
  </si>
  <si>
    <t>0,125</t>
  </si>
  <si>
    <t>4,523</t>
  </si>
  <si>
    <t>4,343</t>
  </si>
  <si>
    <t>4,455</t>
  </si>
  <si>
    <t>0,052</t>
  </si>
  <si>
    <t>4,132</t>
  </si>
  <si>
    <t>4,355</t>
  </si>
  <si>
    <t>4,716</t>
  </si>
  <si>
    <t>4,118</t>
  </si>
  <si>
    <t>68,60 %</t>
  </si>
  <si>
    <t>4,412</t>
  </si>
  <si>
    <t>4,407</t>
  </si>
  <si>
    <t>4,704</t>
  </si>
  <si>
    <t>0,187</t>
  </si>
  <si>
    <t>4,038</t>
  </si>
  <si>
    <t>4,811</t>
  </si>
  <si>
    <t>4,081</t>
  </si>
  <si>
    <t>4,045</t>
  </si>
  <si>
    <t>4,721</t>
  </si>
  <si>
    <t>0,160</t>
  </si>
  <si>
    <t>4,183</t>
  </si>
  <si>
    <t>4,147</t>
  </si>
  <si>
    <t>4,750</t>
  </si>
  <si>
    <t>4,560</t>
  </si>
  <si>
    <t>4,243</t>
  </si>
  <si>
    <t>4,740</t>
  </si>
  <si>
    <t>4,817</t>
  </si>
  <si>
    <t>4,758</t>
  </si>
  <si>
    <t>4,529</t>
  </si>
  <si>
    <t>4,089</t>
  </si>
  <si>
    <t>4,166</t>
  </si>
  <si>
    <t>4,667</t>
  </si>
  <si>
    <t>67,50 %</t>
  </si>
  <si>
    <t>4,700</t>
  </si>
  <si>
    <t>4,315</t>
  </si>
  <si>
    <t>4,207</t>
  </si>
  <si>
    <t>4,093</t>
  </si>
  <si>
    <t>4,431</t>
  </si>
  <si>
    <t>4,268</t>
  </si>
  <si>
    <t>4,536</t>
  </si>
  <si>
    <t>4,095</t>
  </si>
  <si>
    <t>0,143</t>
  </si>
  <si>
    <t>4,177</t>
  </si>
  <si>
    <t>4,390</t>
  </si>
  <si>
    <t>4,742</t>
  </si>
  <si>
    <t>4,723</t>
  </si>
  <si>
    <t>4,250</t>
  </si>
  <si>
    <t>4,749</t>
  </si>
  <si>
    <t>4,308</t>
  </si>
  <si>
    <t>0,171</t>
  </si>
  <si>
    <t>4,814</t>
  </si>
  <si>
    <t>4,101</t>
  </si>
  <si>
    <t>4,249</t>
  </si>
  <si>
    <t>4,708</t>
  </si>
  <si>
    <t>4,341</t>
  </si>
  <si>
    <t>4,182</t>
  </si>
  <si>
    <t>4,724</t>
  </si>
  <si>
    <t>0,137</t>
  </si>
  <si>
    <t>4,845</t>
  </si>
  <si>
    <t>4,620</t>
  </si>
  <si>
    <t>0,114</t>
  </si>
  <si>
    <t>4,584</t>
  </si>
  <si>
    <t>4,083</t>
  </si>
  <si>
    <t>4,789</t>
  </si>
  <si>
    <t>4,628</t>
  </si>
  <si>
    <t>4,770</t>
  </si>
  <si>
    <t>4,364</t>
  </si>
  <si>
    <t>4,019</t>
  </si>
  <si>
    <t>4,801</t>
  </si>
  <si>
    <t>4,125</t>
  </si>
  <si>
    <t>4,562</t>
  </si>
  <si>
    <t>4,402</t>
  </si>
  <si>
    <t>4,445</t>
  </si>
  <si>
    <t>4,694</t>
  </si>
  <si>
    <t>4,017</t>
  </si>
  <si>
    <t>4,289</t>
  </si>
  <si>
    <t>4,279</t>
  </si>
  <si>
    <t>4,762</t>
  </si>
  <si>
    <t>4,657</t>
  </si>
  <si>
    <t>ABBEVILLE</t>
  </si>
  <si>
    <t>AEROVILLE</t>
  </si>
  <si>
    <t>AGEN BOE</t>
  </si>
  <si>
    <t>AIRE DE MEILLAC A10</t>
  </si>
  <si>
    <t>Customers</t>
  </si>
  <si>
    <t>% Overall Satisfaction</t>
  </si>
  <si>
    <t>AIX JAS DE BOUFFAN</t>
  </si>
  <si>
    <t>Complaints / 1,000 Transactions</t>
  </si>
  <si>
    <t>AJACCIO</t>
  </si>
  <si>
    <t>ALBI</t>
  </si>
  <si>
    <t>% Satisfactory ROCC Audit</t>
  </si>
  <si>
    <t>ALES</t>
  </si>
  <si>
    <t>Satisfactory Microbiology</t>
  </si>
  <si>
    <t>AMIENS CV</t>
  </si>
  <si>
    <t>Teams</t>
  </si>
  <si>
    <t>% Director Certification</t>
  </si>
  <si>
    <t>AMIENS NORD</t>
  </si>
  <si>
    <t>AMIENS SUD</t>
  </si>
  <si>
    <t>% STew Certification within 14 Days</t>
  </si>
  <si>
    <t>ANDREZIEUX BOUTHEON</t>
  </si>
  <si>
    <t>ANGERS ESPACE D ANJOU</t>
  </si>
  <si>
    <t>ANGOULEME CHAMPNIERS</t>
  </si>
  <si>
    <t>ANGOULÊME ROUTE DE BORDEAUX</t>
  </si>
  <si>
    <t>ANNECY SEYNOD</t>
  </si>
  <si>
    <t>ANNEMASSE</t>
  </si>
  <si>
    <t>ARLES FOURCHON</t>
  </si>
  <si>
    <t>ARMENTIÈRES</t>
  </si>
  <si>
    <t>ARRAS</t>
  </si>
  <si>
    <t>ARZENS SUD</t>
  </si>
  <si>
    <t>ATHIS MONS</t>
  </si>
  <si>
    <t>AUBAGNE</t>
  </si>
  <si>
    <t>AULNAY SOUS BOIS</t>
  </si>
  <si>
    <t>AULNOY LES VALENCIENNES</t>
  </si>
  <si>
    <t>AUXERRE</t>
  </si>
  <si>
    <t>AVIGNON CV</t>
  </si>
  <si>
    <t>AVIGNON LE PONTET</t>
  </si>
  <si>
    <t>AVIGNON MISTRAL</t>
  </si>
  <si>
    <t>BAYONNE</t>
  </si>
  <si>
    <t>BEAUCAIRE</t>
  </si>
  <si>
    <t>BEAUVAIS</t>
  </si>
  <si>
    <t>BELFORT</t>
  </si>
  <si>
    <t>BELLE EPINE</t>
  </si>
  <si>
    <t>BELVAL CITY LUX</t>
  </si>
  <si>
    <t>BESANCON</t>
  </si>
  <si>
    <t>BESANCON CENTRE VILLE</t>
  </si>
  <si>
    <t>BESANCON CHALEZEULE</t>
  </si>
  <si>
    <t>BETHUNE FOUQUIERES</t>
  </si>
  <si>
    <t>BEZIERS</t>
  </si>
  <si>
    <t>BEZIERS POLYGONE</t>
  </si>
  <si>
    <t>BIGANOS</t>
  </si>
  <si>
    <t>BLOIS QSP</t>
  </si>
  <si>
    <t>BOBIGNY</t>
  </si>
  <si>
    <t>BONDUES</t>
  </si>
  <si>
    <t>BONDY</t>
  </si>
  <si>
    <t>BONNEUIL</t>
  </si>
  <si>
    <t>BORDEAUX CENON</t>
  </si>
  <si>
    <t>BORDEAUX LE LAC</t>
  </si>
  <si>
    <t>BORDEAUX MERIADECK CV</t>
  </si>
  <si>
    <t>BORDEAUX MERIGNAC</t>
  </si>
  <si>
    <t>BORDEAUX PESSAC</t>
  </si>
  <si>
    <t>BORDEAUX SAINTE CATHERINE</t>
  </si>
  <si>
    <t>BORDEAUX SAINTE EULALIE</t>
  </si>
  <si>
    <t>BORDEAUX VILLENAVE</t>
  </si>
  <si>
    <t>BOSGOUET NORD</t>
  </si>
  <si>
    <t>BOULOGNE BILLANCOURT</t>
  </si>
  <si>
    <t>BOULOGNE OUTREAU</t>
  </si>
  <si>
    <t>BOURG EN BRESSE</t>
  </si>
  <si>
    <t>BOURGES</t>
  </si>
  <si>
    <t>BOURGOIN-JALLIEU</t>
  </si>
  <si>
    <t>BREST</t>
  </si>
  <si>
    <t>BREST IROISE</t>
  </si>
  <si>
    <t>BRETIGNY SUR ORGE</t>
  </si>
  <si>
    <t>BRIGNOLES</t>
  </si>
  <si>
    <t>BRIVE DRIVE</t>
  </si>
  <si>
    <t>BRUAY LA BUISSIERE</t>
  </si>
  <si>
    <t>CAEN CENTRE VILLE</t>
  </si>
  <si>
    <t>CAEN HÉROUVILLE</t>
  </si>
  <si>
    <t>CAEN MONDEVILLE</t>
  </si>
  <si>
    <t>CAGNES-SUR-MER</t>
  </si>
  <si>
    <t>CAHORS ORKA</t>
  </si>
  <si>
    <t>CALAIS</t>
  </si>
  <si>
    <t>CAMBRAI</t>
  </si>
  <si>
    <t>CANNES GARE</t>
  </si>
  <si>
    <t>CANNES LA BOCCA</t>
  </si>
  <si>
    <t>CARCASSONNE</t>
  </si>
  <si>
    <t>CARCASSONNE ROCADEST</t>
  </si>
  <si>
    <t>CARRIERES SOUS POISSY</t>
  </si>
  <si>
    <t>CASTRES</t>
  </si>
  <si>
    <t>CERGY LINANDES</t>
  </si>
  <si>
    <t>CESSON BOISSENART</t>
  </si>
  <si>
    <t>CHALON SUR SAONE</t>
  </si>
  <si>
    <t>CHALONS EN CHAMPAGNE</t>
  </si>
  <si>
    <t>CHAMBERY</t>
  </si>
  <si>
    <t>CHAMBRY LAON</t>
  </si>
  <si>
    <t>CHARLEVILLE MEZIERES</t>
  </si>
  <si>
    <t>CHARTRES LE COUDRAY</t>
  </si>
  <si>
    <t>CHATEAU THIERRY</t>
  </si>
  <si>
    <t>CHATEAUROUX</t>
  </si>
  <si>
    <t>CHERBOURG</t>
  </si>
  <si>
    <t>CHILLY MAZARIN</t>
  </si>
  <si>
    <t>CHOLET</t>
  </si>
  <si>
    <t>CLAMART</t>
  </si>
  <si>
    <t>CLAYE SOUILLY</t>
  </si>
  <si>
    <t>CLERMONT LA PAR DIEU</t>
  </si>
  <si>
    <t>CLERMONT LE BREZET</t>
  </si>
  <si>
    <t>CLERMONT NORD</t>
  </si>
  <si>
    <t>CNIT PUTEAUX</t>
  </si>
  <si>
    <t>COGNAC</t>
  </si>
  <si>
    <t>COIGNIERES</t>
  </si>
  <si>
    <t>COLIN</t>
  </si>
  <si>
    <t>COLMAR HOUSSEN</t>
  </si>
  <si>
    <t>COMPIEGNE CV</t>
  </si>
  <si>
    <t>CONFLANS-SAINTE-HONORINE</t>
  </si>
  <si>
    <t>CORBEIL</t>
  </si>
  <si>
    <t>CREIL SAINT MAXIMIN</t>
  </si>
  <si>
    <t>CRETEIL FOCH</t>
  </si>
  <si>
    <t>CRETEIL SOLEIL</t>
  </si>
  <si>
    <t>DAX</t>
  </si>
  <si>
    <t>DENAIN</t>
  </si>
  <si>
    <t>DIJON CHENOVE</t>
  </si>
  <si>
    <t>DIJON IKEA</t>
  </si>
  <si>
    <t>DIJON QUETIGNY</t>
  </si>
  <si>
    <t>DIJON TOISON D`OR</t>
  </si>
  <si>
    <t>DOLE CHOISEY</t>
  </si>
  <si>
    <t>DOUAI SIN LE NOBLE (LAMBRES LEZ DOUAI)</t>
  </si>
  <si>
    <t>DRANCY</t>
  </si>
  <si>
    <t>DREUX</t>
  </si>
  <si>
    <t>DUNKERQUE</t>
  </si>
  <si>
    <t>EPAGNY</t>
  </si>
  <si>
    <t>EPINAL JEUXEY</t>
  </si>
  <si>
    <t>ERAGNY</t>
  </si>
  <si>
    <t>ESSEY-LES-NANCY</t>
  </si>
  <si>
    <t>ETAMPES</t>
  </si>
  <si>
    <t>EVREUX</t>
  </si>
  <si>
    <t>EVRY 2</t>
  </si>
  <si>
    <t>FEGERSHEIM</t>
  </si>
  <si>
    <t>FLERS</t>
  </si>
  <si>
    <t>FLINS</t>
  </si>
  <si>
    <t>FORT DE FRANCE</t>
  </si>
  <si>
    <t>FREJUS</t>
  </si>
  <si>
    <t>FRESNES</t>
  </si>
  <si>
    <t>FURIANI</t>
  </si>
  <si>
    <t>GARGES</t>
  </si>
  <si>
    <t>GIVORS</t>
  </si>
  <si>
    <t>GONESSE</t>
  </si>
  <si>
    <t>GOSIER</t>
  </si>
  <si>
    <t>GOUSSAINVILLE</t>
  </si>
  <si>
    <t>GRASSE</t>
  </si>
  <si>
    <t>GRENOBLE ECHIROLLES</t>
  </si>
  <si>
    <t>GRENOBLE GRAND PLACE</t>
  </si>
  <si>
    <t>GRENOBLE SAINT MARTIN D HERES</t>
  </si>
  <si>
    <t>GRIGNY</t>
  </si>
  <si>
    <t>HAGUENAU</t>
  </si>
  <si>
    <t>ISTRES</t>
  </si>
  <si>
    <t>JAUX-COMPIEGNE</t>
  </si>
  <si>
    <t>KREMLIN BICETRE</t>
  </si>
  <si>
    <t>L'ISLE-ADAM</t>
  </si>
  <si>
    <t>LA DEFENSE</t>
  </si>
  <si>
    <t>LA ROCHE SUR YON</t>
  </si>
  <si>
    <t>LA ROCHELLE LAGORD</t>
  </si>
  <si>
    <t>LA VILLE DU BOIS</t>
  </si>
  <si>
    <t>LANGON</t>
  </si>
  <si>
    <t>LANGRES PERROGNEY</t>
  </si>
  <si>
    <t>LAVAL</t>
  </si>
  <si>
    <t>LAVAU</t>
  </si>
  <si>
    <t>LE HAVRE DOCKS</t>
  </si>
  <si>
    <t>LE HAVRE MONTVILLERS</t>
  </si>
  <si>
    <t>LE MANS HUNAUDIERES</t>
  </si>
  <si>
    <t>LE MANS REPUBLIQUE</t>
  </si>
  <si>
    <t>LE MANS SAINT SATURNIN</t>
  </si>
  <si>
    <t>LE PIAN-MEDOC</t>
  </si>
  <si>
    <t>LENS</t>
  </si>
  <si>
    <t>LENS CV</t>
  </si>
  <si>
    <t>LES ABYMES</t>
  </si>
  <si>
    <t>LES ANGLES</t>
  </si>
  <si>
    <t>LES ARCS-SUR-ARGENS</t>
  </si>
  <si>
    <t>LES ULIS</t>
  </si>
  <si>
    <t>LEVALLOIS</t>
  </si>
  <si>
    <t>LIBOURNE</t>
  </si>
  <si>
    <t>LIEVIN</t>
  </si>
  <si>
    <t>LILLE BETHUNE</t>
  </si>
  <si>
    <t>LILLE FLANDRES</t>
  </si>
  <si>
    <t>LILLE LEZENNES</t>
  </si>
  <si>
    <t>LILLE ROUBAIX</t>
  </si>
  <si>
    <t>LILLE SECLIN</t>
  </si>
  <si>
    <t>LIMOGES NORD</t>
  </si>
  <si>
    <t>LIMOGES REPUBLIQUE</t>
  </si>
  <si>
    <t>LIMOGES SUD</t>
  </si>
  <si>
    <t>LIVRY GARGAN</t>
  </si>
  <si>
    <t>LOGNES</t>
  </si>
  <si>
    <t>LONGEVILLE SUD</t>
  </si>
  <si>
    <t>LORIENT</t>
  </si>
  <si>
    <t>LUXEMBOURG CAPELLEN</t>
  </si>
  <si>
    <t>LYON CALUIRE</t>
  </si>
  <si>
    <t>LYON CONFLUENCE</t>
  </si>
  <si>
    <t>LYON GARIBALDI</t>
  </si>
  <si>
    <t>LYON LA PART DIEU</t>
  </si>
  <si>
    <t>LYON MOULIN A VENT</t>
  </si>
  <si>
    <t>LYON PART DIEU GARE</t>
  </si>
  <si>
    <t>LYON PIERRE BENITE</t>
  </si>
  <si>
    <t>LYON PORTE DES ALPES</t>
  </si>
  <si>
    <t>LYON RÉPUBLIQUE</t>
  </si>
  <si>
    <t>LYON SAINT PRIEST</t>
  </si>
  <si>
    <t>LYON TIGNIEU JAMEYZIEU</t>
  </si>
  <si>
    <t>LYON VILLEURBANNE</t>
  </si>
  <si>
    <t>MACON SUD</t>
  </si>
  <si>
    <t>MANOSQUE</t>
  </si>
  <si>
    <t>MANTES LA VILLE</t>
  </si>
  <si>
    <t>MARMANDE</t>
  </si>
  <si>
    <t>MARSAC-SUR-L'ISLE</t>
  </si>
  <si>
    <t>MARSEILLE LA ROSE</t>
  </si>
  <si>
    <t>MARSEILLE LA VALENTINE</t>
  </si>
  <si>
    <t>MARSEILLE LES ARNAVAUX</t>
  </si>
  <si>
    <t>MARSEILLE PLAN DE CAMPAGNE</t>
  </si>
  <si>
    <t>MARSEILLE PRÉFÉCTURE</t>
  </si>
  <si>
    <t>MARSEILLE VIEUX PORT</t>
  </si>
  <si>
    <t>MAUBEUGE</t>
  </si>
  <si>
    <t>MEAUX</t>
  </si>
  <si>
    <t>MELUN</t>
  </si>
  <si>
    <t>METZ JOUY</t>
  </si>
  <si>
    <t>METZ MARLY</t>
  </si>
  <si>
    <t>METZ METZANINE</t>
  </si>
  <si>
    <t>METZ REPUBLIQUE</t>
  </si>
  <si>
    <t>METZ SEMECOURT</t>
  </si>
  <si>
    <t>MEYZIEU</t>
  </si>
  <si>
    <t>MONDELANGE</t>
  </si>
  <si>
    <t>MONT DE MARSAN</t>
  </si>
  <si>
    <t>MONT SAINT MARTIN</t>
  </si>
  <si>
    <t>MONTARGIS</t>
  </si>
  <si>
    <t>MONTAUBAN</t>
  </si>
  <si>
    <t>MONTELIMAR</t>
  </si>
  <si>
    <t>MONTESSON</t>
  </si>
  <si>
    <t>MONTEVRAIN</t>
  </si>
  <si>
    <t>MONTGERON</t>
  </si>
  <si>
    <t>MONTIGNY</t>
  </si>
  <si>
    <t>MONTIGNY LE BRETONNEUX</t>
  </si>
  <si>
    <t>MONTLUÇON</t>
  </si>
  <si>
    <t>MONTMARAULT ALLIER</t>
  </si>
  <si>
    <t>MONTPELLIER</t>
  </si>
  <si>
    <t>MONTPELLIER FACS</t>
  </si>
  <si>
    <t>MONTPELLIER GRISETTE</t>
  </si>
  <si>
    <t>MONTPELLIER PEROLS</t>
  </si>
  <si>
    <t>MONTPELLIER PRES D ARENES</t>
  </si>
  <si>
    <t>MONTPELLIER SAINT AUNES</t>
  </si>
  <si>
    <t>MONTREUIL</t>
  </si>
  <si>
    <t>MOULINS</t>
  </si>
  <si>
    <t>MULHOUSE ILLZACH</t>
  </si>
  <si>
    <t>MULHOUSE MORSCHWILLER</t>
  </si>
  <si>
    <t>MULHOUSE PORTE JEUNE</t>
  </si>
  <si>
    <t>NANCY FROUARD</t>
  </si>
  <si>
    <t>NANCY HOUDEMONT</t>
  </si>
  <si>
    <t>NANCY LAXOU</t>
  </si>
  <si>
    <t>NANCY SAINT JEAN</t>
  </si>
  <si>
    <t>NANTES BEAULIEU</t>
  </si>
  <si>
    <t>NANTES BOUGUENAIS</t>
  </si>
  <si>
    <t>NANTES SAINT HERBLAIN</t>
  </si>
  <si>
    <t>NANTES SAINT SEBASTIEN</t>
  </si>
  <si>
    <t>NARBONNE</t>
  </si>
  <si>
    <t>NEUILLY SUR MARNE</t>
  </si>
  <si>
    <t>NEUVILLE EN FERRAIN</t>
  </si>
  <si>
    <t>NEVERS VARENNES</t>
  </si>
  <si>
    <t>NICE JEAN MEDECIN</t>
  </si>
  <si>
    <t>NICE LINGOSTIERE</t>
  </si>
  <si>
    <t>NICE RIQUIER</t>
  </si>
  <si>
    <t>NICE VALLEY</t>
  </si>
  <si>
    <t>NIMES</t>
  </si>
  <si>
    <t>NIMES CENTRE VILLE</t>
  </si>
  <si>
    <t>NIORT NORD</t>
  </si>
  <si>
    <t>NIORT SUD</t>
  </si>
  <si>
    <t>OLLIOULES</t>
  </si>
  <si>
    <t>ONET LE CHÂTEAU</t>
  </si>
  <si>
    <t>ORANGE</t>
  </si>
  <si>
    <t>ORLEANS OLIVET</t>
  </si>
  <si>
    <t>ORLEANS SARAN</t>
  </si>
  <si>
    <t>ORMESSON</t>
  </si>
  <si>
    <t>OSNY</t>
  </si>
  <si>
    <t>PARIS ALESIA</t>
  </si>
  <si>
    <t>PARIS BARBES</t>
  </si>
  <si>
    <t>PARIS BASTILLE</t>
  </si>
  <si>
    <t>PARIS CLIGNANCOURT</t>
  </si>
  <si>
    <t>PARIS CONVENTION</t>
  </si>
  <si>
    <t>PARIS FORUM DES HALLES</t>
  </si>
  <si>
    <t>PARIS GARE DE L`EST</t>
  </si>
  <si>
    <t>PARIS GARE DU NORD</t>
  </si>
  <si>
    <t>PARIS LES HALLES</t>
  </si>
  <si>
    <t>PARIS MENILMONTANT</t>
  </si>
  <si>
    <t>PARIS MONTMARTRE</t>
  </si>
  <si>
    <t>PARIS PIGALLE</t>
  </si>
  <si>
    <t>PARIS PLACE CLICHY</t>
  </si>
  <si>
    <t>PARIS PLACE ITALIE</t>
  </si>
  <si>
    <t>PARIS REPUBLIQUE</t>
  </si>
  <si>
    <t>PARIS SAINT LAZARE</t>
  </si>
  <si>
    <t>PARIS SAINT MICHEL</t>
  </si>
  <si>
    <t>PARIS STRASBOURG SAINT DENIS</t>
  </si>
  <si>
    <t>PARIS TOLBIAC</t>
  </si>
  <si>
    <t>PARLY 2</t>
  </si>
  <si>
    <t>PAU CENTRE VILLE</t>
  </si>
  <si>
    <t>PAU LESCAR</t>
  </si>
  <si>
    <t>PAU UNIVERSITE</t>
  </si>
  <si>
    <t>PERIGUEUX TRELISSAC</t>
  </si>
  <si>
    <t>PERONNE</t>
  </si>
  <si>
    <t>PERPIGNAN CASTILLET</t>
  </si>
  <si>
    <t>PERPIGNAN NORD</t>
  </si>
  <si>
    <t>PERPIGNAN PORTE D`ESPAGNE</t>
  </si>
  <si>
    <t>PERPIGNAN RIVESALTES</t>
  </si>
  <si>
    <t>PERPIGNAN SAINT CHARLES</t>
  </si>
  <si>
    <t>PERSAN</t>
  </si>
  <si>
    <t>PLAISIR</t>
  </si>
  <si>
    <t>PLAISIR GATINES</t>
  </si>
  <si>
    <t>POITIERS BEAULIEU</t>
  </si>
  <si>
    <t>POITIERS FUTUROSCOPE</t>
  </si>
  <si>
    <t>POITIERS SUD</t>
  </si>
  <si>
    <t>PONTARLIER</t>
  </si>
  <si>
    <t>PONTAULT COMBAULT</t>
  </si>
  <si>
    <t>QUIMPER</t>
  </si>
  <si>
    <t>QWARTZ CC</t>
  </si>
  <si>
    <t>RAMBOUILLET</t>
  </si>
  <si>
    <t>REIMS CENTRE VILLE</t>
  </si>
  <si>
    <t>REIMS CORMONTREUIL</t>
  </si>
  <si>
    <t>REIMS LA NEUVILETTE</t>
  </si>
  <si>
    <t>REIMS THILLOIS</t>
  </si>
  <si>
    <t>REIMS VILLAGE</t>
  </si>
  <si>
    <t>REMIRE MONTJOLY</t>
  </si>
  <si>
    <t>RENNES CESSON</t>
  </si>
  <si>
    <t>RENNES COLOMBIER</t>
  </si>
  <si>
    <t>RENNES ROUTE DE LORIENT</t>
  </si>
  <si>
    <t>RENNES SAINT GREGOIRE</t>
  </si>
  <si>
    <t>ROANNE MABLY</t>
  </si>
  <si>
    <t>ROMAINVILLE</t>
  </si>
  <si>
    <t>ROSNY</t>
  </si>
  <si>
    <t>ROSNY 2</t>
  </si>
  <si>
    <t>ROUEN BARENTIN</t>
  </si>
  <si>
    <t>ROUEN GRAND QUEVILLY</t>
  </si>
  <si>
    <t>ROUEN GROS HORLOGE</t>
  </si>
  <si>
    <t>ROUEN ST SEVER</t>
  </si>
  <si>
    <t>SABLES D`OLONNE</t>
  </si>
  <si>
    <t>SAINT BRICE</t>
  </si>
  <si>
    <t>SAINT BRIEUC LANGUEUX</t>
  </si>
  <si>
    <t>SAINT DENIS GRAND STADE</t>
  </si>
  <si>
    <t>SAINT DIE</t>
  </si>
  <si>
    <t>SAINT ETIENNE MEONS</t>
  </si>
  <si>
    <t>SAINT ETIENNE VILLARS</t>
  </si>
  <si>
    <t>SAINT GAUDENS</t>
  </si>
  <si>
    <t>SAINT GERMAIN LES ARPAJON</t>
  </si>
  <si>
    <t>SAINT GERMAIN LES CORBEIL</t>
  </si>
  <si>
    <t>SAINT MARD</t>
  </si>
  <si>
    <t>SAINT QUAY PERROS</t>
  </si>
  <si>
    <t>SAINT QUENTIN</t>
  </si>
  <si>
    <t>SAINT THIBAULT DES VIGNES</t>
  </si>
  <si>
    <t>SAINT VICTORET</t>
  </si>
  <si>
    <t>SAINT WITZ</t>
  </si>
  <si>
    <t>SAINTES</t>
  </si>
  <si>
    <t>SARTROUVILLE</t>
  </si>
  <si>
    <t>SAUMUR</t>
  </si>
  <si>
    <t>SELESTAT</t>
  </si>
  <si>
    <t>SENS</t>
  </si>
  <si>
    <t>SERVON</t>
  </si>
  <si>
    <t>SOISSONS</t>
  </si>
  <si>
    <t>SORGUES STATION AVIA</t>
  </si>
  <si>
    <t>STRASBOUG 1ERE ARMEE</t>
  </si>
  <si>
    <t>STRASBOURG CENTRE VILLE</t>
  </si>
  <si>
    <t>STRASBOURG LA VIGIE</t>
  </si>
  <si>
    <t>STRASBOURG RIVETOILE</t>
  </si>
  <si>
    <t>STRASBOURG VENDENHEIM</t>
  </si>
  <si>
    <t>TARBES</t>
  </si>
  <si>
    <t>THIONVILLE</t>
  </si>
  <si>
    <t>THONON ANTHY</t>
  </si>
  <si>
    <t>TORCY</t>
  </si>
  <si>
    <t>TOULON LA VALETTE</t>
  </si>
  <si>
    <t>TOULON LIBERTE</t>
  </si>
  <si>
    <t>TOULOUSE BLAGNAC</t>
  </si>
  <si>
    <t>TOULOUSE BORDEROUGE</t>
  </si>
  <si>
    <t>TOULOUSE CENTRE VILLE</t>
  </si>
  <si>
    <t>TOULOUSE COLOMIERS</t>
  </si>
  <si>
    <t>TOULOUSE GRAMONT</t>
  </si>
  <si>
    <t>TOULOUSE JULES JULIEN</t>
  </si>
  <si>
    <t>TOULOUSE LA RAMEE</t>
  </si>
  <si>
    <t>TOULOUSE LALANDE</t>
  </si>
  <si>
    <t>TOULOUSE MONTAUDRAN</t>
  </si>
  <si>
    <t>TOULOUSE PORTRET SUR GARONNE</t>
  </si>
  <si>
    <t>TOULOUSE PURPAN</t>
  </si>
  <si>
    <t>TOULOUSE WILSON</t>
  </si>
  <si>
    <t>TOURCOING</t>
  </si>
  <si>
    <t>TOURS (NORD)</t>
  </si>
  <si>
    <t>TOURS CHAMBRAY</t>
  </si>
  <si>
    <t>TOURVILLE-LA-RIVIÈRE</t>
  </si>
  <si>
    <t>TRIGNAC</t>
  </si>
  <si>
    <t>TROYES CENTRE VILLE</t>
  </si>
  <si>
    <t>TROYES LA CHAPELLE</t>
  </si>
  <si>
    <t>VAL DE FONTENAY</t>
  </si>
  <si>
    <t>VALENCE</t>
  </si>
  <si>
    <t>VALENCIENNES PETITE FORET</t>
  </si>
  <si>
    <t>VANNES</t>
  </si>
  <si>
    <t>VARENNES SUR SEINE</t>
  </si>
  <si>
    <t>VELIZY</t>
  </si>
  <si>
    <t>VERDUN</t>
  </si>
  <si>
    <t>VERSAILLES</t>
  </si>
  <si>
    <t>VESOUL</t>
  </si>
  <si>
    <t>VILLABE</t>
  </si>
  <si>
    <t>VILLEBON SUR YVETTE</t>
  </si>
  <si>
    <t>VILLEJUIF</t>
  </si>
  <si>
    <t>VILLENEUVE LOUBET</t>
  </si>
  <si>
    <t>VILLENEUVE SUR LOT</t>
  </si>
  <si>
    <t>VILLEPINTE</t>
  </si>
  <si>
    <t>VILLETANEUSE</t>
  </si>
  <si>
    <t>VILLIERS SUR MARNE</t>
  </si>
  <si>
    <t>VIRY NOUREUIL</t>
  </si>
  <si>
    <t>VITROLLES</t>
  </si>
  <si>
    <t>VITRY</t>
  </si>
  <si>
    <t>WASQUEHAL</t>
  </si>
  <si>
    <t>WITTENHEIM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</si>
</sst>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0.00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rgb="FF000000"/>
      <name val="Calibri"/>
      <family val="2"/>
    </font>
    <font>
      <sz val="11"/>
      <color theme="1"/>
      <name val="Calibri"/>
      <family val="2"/>
    </font>
    <font>
      <b/>
      <sz val="16"/>
      <color rgb="FF000000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4"/>
      <color rgb="FF000000"/>
      <name val="Calibri"/>
      <family val="2"/>
    </font>
    <font>
      <sz val="14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6"/>
      <color theme="1"/>
      <name val="Calibri"/>
      <family val="2"/>
    </font>
    <font>
      <sz val="11"/>
      <color theme="0"/>
      <name val="Calibri"/>
      <family val="2"/>
      <scheme val="minor"/>
    </font>
    <font>
      <sz val="10"/>
      <name val="Arial"/>
      <family val="2"/>
    </font>
    <font>
      <b/>
      <i/>
      <sz val="18"/>
      <color theme="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000000"/>
      <name val="Aptos Narrow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8"/>
      <color rgb="FFC00000"/>
      <name val="Calibri"/>
      <family val="2"/>
      <scheme val="minor"/>
    </font>
    <font>
      <b/>
      <sz val="12.5"/>
      <color rgb="FFFFFFFF"/>
      <name val="Calibri"/>
      <family val="2"/>
      <scheme val="minor"/>
    </font>
    <font>
      <b/>
      <sz val="12.5"/>
      <color theme="0"/>
      <name val="Calibri"/>
      <family val="2"/>
      <scheme val="minor"/>
    </font>
    <font>
      <sz val="12.5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20"/>
      <name val="Calibri"/>
      <family val="2"/>
    </font>
    <font>
      <b/>
      <sz val="14"/>
      <color rgb="FFC00000"/>
      <name val="Calibri"/>
      <family val="2"/>
    </font>
  </fonts>
  <fills count="4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FFD966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C9C9C9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D8EFBF"/>
        <bgColor indexed="64"/>
      </patternFill>
    </fill>
    <fill>
      <patternFill patternType="solid">
        <fgColor rgb="FFB6E088"/>
        <bgColor indexed="64"/>
      </patternFill>
    </fill>
    <fill>
      <patternFill patternType="solid">
        <fgColor rgb="FFF8DFDF"/>
        <bgColor indexed="64"/>
      </patternFill>
    </fill>
    <fill>
      <patternFill patternType="solid">
        <fgColor rgb="FFA7CADD"/>
        <bgColor indexed="64"/>
      </patternFill>
    </fill>
    <fill>
      <patternFill patternType="solid">
        <fgColor rgb="FFD8E7F0"/>
        <bgColor indexed="64"/>
      </patternFill>
    </fill>
    <fill>
      <patternFill patternType="solid">
        <fgColor rgb="FFFBE1C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A5A5A5"/>
        <bgColor rgb="FFA5A5A5"/>
      </patternFill>
    </fill>
    <fill>
      <patternFill patternType="lightUp">
        <fgColor rgb="FF000000"/>
      </patternFill>
    </fill>
    <fill>
      <patternFill patternType="solid">
        <fgColor rgb="FFDAF2D0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FDFDFD"/>
        <bgColor indexed="64"/>
      </patternFill>
    </fill>
    <fill>
      <patternFill patternType="solid">
        <fgColor rgb="FFF5CB99"/>
        <bgColor indexed="64"/>
      </patternFill>
    </fill>
    <fill>
      <patternFill patternType="solid">
        <fgColor rgb="FFEB9F9F"/>
        <bgColor indexed="64"/>
      </patternFill>
    </fill>
    <fill>
      <patternFill patternType="solid">
        <fgColor rgb="FFF1B9B9"/>
        <bgColor indexed="64"/>
      </patternFill>
    </fill>
    <fill>
      <patternFill patternType="solid">
        <fgColor rgb="FFF3C5C5"/>
        <bgColor indexed="64"/>
      </patternFill>
    </fill>
    <fill>
      <patternFill patternType="solid">
        <fgColor rgb="FFBFE59A"/>
        <bgColor indexed="64"/>
      </patternFill>
    </fill>
    <fill>
      <patternFill patternType="solid">
        <fgColor rgb="FFD08B2F"/>
        <bgColor indexed="64"/>
      </patternFill>
    </fill>
    <fill>
      <patternFill patternType="solid">
        <fgColor rgb="FFD55A5A"/>
        <bgColor indexed="64"/>
      </patternFill>
    </fill>
    <fill>
      <patternFill patternType="solid">
        <fgColor rgb="FFD98B8B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8AB8D2"/>
        <bgColor indexed="64"/>
      </patternFill>
    </fill>
    <fill>
      <patternFill patternType="solid">
        <fgColor rgb="FF82BA44"/>
        <bgColor indexed="64"/>
      </patternFill>
    </fill>
    <fill>
      <patternFill patternType="solid">
        <fgColor rgb="FF82BA44"/>
        <bgColor rgb="FF000000"/>
      </patternFill>
    </fill>
    <fill>
      <patternFill patternType="solid">
        <fgColor rgb="FFF5F5F5"/>
        <bgColor indexed="64"/>
      </patternFill>
    </fill>
    <fill>
      <patternFill patternType="solid">
        <fgColor rgb="FFE4EEF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ck">
        <color rgb="FF9BC2E6"/>
      </right>
      <top style="thick">
        <color rgb="FF9BC2E6"/>
      </top>
      <bottom style="thick">
        <color rgb="FF9BC2E6"/>
      </bottom>
      <diagonal/>
    </border>
    <border>
      <left style="thick">
        <color rgb="FF8EA9DB"/>
      </left>
      <right/>
      <top style="thick">
        <color rgb="FF8EA9DB"/>
      </top>
      <bottom style="thick">
        <color rgb="FF8EA9DB"/>
      </bottom>
      <diagonal/>
    </border>
    <border>
      <left/>
      <right/>
      <top style="thick">
        <color rgb="FF8EA9DB"/>
      </top>
      <bottom style="thick">
        <color rgb="FF8EA9DB"/>
      </bottom>
      <diagonal/>
    </border>
    <border>
      <left/>
      <right style="thick">
        <color rgb="FF8EA9DB"/>
      </right>
      <top style="thick">
        <color rgb="FF8EA9DB"/>
      </top>
      <bottom style="thick">
        <color rgb="FF8EA9DB"/>
      </bottom>
      <diagonal/>
    </border>
    <border>
      <left style="thick">
        <color rgb="FF8EA9DB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8EA9DB"/>
      </left>
      <right style="thick">
        <color rgb="FF8EA9DB"/>
      </right>
      <top style="thick">
        <color rgb="FF8EA9DB"/>
      </top>
      <bottom style="thick">
        <color rgb="FF8EA9DB"/>
      </bottom>
      <diagonal/>
    </border>
    <border>
      <left style="thick">
        <color rgb="FF9BC2E6"/>
      </left>
      <right/>
      <top style="thick">
        <color rgb="FF9BC2E6"/>
      </top>
      <bottom/>
      <diagonal/>
    </border>
    <border>
      <left/>
      <right/>
      <top style="thick">
        <color rgb="FF9BC2E6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rgb="FF8EA9DB"/>
      </left>
      <right/>
      <top/>
      <bottom style="thick">
        <color rgb="FF8EA9DB"/>
      </bottom>
      <diagonal/>
    </border>
    <border>
      <left/>
      <right style="thick">
        <color rgb="FF8EA9DB"/>
      </right>
      <top/>
      <bottom style="thick">
        <color rgb="FF8EA9DB"/>
      </bottom>
      <diagonal/>
    </border>
  </borders>
  <cellStyleXfs count="16">
    <xf numFmtId="0" fontId="0" fillId="0" borderId="0"/>
    <xf numFmtId="43" fontId="1" fillId="0" borderId="0"/>
    <xf numFmtId="9" fontId="1" fillId="0" borderId="0"/>
    <xf numFmtId="0" fontId="15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43" fontId="1" fillId="0" borderId="0"/>
    <xf numFmtId="9" fontId="1" fillId="0" borderId="0"/>
    <xf numFmtId="9" fontId="1" fillId="0" borderId="0"/>
    <xf numFmtId="43" fontId="1" fillId="0" borderId="0"/>
    <xf numFmtId="9" fontId="1" fillId="0" borderId="0"/>
  </cellStyleXfs>
  <cellXfs count="289">
    <xf numFmtId="0" fontId="0" fillId="0" borderId="0" xfId="0"/>
    <xf numFmtId="3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0" fillId="0" borderId="0" xfId="0" applyProtection="1">
      <protection locked="0"/>
    </xf>
    <xf numFmtId="0" fontId="7" fillId="0" borderId="0" xfId="0" applyFont="1" applyProtection="1">
      <protection locked="0"/>
    </xf>
    <xf numFmtId="0" fontId="10" fillId="0" borderId="6" xfId="0" applyFont="1" applyBorder="1"/>
    <xf numFmtId="39" fontId="9" fillId="0" borderId="3" xfId="1" applyNumberFormat="1" applyFont="1" applyBorder="1" applyAlignment="1">
      <alignment horizontal="right" vertical="center"/>
    </xf>
    <xf numFmtId="4" fontId="9" fillId="0" borderId="5" xfId="1" applyNumberFormat="1" applyFont="1" applyBorder="1" applyAlignment="1">
      <alignment horizontal="center" vertical="center" wrapText="1"/>
    </xf>
    <xf numFmtId="0" fontId="4" fillId="0" borderId="0" xfId="0" applyFont="1"/>
    <xf numFmtId="0" fontId="8" fillId="0" borderId="0" xfId="0" applyFont="1"/>
    <xf numFmtId="0" fontId="13" fillId="0" borderId="0" xfId="0" applyFont="1" applyAlignment="1">
      <alignment horizontal="center"/>
    </xf>
    <xf numFmtId="0" fontId="6" fillId="0" borderId="0" xfId="0" applyFont="1"/>
    <xf numFmtId="0" fontId="1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/>
    </xf>
    <xf numFmtId="0" fontId="7" fillId="0" borderId="0" xfId="0" applyFont="1"/>
    <xf numFmtId="0" fontId="0" fillId="0" borderId="2" xfId="0" applyBorder="1"/>
    <xf numFmtId="0" fontId="0" fillId="0" borderId="0" xfId="0" quotePrefix="1" applyAlignment="1">
      <alignment horizontal="left" vertical="center" wrapText="1"/>
    </xf>
    <xf numFmtId="3" fontId="9" fillId="5" borderId="0" xfId="2" applyNumberFormat="1" applyFont="1" applyFill="1" applyAlignment="1">
      <alignment horizontal="left" vertical="center" wrapText="1"/>
    </xf>
    <xf numFmtId="0" fontId="0" fillId="0" borderId="0" xfId="0" applyAlignment="1">
      <alignment horizontal="center"/>
    </xf>
    <xf numFmtId="0" fontId="11" fillId="13" borderId="0" xfId="0" applyFont="1" applyFill="1"/>
    <xf numFmtId="0" fontId="14" fillId="13" borderId="0" xfId="0" applyFont="1" applyFill="1"/>
    <xf numFmtId="0" fontId="14" fillId="13" borderId="0" xfId="0" applyFont="1" applyFill="1" applyAlignment="1">
      <alignment horizontal="center"/>
    </xf>
    <xf numFmtId="0" fontId="9" fillId="5" borderId="0" xfId="0" applyFont="1" applyFill="1"/>
    <xf numFmtId="3" fontId="9" fillId="5" borderId="0" xfId="2" applyNumberFormat="1" applyFont="1" applyFill="1" applyAlignment="1">
      <alignment horizontal="center" vertical="center" wrapText="1"/>
    </xf>
    <xf numFmtId="0" fontId="9" fillId="8" borderId="0" xfId="0" applyFont="1" applyFill="1" applyAlignment="1">
      <alignment horizontal="left"/>
    </xf>
    <xf numFmtId="9" fontId="9" fillId="8" borderId="0" xfId="0" applyNumberFormat="1" applyFont="1" applyFill="1" applyAlignment="1">
      <alignment horizontal="center"/>
    </xf>
    <xf numFmtId="3" fontId="9" fillId="8" borderId="0" xfId="2" applyNumberFormat="1" applyFont="1" applyFill="1" applyAlignment="1">
      <alignment horizontal="center" vertical="center" wrapText="1"/>
    </xf>
    <xf numFmtId="0" fontId="9" fillId="9" borderId="0" xfId="0" applyFont="1" applyFill="1" applyAlignment="1">
      <alignment horizontal="left"/>
    </xf>
    <xf numFmtId="9" fontId="9" fillId="9" borderId="0" xfId="0" applyNumberFormat="1" applyFont="1" applyFill="1" applyAlignment="1">
      <alignment horizontal="center"/>
    </xf>
    <xf numFmtId="3" fontId="9" fillId="9" borderId="0" xfId="2" applyNumberFormat="1" applyFont="1" applyFill="1" applyAlignment="1">
      <alignment horizontal="center" vertical="center" wrapText="1"/>
    </xf>
    <xf numFmtId="0" fontId="9" fillId="11" borderId="0" xfId="0" applyFont="1" applyFill="1" applyAlignment="1">
      <alignment horizontal="left"/>
    </xf>
    <xf numFmtId="9" fontId="9" fillId="11" borderId="0" xfId="0" applyNumberFormat="1" applyFont="1" applyFill="1" applyAlignment="1">
      <alignment horizontal="center"/>
    </xf>
    <xf numFmtId="3" fontId="9" fillId="11" borderId="0" xfId="2" applyNumberFormat="1" applyFont="1" applyFill="1" applyAlignment="1">
      <alignment horizontal="center" vertical="center" wrapText="1"/>
    </xf>
    <xf numFmtId="0" fontId="0" fillId="0" borderId="0" xfId="0" applyAlignment="1" applyProtection="1">
      <alignment vertical="center"/>
      <protection hidden="1"/>
    </xf>
    <xf numFmtId="3" fontId="9" fillId="6" borderId="0" xfId="0" applyNumberFormat="1" applyFont="1" applyFill="1" applyAlignment="1">
      <alignment horizontal="left" vertical="center" wrapText="1"/>
    </xf>
    <xf numFmtId="0" fontId="9" fillId="15" borderId="0" xfId="2" applyNumberFormat="1" applyFont="1" applyFill="1" applyAlignment="1">
      <alignment horizontal="center" vertical="center"/>
    </xf>
    <xf numFmtId="9" fontId="9" fillId="8" borderId="0" xfId="2" applyFont="1" applyFill="1" applyAlignment="1">
      <alignment horizontal="center"/>
    </xf>
    <xf numFmtId="9" fontId="9" fillId="9" borderId="0" xfId="2" applyFont="1" applyFill="1" applyAlignment="1">
      <alignment horizontal="center"/>
    </xf>
    <xf numFmtId="164" fontId="9" fillId="6" borderId="0" xfId="2" applyNumberFormat="1" applyFont="1" applyFill="1" applyAlignment="1">
      <alignment horizontal="center"/>
    </xf>
    <xf numFmtId="164" fontId="9" fillId="5" borderId="0" xfId="2" applyNumberFormat="1" applyFont="1" applyFill="1" applyAlignment="1">
      <alignment horizontal="center"/>
    </xf>
    <xf numFmtId="3" fontId="9" fillId="6" borderId="0" xfId="0" applyNumberFormat="1" applyFont="1" applyFill="1" applyAlignment="1">
      <alignment horizontal="center" vertical="center" wrapText="1"/>
    </xf>
    <xf numFmtId="9" fontId="9" fillId="14" borderId="0" xfId="2" applyFont="1" applyFill="1" applyAlignment="1">
      <alignment horizontal="center" vertical="center" wrapText="1"/>
    </xf>
    <xf numFmtId="9" fontId="21" fillId="2" borderId="0" xfId="0" applyNumberFormat="1" applyFont="1" applyFill="1" applyAlignment="1">
      <alignment horizontal="center" vertical="center"/>
    </xf>
    <xf numFmtId="9" fontId="9" fillId="17" borderId="0" xfId="2" applyFont="1" applyFill="1" applyAlignment="1">
      <alignment horizontal="center" vertical="center"/>
    </xf>
    <xf numFmtId="9" fontId="9" fillId="15" borderId="0" xfId="2" applyFont="1" applyFill="1" applyAlignment="1">
      <alignment horizontal="center" vertical="center"/>
    </xf>
    <xf numFmtId="9" fontId="9" fillId="5" borderId="0" xfId="0" applyNumberFormat="1" applyFont="1" applyFill="1" applyAlignment="1">
      <alignment horizontal="center"/>
    </xf>
    <xf numFmtId="9" fontId="9" fillId="15" borderId="0" xfId="2" applyFont="1" applyFill="1" applyAlignment="1">
      <alignment horizontal="left" vertical="center"/>
    </xf>
    <xf numFmtId="0" fontId="0" fillId="0" borderId="0" xfId="1" applyNumberFormat="1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1" fontId="0" fillId="0" borderId="0" xfId="1" applyNumberFormat="1" applyFont="1" applyAlignment="1">
      <alignment horizontal="center" vertical="center" wrapText="1"/>
    </xf>
    <xf numFmtId="9" fontId="0" fillId="0" borderId="0" xfId="0" applyNumberFormat="1" applyAlignment="1">
      <alignment horizontal="center" vertical="center" wrapText="1"/>
    </xf>
    <xf numFmtId="2" fontId="1" fillId="0" borderId="0" xfId="2" applyNumberFormat="1"/>
    <xf numFmtId="0" fontId="23" fillId="18" borderId="0" xfId="0" applyFont="1" applyFill="1" applyAlignment="1">
      <alignment horizontal="center" vertical="center" wrapText="1"/>
    </xf>
    <xf numFmtId="1" fontId="2" fillId="19" borderId="0" xfId="0" applyNumberFormat="1" applyFont="1" applyFill="1" applyAlignment="1">
      <alignment horizontal="center" vertical="center" wrapText="1"/>
    </xf>
    <xf numFmtId="2" fontId="2" fillId="20" borderId="0" xfId="0" applyNumberFormat="1" applyFont="1" applyFill="1" applyAlignment="1">
      <alignment horizontal="center" vertical="center" wrapText="1"/>
    </xf>
    <xf numFmtId="0" fontId="2" fillId="16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1" borderId="0" xfId="0" applyFont="1" applyFill="1" applyAlignment="1">
      <alignment horizontal="center" vertical="center" wrapText="1"/>
    </xf>
    <xf numFmtId="0" fontId="2" fillId="22" borderId="0" xfId="0" applyFont="1" applyFill="1" applyAlignment="1">
      <alignment horizontal="center" vertical="center" wrapText="1"/>
    </xf>
    <xf numFmtId="2" fontId="2" fillId="23" borderId="0" xfId="0" applyNumberFormat="1" applyFont="1" applyFill="1" applyAlignment="1">
      <alignment horizontal="center" vertical="center" wrapText="1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9" fontId="1" fillId="0" borderId="0" xfId="2" applyAlignment="1">
      <alignment horizontal="center"/>
    </xf>
    <xf numFmtId="165" fontId="0" fillId="0" borderId="0" xfId="0" applyNumberFormat="1" applyAlignment="1">
      <alignment horizontal="center"/>
    </xf>
    <xf numFmtId="0" fontId="27" fillId="0" borderId="0" xfId="0" applyFont="1"/>
    <xf numFmtId="0" fontId="28" fillId="0" borderId="0" xfId="0" applyFont="1" applyAlignment="1">
      <alignment horizontal="left" vertical="center"/>
    </xf>
    <xf numFmtId="0" fontId="29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30" fillId="27" borderId="0" xfId="0" applyFont="1" applyFill="1" applyAlignment="1">
      <alignment horizontal="left" vertical="center"/>
    </xf>
    <xf numFmtId="0" fontId="30" fillId="27" borderId="0" xfId="0" applyFont="1" applyFill="1" applyAlignment="1">
      <alignment horizontal="center" vertical="center"/>
    </xf>
    <xf numFmtId="2" fontId="2" fillId="32" borderId="0" xfId="0" applyNumberFormat="1" applyFont="1" applyFill="1" applyAlignment="1">
      <alignment horizontal="center" vertical="center" wrapText="1"/>
    </xf>
    <xf numFmtId="9" fontId="26" fillId="26" borderId="0" xfId="0" applyNumberFormat="1" applyFont="1" applyFill="1" applyAlignment="1">
      <alignment horizontal="center" vertical="center" wrapText="1"/>
    </xf>
    <xf numFmtId="3" fontId="2" fillId="30" borderId="14" xfId="0" applyNumberFormat="1" applyFont="1" applyFill="1" applyBorder="1" applyAlignment="1">
      <alignment horizontal="center" vertical="center" wrapText="1"/>
    </xf>
    <xf numFmtId="3" fontId="2" fillId="31" borderId="14" xfId="0" applyNumberFormat="1" applyFont="1" applyFill="1" applyBorder="1" applyAlignment="1">
      <alignment horizontal="center" vertical="center" wrapText="1"/>
    </xf>
    <xf numFmtId="165" fontId="2" fillId="31" borderId="14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14" fillId="1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29" fillId="0" borderId="0" xfId="0" applyFont="1" applyAlignment="1">
      <alignment horizontal="left" vertical="center"/>
    </xf>
    <xf numFmtId="9" fontId="0" fillId="0" borderId="0" xfId="0" applyNumberFormat="1" applyAlignment="1">
      <alignment vertical="center"/>
    </xf>
    <xf numFmtId="9" fontId="14" fillId="13" borderId="0" xfId="0" applyNumberFormat="1" applyFont="1" applyFill="1"/>
    <xf numFmtId="9" fontId="0" fillId="0" borderId="0" xfId="0" quotePrefix="1" applyNumberFormat="1" applyAlignment="1">
      <alignment horizontal="left" vertical="center" wrapText="1"/>
    </xf>
    <xf numFmtId="9" fontId="28" fillId="0" borderId="0" xfId="0" applyNumberFormat="1" applyFont="1" applyAlignment="1">
      <alignment vertical="center"/>
    </xf>
    <xf numFmtId="9" fontId="29" fillId="0" borderId="0" xfId="0" applyNumberFormat="1" applyFont="1" applyAlignment="1">
      <alignment vertical="center"/>
    </xf>
    <xf numFmtId="9" fontId="30" fillId="27" borderId="0" xfId="0" applyNumberFormat="1" applyFont="1" applyFill="1" applyAlignment="1">
      <alignment horizontal="center" vertical="center"/>
    </xf>
    <xf numFmtId="9" fontId="0" fillId="0" borderId="0" xfId="2" applyFont="1" applyAlignment="1">
      <alignment horizontal="center"/>
    </xf>
    <xf numFmtId="0" fontId="33" fillId="18" borderId="0" xfId="0" applyFont="1" applyFill="1" applyAlignment="1">
      <alignment horizontal="left" vertical="center" wrapText="1"/>
    </xf>
    <xf numFmtId="9" fontId="33" fillId="18" borderId="0" xfId="0" applyNumberFormat="1" applyFont="1" applyFill="1" applyAlignment="1">
      <alignment horizontal="center" vertical="center" wrapText="1"/>
    </xf>
    <xf numFmtId="0" fontId="33" fillId="18" borderId="0" xfId="0" applyFont="1" applyFill="1" applyAlignment="1">
      <alignment horizontal="center" vertical="center" wrapText="1"/>
    </xf>
    <xf numFmtId="0" fontId="32" fillId="18" borderId="16" xfId="0" applyFont="1" applyFill="1" applyBorder="1" applyAlignment="1">
      <alignment horizontal="left" vertical="center" wrapText="1"/>
    </xf>
    <xf numFmtId="0" fontId="32" fillId="18" borderId="1" xfId="0" applyFont="1" applyFill="1" applyBorder="1" applyAlignment="1">
      <alignment horizontal="left" vertical="center" wrapText="1"/>
    </xf>
    <xf numFmtId="0" fontId="33" fillId="18" borderId="7" xfId="0" applyFont="1" applyFill="1" applyBorder="1" applyAlignment="1">
      <alignment horizontal="left" vertical="center" wrapText="1"/>
    </xf>
    <xf numFmtId="9" fontId="33" fillId="18" borderId="7" xfId="0" applyNumberFormat="1" applyFont="1" applyFill="1" applyBorder="1" applyAlignment="1">
      <alignment horizontal="center" vertical="center" wrapText="1"/>
    </xf>
    <xf numFmtId="0" fontId="33" fillId="18" borderId="7" xfId="0" applyFont="1" applyFill="1" applyBorder="1" applyAlignment="1">
      <alignment horizontal="center" vertical="center" wrapText="1"/>
    </xf>
    <xf numFmtId="2" fontId="20" fillId="23" borderId="1" xfId="0" applyNumberFormat="1" applyFont="1" applyFill="1" applyBorder="1" applyAlignment="1">
      <alignment horizontal="left" vertical="center" wrapText="1"/>
    </xf>
    <xf numFmtId="2" fontId="19" fillId="23" borderId="7" xfId="0" applyNumberFormat="1" applyFont="1" applyFill="1" applyBorder="1" applyAlignment="1">
      <alignment horizontal="left" vertical="center" wrapText="1"/>
    </xf>
    <xf numFmtId="9" fontId="19" fillId="23" borderId="7" xfId="0" applyNumberFormat="1" applyFont="1" applyFill="1" applyBorder="1" applyAlignment="1">
      <alignment horizontal="center" vertical="center" wrapText="1"/>
    </xf>
    <xf numFmtId="2" fontId="19" fillId="23" borderId="7" xfId="0" applyNumberFormat="1" applyFont="1" applyFill="1" applyBorder="1" applyAlignment="1">
      <alignment horizontal="center" vertical="center" wrapText="1"/>
    </xf>
    <xf numFmtId="2" fontId="20" fillId="20" borderId="1" xfId="0" applyNumberFormat="1" applyFont="1" applyFill="1" applyBorder="1" applyAlignment="1">
      <alignment horizontal="left" vertical="center" wrapText="1"/>
    </xf>
    <xf numFmtId="2" fontId="19" fillId="20" borderId="7" xfId="0" applyNumberFormat="1" applyFont="1" applyFill="1" applyBorder="1" applyAlignment="1">
      <alignment horizontal="left" vertical="center" wrapText="1"/>
    </xf>
    <xf numFmtId="1" fontId="2" fillId="3" borderId="0" xfId="0" applyNumberFormat="1" applyFont="1" applyFill="1" applyAlignment="1">
      <alignment horizontal="center" vertical="center" wrapText="1"/>
    </xf>
    <xf numFmtId="3" fontId="2" fillId="31" borderId="0" xfId="0" applyNumberFormat="1" applyFont="1" applyFill="1" applyAlignment="1">
      <alignment horizontal="center" vertical="center" wrapText="1"/>
    </xf>
    <xf numFmtId="165" fontId="2" fillId="31" borderId="0" xfId="0" applyNumberFormat="1" applyFont="1" applyFill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64" fontId="1" fillId="0" borderId="0" xfId="2" applyNumberFormat="1" applyAlignment="1">
      <alignment horizontal="center"/>
    </xf>
    <xf numFmtId="0" fontId="2" fillId="33" borderId="0" xfId="0" applyFont="1" applyFill="1" applyAlignment="1">
      <alignment horizontal="center" vertical="center" wrapText="1"/>
    </xf>
    <xf numFmtId="2" fontId="2" fillId="34" borderId="0" xfId="0" applyNumberFormat="1" applyFont="1" applyFill="1" applyAlignment="1">
      <alignment horizontal="center" vertical="center" wrapText="1"/>
    </xf>
    <xf numFmtId="0" fontId="2" fillId="35" borderId="0" xfId="0" applyFont="1" applyFill="1" applyAlignment="1">
      <alignment horizontal="center" vertical="center" wrapText="1"/>
    </xf>
    <xf numFmtId="0" fontId="23" fillId="36" borderId="0" xfId="0" applyFont="1" applyFill="1" applyAlignment="1">
      <alignment horizontal="center" vertical="center" wrapText="1"/>
    </xf>
    <xf numFmtId="0" fontId="30" fillId="43" borderId="8" xfId="0" applyFont="1" applyFill="1" applyBorder="1" applyAlignment="1">
      <alignment horizontal="center" vertical="center"/>
    </xf>
    <xf numFmtId="0" fontId="29" fillId="43" borderId="8" xfId="0" applyFont="1" applyFill="1" applyBorder="1" applyAlignment="1">
      <alignment vertical="center"/>
    </xf>
    <xf numFmtId="9" fontId="22" fillId="43" borderId="8" xfId="0" applyNumberFormat="1" applyFont="1" applyFill="1" applyBorder="1" applyAlignment="1">
      <alignment horizontal="center" vertical="center"/>
    </xf>
    <xf numFmtId="9" fontId="14" fillId="13" borderId="0" xfId="0" applyNumberFormat="1" applyFont="1" applyFill="1" applyAlignment="1">
      <alignment horizontal="center"/>
    </xf>
    <xf numFmtId="0" fontId="20" fillId="44" borderId="16" xfId="0" applyFont="1" applyFill="1" applyBorder="1" applyAlignment="1">
      <alignment horizontal="left" vertical="center" wrapText="1"/>
    </xf>
    <xf numFmtId="0" fontId="19" fillId="44" borderId="0" xfId="0" applyFont="1" applyFill="1" applyAlignment="1">
      <alignment horizontal="left" vertical="center" wrapText="1"/>
    </xf>
    <xf numFmtId="9" fontId="19" fillId="44" borderId="0" xfId="0" applyNumberFormat="1" applyFont="1" applyFill="1" applyAlignment="1">
      <alignment horizontal="center" vertical="center" wrapText="1"/>
    </xf>
    <xf numFmtId="0" fontId="19" fillId="44" borderId="0" xfId="0" applyFont="1" applyFill="1" applyAlignment="1">
      <alignment horizontal="center" vertical="center" wrapText="1"/>
    </xf>
    <xf numFmtId="10" fontId="19" fillId="44" borderId="0" xfId="0" applyNumberFormat="1" applyFont="1" applyFill="1" applyAlignment="1">
      <alignment horizontal="center" vertical="center" wrapText="1"/>
    </xf>
    <xf numFmtId="0" fontId="20" fillId="44" borderId="1" xfId="0" applyFont="1" applyFill="1" applyBorder="1" applyAlignment="1">
      <alignment horizontal="left" vertical="center" wrapText="1"/>
    </xf>
    <xf numFmtId="0" fontId="19" fillId="44" borderId="7" xfId="0" applyFont="1" applyFill="1" applyBorder="1" applyAlignment="1">
      <alignment horizontal="left" vertical="center" wrapText="1"/>
    </xf>
    <xf numFmtId="9" fontId="19" fillId="44" borderId="7" xfId="0" applyNumberFormat="1" applyFont="1" applyFill="1" applyBorder="1" applyAlignment="1">
      <alignment horizontal="center" vertical="center" wrapText="1"/>
    </xf>
    <xf numFmtId="0" fontId="19" fillId="44" borderId="7" xfId="0" applyFont="1" applyFill="1" applyBorder="1" applyAlignment="1">
      <alignment horizontal="center" vertical="center" wrapText="1"/>
    </xf>
    <xf numFmtId="10" fontId="19" fillId="44" borderId="7" xfId="0" applyNumberFormat="1" applyFont="1" applyFill="1" applyBorder="1" applyAlignment="1">
      <alignment horizontal="center" vertical="center" wrapText="1"/>
    </xf>
    <xf numFmtId="0" fontId="20" fillId="45" borderId="16" xfId="0" applyFont="1" applyFill="1" applyBorder="1" applyAlignment="1">
      <alignment horizontal="left" vertical="center" wrapText="1"/>
    </xf>
    <xf numFmtId="0" fontId="19" fillId="45" borderId="0" xfId="0" applyFont="1" applyFill="1" applyAlignment="1">
      <alignment horizontal="left" vertical="center" wrapText="1"/>
    </xf>
    <xf numFmtId="9" fontId="19" fillId="45" borderId="0" xfId="0" applyNumberFormat="1" applyFont="1" applyFill="1" applyAlignment="1">
      <alignment horizontal="center" vertical="center" wrapText="1"/>
    </xf>
    <xf numFmtId="0" fontId="19" fillId="45" borderId="0" xfId="0" applyFont="1" applyFill="1" applyAlignment="1">
      <alignment horizontal="center" vertical="center" wrapText="1"/>
    </xf>
    <xf numFmtId="10" fontId="19" fillId="45" borderId="0" xfId="0" applyNumberFormat="1" applyFont="1" applyFill="1" applyAlignment="1">
      <alignment horizontal="center" vertical="center" wrapText="1"/>
    </xf>
    <xf numFmtId="0" fontId="20" fillId="45" borderId="1" xfId="0" applyFont="1" applyFill="1" applyBorder="1" applyAlignment="1">
      <alignment horizontal="left" vertical="center" wrapText="1"/>
    </xf>
    <xf numFmtId="0" fontId="19" fillId="45" borderId="7" xfId="0" applyFont="1" applyFill="1" applyBorder="1" applyAlignment="1">
      <alignment horizontal="left" vertical="center" wrapText="1"/>
    </xf>
    <xf numFmtId="9" fontId="19" fillId="45" borderId="7" xfId="0" applyNumberFormat="1" applyFont="1" applyFill="1" applyBorder="1" applyAlignment="1">
      <alignment horizontal="center" vertical="center" wrapText="1"/>
    </xf>
    <xf numFmtId="0" fontId="19" fillId="45" borderId="7" xfId="0" applyFont="1" applyFill="1" applyBorder="1" applyAlignment="1">
      <alignment horizontal="center" vertical="center" wrapText="1"/>
    </xf>
    <xf numFmtId="10" fontId="19" fillId="45" borderId="7" xfId="0" applyNumberFormat="1" applyFont="1" applyFill="1" applyBorder="1" applyAlignment="1">
      <alignment horizontal="center" vertical="center" wrapText="1"/>
    </xf>
    <xf numFmtId="2" fontId="17" fillId="37" borderId="8" xfId="0" applyNumberFormat="1" applyFont="1" applyFill="1" applyBorder="1" applyAlignment="1">
      <alignment vertical="center" wrapText="1"/>
    </xf>
    <xf numFmtId="9" fontId="24" fillId="37" borderId="8" xfId="0" applyNumberFormat="1" applyFont="1" applyFill="1" applyBorder="1" applyAlignment="1">
      <alignment horizontal="center" vertical="center" wrapText="1"/>
    </xf>
    <xf numFmtId="0" fontId="20" fillId="35" borderId="1" xfId="0" applyFont="1" applyFill="1" applyBorder="1" applyAlignment="1">
      <alignment horizontal="left" vertical="center" wrapText="1"/>
    </xf>
    <xf numFmtId="0" fontId="19" fillId="35" borderId="7" xfId="0" applyFont="1" applyFill="1" applyBorder="1" applyAlignment="1">
      <alignment horizontal="left" vertical="center" wrapText="1"/>
    </xf>
    <xf numFmtId="9" fontId="0" fillId="35" borderId="7" xfId="0" applyNumberFormat="1" applyFill="1" applyBorder="1" applyAlignment="1">
      <alignment horizontal="center" vertical="center" wrapText="1"/>
    </xf>
    <xf numFmtId="0" fontId="0" fillId="35" borderId="7" xfId="0" applyFill="1" applyBorder="1" applyAlignment="1">
      <alignment horizontal="center" vertical="center" wrapText="1"/>
    </xf>
    <xf numFmtId="9" fontId="0" fillId="20" borderId="7" xfId="0" applyNumberFormat="1" applyFill="1" applyBorder="1" applyAlignment="1">
      <alignment horizontal="center" vertical="center" wrapText="1"/>
    </xf>
    <xf numFmtId="2" fontId="0" fillId="20" borderId="7" xfId="0" applyNumberFormat="1" applyFill="1" applyBorder="1" applyAlignment="1">
      <alignment horizontal="center" vertical="center" wrapText="1"/>
    </xf>
    <xf numFmtId="0" fontId="37" fillId="39" borderId="8" xfId="0" applyFont="1" applyFill="1" applyBorder="1" applyAlignment="1">
      <alignment vertical="center" wrapText="1"/>
    </xf>
    <xf numFmtId="9" fontId="24" fillId="39" borderId="8" xfId="0" applyNumberFormat="1" applyFont="1" applyFill="1" applyBorder="1" applyAlignment="1">
      <alignment horizontal="center" vertical="center" wrapText="1"/>
    </xf>
    <xf numFmtId="0" fontId="0" fillId="39" borderId="8" xfId="0" applyFill="1" applyBorder="1" applyAlignment="1">
      <alignment vertical="center" wrapText="1"/>
    </xf>
    <xf numFmtId="0" fontId="0" fillId="0" borderId="16" xfId="0" applyBorder="1" applyAlignment="1">
      <alignment horizontal="left" vertical="center"/>
    </xf>
    <xf numFmtId="2" fontId="36" fillId="37" borderId="13" xfId="0" applyNumberFormat="1" applyFont="1" applyFill="1" applyBorder="1" applyAlignment="1">
      <alignment vertical="center" wrapText="1"/>
    </xf>
    <xf numFmtId="0" fontId="36" fillId="39" borderId="13" xfId="0" applyFont="1" applyFill="1" applyBorder="1" applyAlignment="1">
      <alignment vertical="center" wrapText="1"/>
    </xf>
    <xf numFmtId="0" fontId="2" fillId="40" borderId="8" xfId="0" applyFont="1" applyFill="1" applyBorder="1" applyAlignment="1">
      <alignment vertical="center" wrapText="1"/>
    </xf>
    <xf numFmtId="9" fontId="24" fillId="40" borderId="8" xfId="0" applyNumberFormat="1" applyFont="1" applyFill="1" applyBorder="1" applyAlignment="1">
      <alignment horizontal="center" vertical="center" wrapText="1"/>
    </xf>
    <xf numFmtId="0" fontId="35" fillId="43" borderId="13" xfId="0" applyFont="1" applyFill="1" applyBorder="1" applyAlignment="1">
      <alignment horizontal="left" vertical="center"/>
    </xf>
    <xf numFmtId="0" fontId="2" fillId="41" borderId="8" xfId="0" applyFont="1" applyFill="1" applyBorder="1" applyAlignment="1">
      <alignment vertical="center" wrapText="1"/>
    </xf>
    <xf numFmtId="9" fontId="24" fillId="41" borderId="8" xfId="0" applyNumberFormat="1" applyFont="1" applyFill="1" applyBorder="1" applyAlignment="1">
      <alignment horizontal="center" vertical="center" wrapText="1"/>
    </xf>
    <xf numFmtId="0" fontId="36" fillId="38" borderId="13" xfId="0" applyFont="1" applyFill="1" applyBorder="1" applyAlignment="1">
      <alignment vertical="center" wrapText="1"/>
    </xf>
    <xf numFmtId="0" fontId="2" fillId="38" borderId="8" xfId="0" applyFont="1" applyFill="1" applyBorder="1" applyAlignment="1">
      <alignment vertical="center" wrapText="1"/>
    </xf>
    <xf numFmtId="9" fontId="24" fillId="38" borderId="8" xfId="0" applyNumberFormat="1" applyFont="1" applyFill="1" applyBorder="1" applyAlignment="1">
      <alignment horizontal="center" vertical="center" wrapText="1"/>
    </xf>
    <xf numFmtId="0" fontId="36" fillId="40" borderId="13" xfId="0" applyFont="1" applyFill="1" applyBorder="1" applyAlignment="1">
      <alignment vertical="center" wrapText="1"/>
    </xf>
    <xf numFmtId="0" fontId="36" fillId="41" borderId="13" xfId="0" applyFont="1" applyFill="1" applyBorder="1" applyAlignment="1">
      <alignment vertical="center" wrapText="1"/>
    </xf>
    <xf numFmtId="0" fontId="0" fillId="0" borderId="0" xfId="0" applyAlignment="1">
      <alignment horizontal="center" wrapText="1"/>
    </xf>
    <xf numFmtId="0" fontId="2" fillId="0" borderId="0" xfId="0" applyFont="1" applyAlignment="1">
      <alignment horizontal="center" wrapText="1"/>
    </xf>
    <xf numFmtId="2" fontId="38" fillId="26" borderId="14" xfId="0" applyNumberFormat="1" applyFont="1" applyFill="1" applyBorder="1" applyAlignment="1">
      <alignment horizontal="center" vertical="center" wrapText="1"/>
    </xf>
    <xf numFmtId="0" fontId="0" fillId="30" borderId="0" xfId="0" applyFill="1" applyAlignment="1">
      <alignment horizontal="left" vertical="center"/>
    </xf>
    <xf numFmtId="2" fontId="25" fillId="26" borderId="14" xfId="0" applyNumberFormat="1" applyFont="1" applyFill="1" applyBorder="1" applyAlignment="1">
      <alignment horizontal="center" vertical="center" wrapText="1"/>
    </xf>
    <xf numFmtId="0" fontId="25" fillId="26" borderId="14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29" fillId="43" borderId="13" xfId="0" applyFont="1" applyFill="1" applyBorder="1" applyAlignment="1">
      <alignment vertical="center"/>
    </xf>
    <xf numFmtId="0" fontId="33" fillId="18" borderId="16" xfId="0" applyFont="1" applyFill="1" applyBorder="1" applyAlignment="1">
      <alignment horizontal="center" vertical="center" wrapText="1"/>
    </xf>
    <xf numFmtId="0" fontId="33" fillId="18" borderId="1" xfId="0" applyFont="1" applyFill="1" applyBorder="1" applyAlignment="1">
      <alignment horizontal="center" vertical="center" wrapText="1"/>
    </xf>
    <xf numFmtId="0" fontId="0" fillId="0" borderId="16" xfId="0" applyBorder="1" applyAlignment="1">
      <alignment vertical="center"/>
    </xf>
    <xf numFmtId="2" fontId="17" fillId="37" borderId="13" xfId="0" applyNumberFormat="1" applyFont="1" applyFill="1" applyBorder="1" applyAlignment="1">
      <alignment vertical="center" wrapText="1"/>
    </xf>
    <xf numFmtId="2" fontId="19" fillId="23" borderId="1" xfId="0" applyNumberFormat="1" applyFont="1" applyFill="1" applyBorder="1" applyAlignment="1">
      <alignment horizontal="center" vertical="center" wrapText="1"/>
    </xf>
    <xf numFmtId="0" fontId="0" fillId="35" borderId="1" xfId="0" applyFill="1" applyBorder="1" applyAlignment="1">
      <alignment horizontal="center" vertical="center" wrapText="1"/>
    </xf>
    <xf numFmtId="0" fontId="0" fillId="39" borderId="13" xfId="0" applyFill="1" applyBorder="1" applyAlignment="1">
      <alignment vertical="center" wrapText="1"/>
    </xf>
    <xf numFmtId="2" fontId="0" fillId="20" borderId="1" xfId="0" applyNumberFormat="1" applyFill="1" applyBorder="1" applyAlignment="1">
      <alignment horizontal="center" vertical="center" wrapText="1"/>
    </xf>
    <xf numFmtId="0" fontId="2" fillId="40" borderId="13" xfId="0" applyFont="1" applyFill="1" applyBorder="1" applyAlignment="1">
      <alignment vertical="center" wrapText="1"/>
    </xf>
    <xf numFmtId="0" fontId="19" fillId="44" borderId="16" xfId="0" applyFont="1" applyFill="1" applyBorder="1" applyAlignment="1">
      <alignment horizontal="center" vertical="center" wrapText="1"/>
    </xf>
    <xf numFmtId="0" fontId="19" fillId="44" borderId="1" xfId="0" applyFont="1" applyFill="1" applyBorder="1" applyAlignment="1">
      <alignment horizontal="center" vertical="center" wrapText="1"/>
    </xf>
    <xf numFmtId="0" fontId="2" fillId="41" borderId="13" xfId="0" applyFont="1" applyFill="1" applyBorder="1" applyAlignment="1">
      <alignment vertical="center" wrapText="1"/>
    </xf>
    <xf numFmtId="0" fontId="19" fillId="45" borderId="16" xfId="0" applyFont="1" applyFill="1" applyBorder="1" applyAlignment="1">
      <alignment horizontal="center" vertical="center" wrapText="1"/>
    </xf>
    <xf numFmtId="0" fontId="19" fillId="45" borderId="1" xfId="0" applyFont="1" applyFill="1" applyBorder="1" applyAlignment="1">
      <alignment horizontal="center" vertical="center" wrapText="1"/>
    </xf>
    <xf numFmtId="0" fontId="2" fillId="38" borderId="15" xfId="0" applyFont="1" applyFill="1" applyBorder="1" applyAlignment="1">
      <alignment vertical="center" wrapText="1"/>
    </xf>
    <xf numFmtId="9" fontId="29" fillId="43" borderId="17" xfId="0" applyNumberFormat="1" applyFont="1" applyFill="1" applyBorder="1" applyAlignment="1">
      <alignment vertical="center"/>
    </xf>
    <xf numFmtId="2" fontId="33" fillId="18" borderId="18" xfId="0" applyNumberFormat="1" applyFont="1" applyFill="1" applyBorder="1" applyAlignment="1">
      <alignment horizontal="center" vertical="center" wrapText="1"/>
    </xf>
    <xf numFmtId="9" fontId="33" fillId="18" borderId="18" xfId="0" applyNumberFormat="1" applyFont="1" applyFill="1" applyBorder="1" applyAlignment="1">
      <alignment horizontal="center" vertical="center" wrapText="1"/>
    </xf>
    <xf numFmtId="2" fontId="33" fillId="18" borderId="19" xfId="0" applyNumberFormat="1" applyFont="1" applyFill="1" applyBorder="1" applyAlignment="1">
      <alignment horizontal="center" vertical="center" wrapText="1"/>
    </xf>
    <xf numFmtId="9" fontId="0" fillId="0" borderId="18" xfId="0" applyNumberFormat="1" applyBorder="1" applyAlignment="1">
      <alignment vertical="center"/>
    </xf>
    <xf numFmtId="9" fontId="17" fillId="37" borderId="17" xfId="0" applyNumberFormat="1" applyFont="1" applyFill="1" applyBorder="1" applyAlignment="1">
      <alignment vertical="center" wrapText="1"/>
    </xf>
    <xf numFmtId="9" fontId="19" fillId="23" borderId="19" xfId="0" applyNumberFormat="1" applyFont="1" applyFill="1" applyBorder="1" applyAlignment="1">
      <alignment horizontal="center" vertical="center" wrapText="1"/>
    </xf>
    <xf numFmtId="0" fontId="2" fillId="38" borderId="17" xfId="0" applyFont="1" applyFill="1" applyBorder="1" applyAlignment="1">
      <alignment vertical="center" wrapText="1"/>
    </xf>
    <xf numFmtId="9" fontId="0" fillId="35" borderId="19" xfId="0" applyNumberFormat="1" applyFill="1" applyBorder="1" applyAlignment="1">
      <alignment horizontal="center" vertical="center" wrapText="1"/>
    </xf>
    <xf numFmtId="0" fontId="0" fillId="39" borderId="17" xfId="0" applyFill="1" applyBorder="1" applyAlignment="1">
      <alignment vertical="center" wrapText="1"/>
    </xf>
    <xf numFmtId="9" fontId="0" fillId="20" borderId="19" xfId="0" applyNumberFormat="1" applyFill="1" applyBorder="1" applyAlignment="1">
      <alignment horizontal="center" vertical="center" wrapText="1"/>
    </xf>
    <xf numFmtId="0" fontId="2" fillId="40" borderId="17" xfId="0" applyFont="1" applyFill="1" applyBorder="1" applyAlignment="1">
      <alignment vertical="center" wrapText="1"/>
    </xf>
    <xf numFmtId="9" fontId="19" fillId="44" borderId="18" xfId="0" applyNumberFormat="1" applyFont="1" applyFill="1" applyBorder="1" applyAlignment="1">
      <alignment horizontal="center" vertical="center" wrapText="1"/>
    </xf>
    <xf numFmtId="9" fontId="19" fillId="44" borderId="19" xfId="0" applyNumberFormat="1" applyFont="1" applyFill="1" applyBorder="1" applyAlignment="1">
      <alignment horizontal="center" vertical="center" wrapText="1"/>
    </xf>
    <xf numFmtId="0" fontId="2" fillId="41" borderId="17" xfId="0" applyFont="1" applyFill="1" applyBorder="1" applyAlignment="1">
      <alignment vertical="center" wrapText="1"/>
    </xf>
    <xf numFmtId="9" fontId="19" fillId="45" borderId="18" xfId="0" applyNumberFormat="1" applyFont="1" applyFill="1" applyBorder="1" applyAlignment="1">
      <alignment horizontal="center" vertical="center" wrapText="1"/>
    </xf>
    <xf numFmtId="9" fontId="19" fillId="45" borderId="19" xfId="0" applyNumberFormat="1" applyFont="1" applyFill="1" applyBorder="1" applyAlignment="1">
      <alignment horizontal="center" vertical="center" wrapText="1"/>
    </xf>
    <xf numFmtId="9" fontId="29" fillId="43" borderId="17" xfId="2" applyFont="1" applyFill="1" applyBorder="1" applyAlignment="1">
      <alignment horizontal="center" vertical="center"/>
    </xf>
    <xf numFmtId="9" fontId="33" fillId="18" borderId="19" xfId="0" applyNumberFormat="1" applyFont="1" applyFill="1" applyBorder="1" applyAlignment="1">
      <alignment horizontal="center" vertical="center" wrapText="1"/>
    </xf>
    <xf numFmtId="9" fontId="30" fillId="27" borderId="18" xfId="2" applyFont="1" applyFill="1" applyBorder="1" applyAlignment="1">
      <alignment horizontal="center" vertical="center"/>
    </xf>
    <xf numFmtId="9" fontId="18" fillId="28" borderId="18" xfId="2" applyFont="1" applyFill="1" applyBorder="1" applyAlignment="1">
      <alignment horizontal="center" vertical="center"/>
    </xf>
    <xf numFmtId="0" fontId="32" fillId="18" borderId="8" xfId="0" applyFont="1" applyFill="1" applyBorder="1" applyAlignment="1">
      <alignment horizontal="left" vertical="center" wrapText="1"/>
    </xf>
    <xf numFmtId="0" fontId="32" fillId="18" borderId="17" xfId="0" applyFont="1" applyFill="1" applyBorder="1" applyAlignment="1">
      <alignment horizontal="center" vertical="center" wrapText="1"/>
    </xf>
    <xf numFmtId="9" fontId="33" fillId="18" borderId="17" xfId="0" applyNumberFormat="1" applyFont="1" applyFill="1" applyBorder="1" applyAlignment="1">
      <alignment horizontal="center" vertical="center" wrapText="1"/>
    </xf>
    <xf numFmtId="0" fontId="32" fillId="18" borderId="0" xfId="0" applyFont="1" applyFill="1" applyAlignment="1">
      <alignment horizontal="left" vertical="center" wrapText="1"/>
    </xf>
    <xf numFmtId="0" fontId="32" fillId="18" borderId="18" xfId="0" applyFont="1" applyFill="1" applyBorder="1" applyAlignment="1">
      <alignment horizontal="center" vertical="center" wrapText="1"/>
    </xf>
    <xf numFmtId="0" fontId="32" fillId="18" borderId="7" xfId="0" applyFont="1" applyFill="1" applyBorder="1" applyAlignment="1">
      <alignment horizontal="left" vertical="center" wrapText="1"/>
    </xf>
    <xf numFmtId="0" fontId="32" fillId="18" borderId="19" xfId="0" applyFont="1" applyFill="1" applyBorder="1" applyAlignment="1">
      <alignment horizontal="center" vertical="center" wrapText="1"/>
    </xf>
    <xf numFmtId="2" fontId="20" fillId="23" borderId="14" xfId="0" applyNumberFormat="1" applyFont="1" applyFill="1" applyBorder="1" applyAlignment="1">
      <alignment horizontal="left" vertical="center" wrapText="1"/>
    </xf>
    <xf numFmtId="9" fontId="19" fillId="23" borderId="9" xfId="0" applyNumberFormat="1" applyFont="1" applyFill="1" applyBorder="1" applyAlignment="1">
      <alignment horizontal="center" vertical="center" wrapText="1"/>
    </xf>
    <xf numFmtId="2" fontId="20" fillId="23" borderId="9" xfId="0" applyNumberFormat="1" applyFont="1" applyFill="1" applyBorder="1" applyAlignment="1">
      <alignment horizontal="center" vertical="center" wrapText="1"/>
    </xf>
    <xf numFmtId="0" fontId="20" fillId="35" borderId="14" xfId="0" applyFont="1" applyFill="1" applyBorder="1" applyAlignment="1">
      <alignment horizontal="left" vertical="center" wrapText="1"/>
    </xf>
    <xf numFmtId="9" fontId="0" fillId="35" borderId="9" xfId="0" applyNumberFormat="1" applyFill="1" applyBorder="1" applyAlignment="1">
      <alignment horizontal="center" vertical="center" wrapText="1"/>
    </xf>
    <xf numFmtId="0" fontId="20" fillId="35" borderId="9" xfId="0" applyFont="1" applyFill="1" applyBorder="1" applyAlignment="1">
      <alignment horizontal="center" vertical="center" wrapText="1"/>
    </xf>
    <xf numFmtId="2" fontId="20" fillId="20" borderId="14" xfId="0" applyNumberFormat="1" applyFont="1" applyFill="1" applyBorder="1" applyAlignment="1">
      <alignment horizontal="left" vertical="center" wrapText="1"/>
    </xf>
    <xf numFmtId="2" fontId="20" fillId="20" borderId="9" xfId="0" applyNumberFormat="1" applyFont="1" applyFill="1" applyBorder="1" applyAlignment="1">
      <alignment horizontal="center" vertical="center" wrapText="1"/>
    </xf>
    <xf numFmtId="9" fontId="0" fillId="20" borderId="9" xfId="0" applyNumberFormat="1" applyFill="1" applyBorder="1" applyAlignment="1">
      <alignment horizontal="center" vertical="center" wrapText="1"/>
    </xf>
    <xf numFmtId="0" fontId="20" fillId="44" borderId="8" xfId="0" applyFont="1" applyFill="1" applyBorder="1" applyAlignment="1">
      <alignment horizontal="left" vertical="center" wrapText="1"/>
    </xf>
    <xf numFmtId="9" fontId="19" fillId="44" borderId="17" xfId="0" applyNumberFormat="1" applyFont="1" applyFill="1" applyBorder="1" applyAlignment="1">
      <alignment horizontal="center" vertical="center" wrapText="1"/>
    </xf>
    <xf numFmtId="0" fontId="20" fillId="44" borderId="17" xfId="0" applyFont="1" applyFill="1" applyBorder="1" applyAlignment="1">
      <alignment horizontal="center" vertical="center" wrapText="1"/>
    </xf>
    <xf numFmtId="0" fontId="20" fillId="44" borderId="0" xfId="0" applyFont="1" applyFill="1" applyAlignment="1">
      <alignment horizontal="left" vertical="center" wrapText="1"/>
    </xf>
    <xf numFmtId="0" fontId="20" fillId="44" borderId="18" xfId="0" applyFont="1" applyFill="1" applyBorder="1" applyAlignment="1">
      <alignment horizontal="center" vertical="center" wrapText="1"/>
    </xf>
    <xf numFmtId="0" fontId="20" fillId="44" borderId="7" xfId="0" applyFont="1" applyFill="1" applyBorder="1" applyAlignment="1">
      <alignment horizontal="left" vertical="center" wrapText="1"/>
    </xf>
    <xf numFmtId="0" fontId="20" fillId="44" borderId="19" xfId="0" applyFont="1" applyFill="1" applyBorder="1" applyAlignment="1">
      <alignment horizontal="center" vertical="center" wrapText="1"/>
    </xf>
    <xf numFmtId="0" fontId="20" fillId="45" borderId="8" xfId="0" applyFont="1" applyFill="1" applyBorder="1" applyAlignment="1">
      <alignment horizontal="left" vertical="center" wrapText="1"/>
    </xf>
    <xf numFmtId="9" fontId="19" fillId="45" borderId="17" xfId="0" applyNumberFormat="1" applyFont="1" applyFill="1" applyBorder="1" applyAlignment="1">
      <alignment horizontal="center" vertical="center" wrapText="1"/>
    </xf>
    <xf numFmtId="0" fontId="20" fillId="45" borderId="17" xfId="0" applyFont="1" applyFill="1" applyBorder="1" applyAlignment="1">
      <alignment horizontal="center" vertical="center" wrapText="1"/>
    </xf>
    <xf numFmtId="0" fontId="20" fillId="45" borderId="7" xfId="0" applyFont="1" applyFill="1" applyBorder="1" applyAlignment="1">
      <alignment horizontal="left" vertical="center" wrapText="1"/>
    </xf>
    <xf numFmtId="0" fontId="20" fillId="45" borderId="19" xfId="0" applyFont="1" applyFill="1" applyBorder="1" applyAlignment="1">
      <alignment horizontal="center" vertical="center" wrapText="1"/>
    </xf>
    <xf numFmtId="10" fontId="25" fillId="26" borderId="14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horizontal="center"/>
    </xf>
    <xf numFmtId="0" fontId="5" fillId="0" borderId="9" xfId="0" applyFont="1" applyBorder="1"/>
    <xf numFmtId="0" fontId="5" fillId="0" borderId="9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5" fillId="0" borderId="21" xfId="0" applyFont="1" applyBorder="1"/>
    <xf numFmtId="0" fontId="10" fillId="0" borderId="0" xfId="0" applyFont="1"/>
    <xf numFmtId="39" fontId="40" fillId="47" borderId="23" xfId="1" applyNumberFormat="1" applyFont="1" applyFill="1" applyBorder="1" applyAlignment="1">
      <alignment horizontal="right" vertical="center"/>
    </xf>
    <xf numFmtId="4" fontId="40" fillId="47" borderId="24" xfId="1" applyNumberFormat="1" applyFont="1" applyFill="1" applyBorder="1" applyAlignment="1">
      <alignment horizontal="center" vertical="center" wrapText="1"/>
    </xf>
    <xf numFmtId="0" fontId="31" fillId="29" borderId="15" xfId="0" applyFont="1" applyFill="1" applyBorder="1" applyAlignment="1">
      <alignment horizontal="center" vertical="center" wrapText="1"/>
    </xf>
    <xf numFmtId="0" fontId="0" fillId="0" borderId="8" xfId="0" applyBorder="1"/>
    <xf numFmtId="0" fontId="0" fillId="0" borderId="16" xfId="0" applyBorder="1"/>
    <xf numFmtId="0" fontId="7" fillId="0" borderId="0" xfId="0" applyFont="1"/>
    <xf numFmtId="0" fontId="0" fillId="0" borderId="1" xfId="0" applyBorder="1"/>
    <xf numFmtId="0" fontId="0" fillId="0" borderId="7" xfId="0" applyBorder="1"/>
    <xf numFmtId="0" fontId="39" fillId="46" borderId="9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21" xfId="0" applyBorder="1"/>
    <xf numFmtId="0" fontId="13" fillId="0" borderId="9" xfId="0" applyFont="1" applyBorder="1" applyAlignment="1">
      <alignment horizontal="center"/>
    </xf>
    <xf numFmtId="3" fontId="34" fillId="47" borderId="19" xfId="0" applyNumberFormat="1" applyFont="1" applyFill="1" applyBorder="1" applyAlignment="1">
      <alignment horizontal="center" vertical="center" wrapText="1"/>
    </xf>
    <xf numFmtId="0" fontId="0" fillId="0" borderId="22" xfId="0" applyBorder="1"/>
    <xf numFmtId="0" fontId="0" fillId="0" borderId="0" xfId="0" quotePrefix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9" fontId="0" fillId="0" borderId="0" xfId="0" applyNumberFormat="1" applyAlignment="1">
      <alignment vertical="center"/>
    </xf>
    <xf numFmtId="0" fontId="2" fillId="38" borderId="8" xfId="0" applyFont="1" applyFill="1" applyBorder="1" applyAlignment="1">
      <alignment horizontal="center" vertical="center" wrapText="1"/>
    </xf>
    <xf numFmtId="0" fontId="16" fillId="12" borderId="0" xfId="3" applyFont="1" applyFill="1" applyAlignment="1">
      <alignment horizontal="center" vertical="center"/>
    </xf>
    <xf numFmtId="0" fontId="0" fillId="0" borderId="0" xfId="0" quotePrefix="1" applyAlignment="1">
      <alignment horizontal="left" vertical="center" wrapText="1"/>
    </xf>
    <xf numFmtId="0" fontId="18" fillId="0" borderId="0" xfId="0" applyFont="1" applyAlignment="1">
      <alignment horizontal="center" vertical="center"/>
    </xf>
    <xf numFmtId="0" fontId="31" fillId="29" borderId="9" xfId="0" applyFont="1" applyFill="1" applyBorder="1" applyAlignment="1">
      <alignment horizontal="center" vertical="center" wrapText="1"/>
    </xf>
    <xf numFmtId="0" fontId="0" fillId="0" borderId="18" xfId="0" applyBorder="1"/>
    <xf numFmtId="0" fontId="0" fillId="0" borderId="19" xfId="0" applyBorder="1"/>
    <xf numFmtId="0" fontId="30" fillId="27" borderId="0" xfId="0" applyFont="1" applyFill="1" applyAlignment="1">
      <alignment horizontal="center" vertical="center"/>
    </xf>
    <xf numFmtId="0" fontId="2" fillId="41" borderId="14" xfId="0" applyFont="1" applyFill="1" applyBorder="1" applyAlignment="1">
      <alignment horizontal="center" vertical="center" wrapText="1"/>
    </xf>
    <xf numFmtId="1" fontId="2" fillId="42" borderId="14" xfId="0" applyNumberFormat="1" applyFont="1" applyFill="1" applyBorder="1" applyAlignment="1">
      <alignment horizontal="center" vertical="center" wrapText="1"/>
    </xf>
    <xf numFmtId="0" fontId="11" fillId="24" borderId="9" xfId="0" applyFont="1" applyFill="1" applyBorder="1" applyAlignment="1">
      <alignment horizontal="center" vertical="center"/>
    </xf>
    <xf numFmtId="3" fontId="34" fillId="0" borderId="9" xfId="0" applyNumberFormat="1" applyFont="1" applyBorder="1" applyAlignment="1">
      <alignment horizontal="center" vertical="center" wrapText="1"/>
    </xf>
    <xf numFmtId="0" fontId="0" fillId="0" borderId="20" xfId="0" applyBorder="1"/>
    <xf numFmtId="0" fontId="2" fillId="38" borderId="14" xfId="0" applyFont="1" applyFill="1" applyBorder="1" applyAlignment="1">
      <alignment horizontal="center" vertical="center" wrapText="1"/>
    </xf>
    <xf numFmtId="0" fontId="2" fillId="39" borderId="14" xfId="0" applyFont="1" applyFill="1" applyBorder="1" applyAlignment="1">
      <alignment horizontal="center" vertical="center" wrapText="1"/>
    </xf>
    <xf numFmtId="0" fontId="2" fillId="40" borderId="14" xfId="0" applyFont="1" applyFill="1" applyBorder="1" applyAlignment="1">
      <alignment horizontal="center" vertical="center" wrapText="1"/>
    </xf>
    <xf numFmtId="2" fontId="2" fillId="37" borderId="14" xfId="0" applyNumberFormat="1" applyFont="1" applyFill="1" applyBorder="1" applyAlignment="1">
      <alignment horizontal="center" vertical="center" wrapText="1"/>
    </xf>
    <xf numFmtId="0" fontId="24" fillId="25" borderId="9" xfId="0" applyFont="1" applyFill="1" applyBorder="1" applyAlignment="1">
      <alignment horizontal="center" vertical="center"/>
    </xf>
    <xf numFmtId="9" fontId="9" fillId="7" borderId="0" xfId="0" applyNumberFormat="1" applyFont="1" applyFill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9" fontId="9" fillId="4" borderId="0" xfId="0" applyNumberFormat="1" applyFont="1" applyFill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0" fillId="0" borderId="12" xfId="0" applyBorder="1"/>
    <xf numFmtId="9" fontId="9" fillId="10" borderId="0" xfId="0" applyNumberFormat="1" applyFont="1" applyFill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/>
    <xf numFmtId="0" fontId="9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/>
  </cellXfs>
  <cellStyles count="16">
    <cellStyle name="Comma" xfId="1" builtinId="3"/>
    <cellStyle name="Comma 2" xfId="5" xr:uid="{00000000-0005-0000-0000-000005000000}"/>
    <cellStyle name="Comma 3" xfId="6" xr:uid="{00000000-0005-0000-0000-000006000000}"/>
    <cellStyle name="Comma 4" xfId="7" xr:uid="{00000000-0005-0000-0000-000007000000}"/>
    <cellStyle name="Comma 5" xfId="8" xr:uid="{00000000-0005-0000-0000-000008000000}"/>
    <cellStyle name="Comma 6" xfId="9" xr:uid="{00000000-0005-0000-0000-000009000000}"/>
    <cellStyle name="Comma 7" xfId="4" xr:uid="{00000000-0005-0000-0000-000004000000}"/>
    <cellStyle name="Milliers 2" xfId="10" xr:uid="{00000000-0005-0000-0000-00000A000000}"/>
    <cellStyle name="Milliers 3" xfId="11" xr:uid="{00000000-0005-0000-0000-00000B000000}"/>
    <cellStyle name="Milliers 4" xfId="14" xr:uid="{00000000-0005-0000-0000-00000E000000}"/>
    <cellStyle name="Normal" xfId="0" builtinId="0"/>
    <cellStyle name="Normal 2" xfId="3" xr:uid="{00000000-0005-0000-0000-000003000000}"/>
    <cellStyle name="Percent" xfId="2" builtinId="5"/>
    <cellStyle name="Percent 2" xfId="13" xr:uid="{00000000-0005-0000-0000-00000D000000}"/>
    <cellStyle name="Percent 3" xfId="12" xr:uid="{00000000-0005-0000-0000-00000C000000}"/>
    <cellStyle name="Pourcentage 2" xfId="15" xr:uid="{00000000-0005-0000-0000-00000F000000}"/>
  </cellStyles>
  <dxfs count="4">
    <dxf>
      <font>
        <b/>
      </font>
      <fill>
        <patternFill>
          <bgColor theme="6" tint="0.79998168889431442"/>
        </patternFill>
      </fill>
    </dxf>
    <dxf>
      <font>
        <b/>
      </font>
      <fill>
        <patternFill>
          <bgColor theme="6" tint="0.79998168889431442"/>
        </patternFill>
      </fill>
    </dxf>
    <dxf>
      <font>
        <b/>
      </font>
      <fill>
        <patternFill>
          <bgColor theme="6" tint="0.79998168889431442"/>
        </patternFill>
      </fill>
    </dxf>
    <dxf>
      <font>
        <b/>
      </font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fr-FR"/>
              <a:t>Note</a:t>
            </a:r>
          </a:p>
        </c:rich>
      </c:tx>
      <c:layout>
        <c:manualLayout>
          <c:xMode val="edge"/>
          <c:yMode val="edge"/>
          <c:x val="0.47231402370103248"/>
          <c:y val="0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strRef>
              <c:f>Scorecard!$G$4</c:f>
              <c:strCache>
                <c:ptCount val="1"/>
                <c:pt idx="0">
                  <c:v>Rating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tint val="67000"/>
                    <a:satMod val="105000"/>
                    <a:lumMod val="110000"/>
                  </a:schemeClr>
                </a:gs>
                <a:gs pos="50000">
                  <a:schemeClr val="accent1">
                    <a:tint val="73000"/>
                    <a:satMod val="103000"/>
                    <a:lumMod val="105000"/>
                  </a:schemeClr>
                </a:gs>
                <a:gs pos="100000">
                  <a:schemeClr val="accent1">
                    <a:tint val="81000"/>
                    <a:satMod val="109000"/>
                    <a:lumMod val="10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prstDash val="solid"/>
              <a:round/>
            </a:ln>
          </c:spPr>
          <c:cat>
            <c:strRef>
              <c:f>Scorecard!$E$5:$E$15</c:f>
              <c:strCache>
                <c:ptCount val="11"/>
                <c:pt idx="0">
                  <c:v>Google</c:v>
                </c:pt>
                <c:pt idx="1">
                  <c:v>CHAMPS</c:v>
                </c:pt>
                <c:pt idx="2">
                  <c:v>Complaints</c:v>
                </c:pt>
                <c:pt idx="3">
                  <c:v>Customer Feedback - Cleanliness</c:v>
                </c:pt>
                <c:pt idx="4">
                  <c:v>Customer Feedback - Taste</c:v>
                </c:pt>
                <c:pt idx="5">
                  <c:v>Mystery Shopper - Speed</c:v>
                </c:pt>
                <c:pt idx="6">
                  <c:v>RGM Training</c:v>
                </c:pt>
                <c:pt idx="7">
                  <c:v>AM/RS Training</c:v>
                </c:pt>
                <c:pt idx="8">
                  <c:v>STEW Training</c:v>
                </c:pt>
                <c:pt idx="9">
                  <c:v>Overall ROCC</c:v>
                </c:pt>
                <c:pt idx="10">
                  <c:v>Action Plan Compliance</c:v>
                </c:pt>
              </c:strCache>
            </c:strRef>
          </c:cat>
          <c:val>
            <c:numRef>
              <c:f>Scorecard!$G$5:$G$15</c:f>
              <c:numCache>
                <c:formatCode>General</c:formatCode>
                <c:ptCount val="11"/>
                <c:pt idx="0">
                  <c:v>5</c:v>
                </c:pt>
                <c:pt idx="1">
                  <c:v>3</c:v>
                </c:pt>
                <c:pt idx="2">
                  <c:v>5</c:v>
                </c:pt>
                <c:pt idx="3" formatCode="0.00">
                  <c:v>5</c:v>
                </c:pt>
                <c:pt idx="4">
                  <c:v>5</c:v>
                </c:pt>
                <c:pt idx="5" formatCode="0.00">
                  <c:v>5</c:v>
                </c:pt>
                <c:pt idx="6">
                  <c:v>1</c:v>
                </c:pt>
                <c:pt idx="7">
                  <c:v>4</c:v>
                </c:pt>
                <c:pt idx="8">
                  <c:v>3</c:v>
                </c:pt>
                <c:pt idx="9">
                  <c:v>4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F3-4BD1-BF78-C388C40A4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1125632"/>
        <c:axId val="1531106080"/>
      </c:radarChart>
      <c:catAx>
        <c:axId val="153112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.##0;\-#.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1106080"/>
        <c:crosses val="autoZero"/>
        <c:auto val="1"/>
        <c:lblAlgn val="ctr"/>
        <c:lblOffset val="100"/>
        <c:noMultiLvlLbl val="0"/>
      </c:catAx>
      <c:valAx>
        <c:axId val="153110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1125632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fr-FR"/>
              <a:t>Note</a:t>
            </a:r>
          </a:p>
        </c:rich>
      </c:tx>
      <c:layout>
        <c:manualLayout>
          <c:xMode val="edge"/>
          <c:yMode val="edge"/>
          <c:x val="0.47231402370103248"/>
          <c:y val="0"/>
        </c:manualLayout>
      </c:layout>
      <c:overlay val="0"/>
      <c:spPr>
        <a:noFill/>
        <a:ln>
          <a:noFill/>
          <a:prstDash val="solid"/>
        </a:ln>
      </c:spPr>
    </c:title>
    <c:autoTitleDeleted val="0"/>
    <c:plotArea>
      <c:layout/>
      <c:radarChart>
        <c:radarStyle val="filled"/>
        <c:varyColors val="0"/>
        <c:ser>
          <c:idx val="0"/>
          <c:order val="0"/>
          <c:tx>
            <c:v>Note</c:v>
          </c:tx>
          <c:spPr>
            <a:ln w="25400">
              <a:noFill/>
              <a:prstDash val="solid"/>
            </a:ln>
          </c:spPr>
          <c:cat>
            <c:strLit>
              <c:ptCount val="8"/>
              <c:pt idx="0">
                <c:v>% Satisfaction Globale</c:v>
              </c:pt>
              <c:pt idx="1">
                <c:v>Réclamations/1000 Transactions</c:v>
              </c:pt>
              <c:pt idx="2">
                <c:v>Note Google</c:v>
              </c:pt>
              <c:pt idx="3">
                <c:v>% Audit ROCC satisfaisant</c:v>
              </c:pt>
              <c:pt idx="4">
                <c:v>Microbiologie Satisfaisante</c:v>
              </c:pt>
              <c:pt idx="5">
                <c:v>% Certification Directeur</c:v>
              </c:pt>
              <c:pt idx="6">
                <c:v>% Certification Gestion Service</c:v>
              </c:pt>
              <c:pt idx="7">
                <c:v>% Certification Stew sous 14 jours</c:v>
              </c:pt>
            </c:strLit>
          </c:cat>
          <c:val>
            <c:numLit>
              <c:formatCode>#,##0</c:formatCode>
              <c:ptCount val="8"/>
              <c:pt idx="0">
                <c:v>5</c:v>
              </c:pt>
              <c:pt idx="1">
                <c:v>5</c:v>
              </c:pt>
              <c:pt idx="2">
                <c:v>5</c:v>
              </c:pt>
              <c:pt idx="3">
                <c:v>5</c:v>
              </c:pt>
              <c:pt idx="4">
                <c:v>4</c:v>
              </c:pt>
              <c:pt idx="5">
                <c:v>3</c:v>
              </c:pt>
              <c:pt idx="6" formatCode="General">
                <c:v>3</c:v>
              </c:pt>
              <c:pt idx="7">
                <c:v>3</c:v>
              </c:pt>
            </c:numLit>
          </c:val>
          <c:extLst>
            <c:ext xmlns:c16="http://schemas.microsoft.com/office/drawing/2014/chart" uri="{C3380CC4-5D6E-409C-BE32-E72D297353CC}">
              <c16:uniqueId val="{00000000-9960-436F-B49E-72DC6FDD0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1125632"/>
        <c:axId val="1531106080"/>
      </c:radarChart>
      <c:catAx>
        <c:axId val="153112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.##0;\-#.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1106080"/>
        <c:crosses val="autoZero"/>
        <c:auto val="1"/>
        <c:lblAlgn val="ctr"/>
        <c:lblOffset val="100"/>
        <c:noMultiLvlLbl val="0"/>
      </c:catAx>
      <c:valAx>
        <c:axId val="153110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31125632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229141</xdr:colOff>
      <xdr:row>0</xdr:row>
      <xdr:rowOff>0</xdr:rowOff>
    </xdr:from>
    <xdr:ext cx="564173" cy="527131"/>
    <xdr:pic>
      <xdr:nvPicPr>
        <xdr:cNvPr id="2" name="Imag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221616" y="0"/>
          <a:ext cx="564173" cy="527131"/>
        </a:xfrm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504973</xdr:colOff>
      <xdr:row>17</xdr:row>
      <xdr:rowOff>123826</xdr:rowOff>
    </xdr:from>
    <xdr:to>
      <xdr:col>8</xdr:col>
      <xdr:colOff>371474</xdr:colOff>
      <xdr:row>47</xdr:row>
      <xdr:rowOff>122164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59872</xdr:colOff>
      <xdr:row>13</xdr:row>
      <xdr:rowOff>146956</xdr:rowOff>
    </xdr:from>
    <xdr:to>
      <xdr:col>7</xdr:col>
      <xdr:colOff>754140</xdr:colOff>
      <xdr:row>43</xdr:row>
      <xdr:rowOff>41427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showGridLines="0" zoomScale="80" zoomScaleNormal="80" workbookViewId="0">
      <selection activeCell="R24" sqref="R24"/>
    </sheetView>
  </sheetViews>
  <sheetFormatPr defaultColWidth="11.53515625" defaultRowHeight="14.6" outlineLevelCol="1" x14ac:dyDescent="0.4"/>
  <cols>
    <col min="1" max="1" width="3.69140625" style="14" customWidth="1"/>
    <col min="2" max="2" width="25.921875" style="14" bestFit="1" customWidth="1"/>
    <col min="3" max="3" width="36.84375" style="78" bestFit="1" customWidth="1"/>
    <col min="4" max="4" width="65.921875" style="14" bestFit="1" customWidth="1"/>
    <col min="5" max="5" width="10.07421875" style="82" bestFit="1" customWidth="1"/>
    <col min="6" max="6" width="30.23046875" style="14" customWidth="1"/>
    <col min="7" max="7" width="8.4609375" style="14" hidden="1" customWidth="1"/>
    <col min="8" max="8" width="11.53515625" style="82" bestFit="1" customWidth="1"/>
    <col min="9" max="10" width="10.23046875" style="14" customWidth="1"/>
    <col min="11" max="13" width="10.23046875" style="14" customWidth="1" outlineLevel="1"/>
    <col min="14" max="14" width="10.23046875" style="82" customWidth="1" outlineLevel="1"/>
    <col min="15" max="15" width="11.53515625" style="14" customWidth="1" outlineLevel="1"/>
    <col min="16" max="16" width="13.23046875" style="14" customWidth="1" outlineLevel="1"/>
    <col min="17" max="37" width="11.53515625" style="14" customWidth="1"/>
    <col min="38" max="16384" width="11.53515625" style="14"/>
  </cols>
  <sheetData>
    <row r="1" spans="1:14" ht="22.5" customHeight="1" x14ac:dyDescent="0.4">
      <c r="B1" s="259" t="s">
        <v>424</v>
      </c>
      <c r="C1" s="259"/>
      <c r="D1" s="259"/>
      <c r="E1" s="259"/>
      <c r="F1" s="259"/>
      <c r="G1" s="259"/>
      <c r="H1" s="259"/>
      <c r="I1" s="259"/>
      <c r="J1" s="259"/>
      <c r="K1" s="259"/>
      <c r="L1" s="259"/>
      <c r="M1" s="259"/>
      <c r="N1" s="259"/>
    </row>
    <row r="2" spans="1:14" x14ac:dyDescent="0.4">
      <c r="F2" s="20"/>
      <c r="H2" s="64"/>
      <c r="I2" s="20"/>
      <c r="J2" s="20"/>
      <c r="K2" s="20"/>
      <c r="L2" s="20"/>
    </row>
    <row r="3" spans="1:14" x14ac:dyDescent="0.4">
      <c r="B3" s="21" t="s">
        <v>425</v>
      </c>
      <c r="C3" s="79"/>
      <c r="D3" s="22"/>
      <c r="E3" s="83"/>
      <c r="F3" s="23"/>
      <c r="G3" s="23"/>
      <c r="H3" s="115"/>
      <c r="I3" s="23"/>
      <c r="J3" s="23"/>
      <c r="K3" s="23"/>
      <c r="L3" s="23"/>
      <c r="M3" s="22"/>
      <c r="N3" s="83"/>
    </row>
    <row r="4" spans="1:14" ht="14.6" customHeight="1" x14ac:dyDescent="0.4">
      <c r="B4" s="254" t="s">
        <v>426</v>
      </c>
      <c r="C4" s="255"/>
      <c r="D4" s="256"/>
      <c r="E4" s="257"/>
      <c r="F4" s="256"/>
      <c r="G4" s="256"/>
      <c r="H4" s="257"/>
      <c r="I4" s="256"/>
      <c r="J4" s="256"/>
      <c r="K4" s="256"/>
      <c r="L4" s="256"/>
      <c r="M4" s="256"/>
    </row>
    <row r="5" spans="1:14" x14ac:dyDescent="0.4">
      <c r="B5" s="256"/>
      <c r="C5" s="255"/>
      <c r="D5" s="256"/>
      <c r="E5" s="257"/>
      <c r="F5" s="256"/>
      <c r="G5" s="256"/>
      <c r="H5" s="257"/>
      <c r="I5" s="256"/>
      <c r="J5" s="256"/>
      <c r="K5" s="256"/>
      <c r="L5" s="256"/>
      <c r="M5" s="256"/>
    </row>
    <row r="6" spans="1:14" x14ac:dyDescent="0.4">
      <c r="B6" s="256"/>
      <c r="C6" s="255"/>
      <c r="D6" s="256"/>
      <c r="E6" s="257"/>
      <c r="F6" s="256"/>
      <c r="G6" s="256"/>
      <c r="H6" s="257"/>
      <c r="I6" s="256"/>
      <c r="J6" s="256"/>
      <c r="K6" s="256"/>
      <c r="L6" s="256"/>
      <c r="M6" s="256"/>
    </row>
    <row r="7" spans="1:14" ht="13.5" customHeight="1" x14ac:dyDescent="0.4">
      <c r="B7" s="256"/>
      <c r="C7" s="255"/>
      <c r="D7" s="256"/>
      <c r="E7" s="257"/>
      <c r="F7" s="256"/>
      <c r="G7" s="256"/>
      <c r="H7" s="257"/>
      <c r="I7" s="256"/>
      <c r="J7" s="256"/>
      <c r="K7" s="256"/>
      <c r="L7" s="256"/>
      <c r="M7" s="256"/>
    </row>
    <row r="8" spans="1:14" x14ac:dyDescent="0.4">
      <c r="B8" s="256"/>
      <c r="C8" s="255"/>
      <c r="D8" s="256"/>
      <c r="E8" s="257"/>
      <c r="F8" s="256"/>
      <c r="G8" s="256"/>
      <c r="H8" s="257"/>
      <c r="I8" s="256"/>
      <c r="J8" s="256"/>
      <c r="K8" s="256"/>
      <c r="L8" s="256"/>
      <c r="M8" s="256"/>
    </row>
    <row r="9" spans="1:14" x14ac:dyDescent="0.4">
      <c r="B9" s="256"/>
      <c r="C9" s="255"/>
      <c r="D9" s="256"/>
      <c r="E9" s="257"/>
      <c r="F9" s="256"/>
      <c r="G9" s="256"/>
      <c r="H9" s="257"/>
      <c r="I9" s="256"/>
      <c r="J9" s="256"/>
      <c r="K9" s="256"/>
      <c r="L9" s="256"/>
      <c r="M9" s="256"/>
    </row>
    <row r="10" spans="1:14" ht="14.6" customHeight="1" x14ac:dyDescent="0.4">
      <c r="B10" s="260" t="s">
        <v>427</v>
      </c>
      <c r="C10" s="255"/>
      <c r="D10" s="256"/>
      <c r="E10" s="257"/>
      <c r="F10" s="256"/>
      <c r="G10" s="256"/>
      <c r="H10" s="257"/>
      <c r="I10" s="256"/>
      <c r="J10" s="256"/>
      <c r="K10" s="256"/>
      <c r="L10" s="256"/>
      <c r="M10" s="256"/>
    </row>
    <row r="11" spans="1:14" ht="14.6" customHeight="1" x14ac:dyDescent="0.4">
      <c r="B11" s="18"/>
      <c r="C11" s="18"/>
      <c r="D11" s="18"/>
      <c r="E11" s="84"/>
      <c r="F11" s="18"/>
      <c r="G11" s="18"/>
      <c r="H11" s="84"/>
      <c r="I11" s="18"/>
      <c r="J11" s="18"/>
      <c r="K11" s="18"/>
      <c r="L11" s="18"/>
      <c r="M11" s="18"/>
    </row>
    <row r="12" spans="1:14" ht="13.5" customHeight="1" x14ac:dyDescent="0.4">
      <c r="B12" s="21" t="s">
        <v>428</v>
      </c>
      <c r="C12" s="79"/>
      <c r="D12" s="22"/>
      <c r="E12" s="83"/>
      <c r="F12" s="23"/>
      <c r="G12" s="23"/>
      <c r="H12" s="115"/>
      <c r="I12" s="23"/>
      <c r="J12" s="23"/>
      <c r="K12" s="23"/>
      <c r="L12" s="23"/>
      <c r="M12" s="22"/>
      <c r="N12" s="83"/>
    </row>
    <row r="13" spans="1:14" ht="14.6" customHeight="1" x14ac:dyDescent="0.4">
      <c r="A13" s="35"/>
    </row>
    <row r="15" spans="1:14" ht="20.6" customHeight="1" x14ac:dyDescent="0.55000000000000004">
      <c r="B15" s="67" t="s">
        <v>429</v>
      </c>
      <c r="C15" s="80"/>
      <c r="D15" s="68"/>
      <c r="E15" s="85"/>
      <c r="G15" s="69"/>
      <c r="H15" s="86"/>
      <c r="I15" s="261"/>
      <c r="J15" s="256"/>
      <c r="K15" s="256"/>
      <c r="L15" s="256"/>
      <c r="M15" s="256"/>
      <c r="N15" s="88"/>
    </row>
    <row r="16" spans="1:14" x14ac:dyDescent="0.4">
      <c r="C16" s="81"/>
      <c r="D16" s="69"/>
      <c r="E16" s="86"/>
      <c r="F16" s="69"/>
      <c r="G16" s="69"/>
      <c r="H16" s="87" t="s">
        <v>430</v>
      </c>
      <c r="I16" s="265" t="s">
        <v>431</v>
      </c>
      <c r="J16" s="256"/>
      <c r="K16" s="256"/>
      <c r="L16" s="256"/>
      <c r="M16" s="256"/>
      <c r="N16" s="203" t="s">
        <v>432</v>
      </c>
    </row>
    <row r="17" spans="2:14" x14ac:dyDescent="0.4">
      <c r="B17" s="71" t="s">
        <v>433</v>
      </c>
      <c r="C17" s="71" t="s">
        <v>434</v>
      </c>
      <c r="D17" s="72" t="s">
        <v>435</v>
      </c>
      <c r="E17" s="87" t="s">
        <v>436</v>
      </c>
      <c r="F17" s="72" t="s">
        <v>437</v>
      </c>
      <c r="G17" s="72" t="s">
        <v>438</v>
      </c>
      <c r="H17" s="87" t="s">
        <v>439</v>
      </c>
      <c r="I17" s="70">
        <v>1</v>
      </c>
      <c r="J17" s="70">
        <v>2</v>
      </c>
      <c r="K17" s="70">
        <v>3</v>
      </c>
      <c r="L17" s="70">
        <v>4</v>
      </c>
      <c r="M17" s="70">
        <v>5</v>
      </c>
      <c r="N17" s="204"/>
    </row>
    <row r="18" spans="2:14" ht="15.9" customHeight="1" x14ac:dyDescent="0.4">
      <c r="B18" s="262" t="s">
        <v>11</v>
      </c>
      <c r="C18" s="152" t="s">
        <v>440</v>
      </c>
      <c r="D18" s="112"/>
      <c r="E18" s="114">
        <f>SUM(E19:E21)</f>
        <v>0.26</v>
      </c>
      <c r="F18" s="113"/>
      <c r="G18" s="168"/>
      <c r="H18" s="184"/>
      <c r="I18" s="113"/>
      <c r="J18" s="113"/>
      <c r="K18" s="113"/>
      <c r="L18" s="113"/>
      <c r="M18" s="113"/>
      <c r="N18" s="201"/>
    </row>
    <row r="19" spans="2:14" ht="13.5" customHeight="1" x14ac:dyDescent="0.4">
      <c r="B19" s="263"/>
      <c r="C19" s="92" t="s">
        <v>12</v>
      </c>
      <c r="D19" s="89" t="s">
        <v>441</v>
      </c>
      <c r="E19" s="90">
        <v>0.08</v>
      </c>
      <c r="F19" s="91" t="s">
        <v>442</v>
      </c>
      <c r="G19" s="169" t="s">
        <v>443</v>
      </c>
      <c r="H19" s="185">
        <v>4.3499999999999996</v>
      </c>
      <c r="I19" s="91" t="s">
        <v>444</v>
      </c>
      <c r="J19" s="91" t="s">
        <v>445</v>
      </c>
      <c r="K19" s="91" t="s">
        <v>446</v>
      </c>
      <c r="L19" s="91" t="s">
        <v>447</v>
      </c>
      <c r="M19" s="91" t="s">
        <v>448</v>
      </c>
      <c r="N19" s="186">
        <v>0.08</v>
      </c>
    </row>
    <row r="20" spans="2:14" ht="15.45" customHeight="1" x14ac:dyDescent="0.4">
      <c r="B20" s="263"/>
      <c r="C20" s="92" t="s">
        <v>14</v>
      </c>
      <c r="D20" s="89" t="s">
        <v>449</v>
      </c>
      <c r="E20" s="90">
        <v>0.12</v>
      </c>
      <c r="F20" s="91" t="s">
        <v>450</v>
      </c>
      <c r="G20" s="169" t="s">
        <v>443</v>
      </c>
      <c r="H20" s="186">
        <v>0.88</v>
      </c>
      <c r="I20" s="91" t="s">
        <v>451</v>
      </c>
      <c r="J20" s="91" t="s">
        <v>452</v>
      </c>
      <c r="K20" s="91" t="s">
        <v>453</v>
      </c>
      <c r="L20" s="91" t="s">
        <v>454</v>
      </c>
      <c r="M20" s="91" t="s">
        <v>455</v>
      </c>
      <c r="N20" s="186">
        <v>0.12</v>
      </c>
    </row>
    <row r="21" spans="2:14" ht="15.9" customHeight="1" x14ac:dyDescent="0.4">
      <c r="B21" s="263"/>
      <c r="C21" s="93" t="s">
        <v>16</v>
      </c>
      <c r="D21" s="94" t="s">
        <v>456</v>
      </c>
      <c r="E21" s="95">
        <v>0.06</v>
      </c>
      <c r="F21" s="96" t="s">
        <v>457</v>
      </c>
      <c r="G21" s="170" t="s">
        <v>443</v>
      </c>
      <c r="H21" s="187">
        <v>0.1</v>
      </c>
      <c r="I21" s="96" t="s">
        <v>458</v>
      </c>
      <c r="J21" s="96" t="s">
        <v>459</v>
      </c>
      <c r="K21" s="96" t="s">
        <v>460</v>
      </c>
      <c r="L21" s="96" t="s">
        <v>461</v>
      </c>
      <c r="M21" s="96" t="s">
        <v>462</v>
      </c>
      <c r="N21" s="202">
        <v>0.06</v>
      </c>
    </row>
    <row r="22" spans="2:14" ht="5.6" customHeight="1" x14ac:dyDescent="0.4">
      <c r="B22" s="263"/>
      <c r="C22" s="147"/>
      <c r="G22" s="171"/>
      <c r="H22" s="188"/>
      <c r="N22" s="188"/>
    </row>
    <row r="23" spans="2:14" ht="18" customHeight="1" x14ac:dyDescent="0.4">
      <c r="B23" s="263"/>
      <c r="C23" s="148" t="s">
        <v>463</v>
      </c>
      <c r="D23" s="136"/>
      <c r="E23" s="137">
        <f>E24</f>
        <v>0.14000000000000001</v>
      </c>
      <c r="F23" s="136"/>
      <c r="G23" s="172"/>
      <c r="H23" s="189"/>
      <c r="I23" s="136"/>
      <c r="J23" s="136"/>
      <c r="K23" s="136"/>
      <c r="L23" s="136"/>
      <c r="M23" s="136"/>
      <c r="N23" s="189"/>
    </row>
    <row r="24" spans="2:14" ht="18" customHeight="1" x14ac:dyDescent="0.4">
      <c r="B24" s="263"/>
      <c r="C24" s="97" t="s">
        <v>18</v>
      </c>
      <c r="D24" s="98" t="s">
        <v>464</v>
      </c>
      <c r="E24" s="99">
        <v>0.14000000000000001</v>
      </c>
      <c r="F24" s="100" t="s">
        <v>465</v>
      </c>
      <c r="G24" s="173" t="s">
        <v>443</v>
      </c>
      <c r="H24" s="190">
        <v>0.68</v>
      </c>
      <c r="I24" s="100" t="s">
        <v>466</v>
      </c>
      <c r="J24" s="100" t="s">
        <v>467</v>
      </c>
      <c r="K24" s="100" t="s">
        <v>468</v>
      </c>
      <c r="L24" s="100" t="s">
        <v>469</v>
      </c>
      <c r="M24" s="100" t="s">
        <v>470</v>
      </c>
      <c r="N24" s="190">
        <v>0.14000000000000001</v>
      </c>
    </row>
    <row r="25" spans="2:14" ht="5.6" customHeight="1" x14ac:dyDescent="0.4">
      <c r="B25" s="263"/>
      <c r="C25" s="147"/>
      <c r="G25" s="171"/>
      <c r="H25" s="188"/>
      <c r="N25" s="188"/>
    </row>
    <row r="26" spans="2:14" ht="16.3" customHeight="1" x14ac:dyDescent="0.4">
      <c r="B26" s="263"/>
      <c r="C26" s="155" t="s">
        <v>471</v>
      </c>
      <c r="D26" s="156"/>
      <c r="E26" s="157">
        <f>E27</f>
        <v>0.14000000000000001</v>
      </c>
      <c r="F26" s="156"/>
      <c r="G26" s="183"/>
      <c r="H26" s="191"/>
      <c r="I26" s="258"/>
      <c r="J26" s="243"/>
      <c r="K26" s="258"/>
      <c r="L26" s="243"/>
      <c r="M26" s="156"/>
      <c r="N26" s="191"/>
    </row>
    <row r="27" spans="2:14" ht="23.15" customHeight="1" x14ac:dyDescent="0.4">
      <c r="B27" s="263"/>
      <c r="C27" s="138" t="s">
        <v>20</v>
      </c>
      <c r="D27" s="139" t="s">
        <v>472</v>
      </c>
      <c r="E27" s="140">
        <v>0.14000000000000001</v>
      </c>
      <c r="F27" s="141" t="s">
        <v>465</v>
      </c>
      <c r="G27" s="174" t="s">
        <v>443</v>
      </c>
      <c r="H27" s="192">
        <v>0.69</v>
      </c>
      <c r="I27" s="141" t="s">
        <v>473</v>
      </c>
      <c r="J27" s="141" t="s">
        <v>474</v>
      </c>
      <c r="K27" s="141" t="s">
        <v>475</v>
      </c>
      <c r="L27" s="141" t="s">
        <v>476</v>
      </c>
      <c r="M27" s="141" t="s">
        <v>477</v>
      </c>
      <c r="N27" s="192">
        <v>0.14000000000000001</v>
      </c>
    </row>
    <row r="28" spans="2:14" ht="5.6" customHeight="1" x14ac:dyDescent="0.4">
      <c r="B28" s="263"/>
      <c r="C28" s="147"/>
      <c r="G28" s="171"/>
      <c r="H28" s="188"/>
      <c r="N28" s="188"/>
    </row>
    <row r="29" spans="2:14" ht="16.3" customHeight="1" x14ac:dyDescent="0.4">
      <c r="B29" s="263"/>
      <c r="C29" s="149" t="s">
        <v>478</v>
      </c>
      <c r="D29" s="144"/>
      <c r="E29" s="145">
        <f>E30</f>
        <v>0.11</v>
      </c>
      <c r="F29" s="146"/>
      <c r="G29" s="175"/>
      <c r="H29" s="193"/>
      <c r="I29" s="146"/>
      <c r="J29" s="146"/>
      <c r="K29" s="146"/>
      <c r="L29" s="146"/>
      <c r="M29" s="146"/>
      <c r="N29" s="193"/>
    </row>
    <row r="30" spans="2:14" ht="22.3" customHeight="1" x14ac:dyDescent="0.4">
      <c r="B30" s="264"/>
      <c r="C30" s="101" t="s">
        <v>22</v>
      </c>
      <c r="D30" s="102" t="s">
        <v>479</v>
      </c>
      <c r="E30" s="142">
        <v>0.11</v>
      </c>
      <c r="F30" s="143" t="s">
        <v>480</v>
      </c>
      <c r="G30" s="176" t="s">
        <v>443</v>
      </c>
      <c r="H30" s="194">
        <v>0.64</v>
      </c>
      <c r="I30" s="143" t="s">
        <v>481</v>
      </c>
      <c r="J30" s="143" t="s">
        <v>482</v>
      </c>
      <c r="K30" s="143" t="s">
        <v>474</v>
      </c>
      <c r="L30" s="143" t="s">
        <v>468</v>
      </c>
      <c r="M30" s="143" t="s">
        <v>476</v>
      </c>
      <c r="N30" s="194">
        <v>0.11</v>
      </c>
    </row>
    <row r="31" spans="2:14" ht="6.45" customHeight="1" x14ac:dyDescent="0.4">
      <c r="B31" s="78"/>
      <c r="G31" s="171"/>
      <c r="H31" s="188"/>
      <c r="N31" s="188"/>
    </row>
    <row r="32" spans="2:14" ht="18" customHeight="1" x14ac:dyDescent="0.4">
      <c r="B32" s="262" t="s">
        <v>24</v>
      </c>
      <c r="C32" s="158" t="s">
        <v>483</v>
      </c>
      <c r="D32" s="150"/>
      <c r="E32" s="151">
        <f>SUM(E33:E35)</f>
        <v>0.16</v>
      </c>
      <c r="F32" s="150"/>
      <c r="G32" s="177"/>
      <c r="H32" s="195"/>
      <c r="I32" s="150"/>
      <c r="J32" s="150"/>
      <c r="K32" s="150"/>
      <c r="L32" s="150"/>
      <c r="M32" s="150"/>
      <c r="N32" s="195"/>
    </row>
    <row r="33" spans="2:14" x14ac:dyDescent="0.4">
      <c r="B33" s="263"/>
      <c r="C33" s="116" t="s">
        <v>25</v>
      </c>
      <c r="D33" s="117" t="s">
        <v>484</v>
      </c>
      <c r="E33" s="118">
        <v>0.05</v>
      </c>
      <c r="F33" s="119" t="s">
        <v>485</v>
      </c>
      <c r="G33" s="178" t="s">
        <v>486</v>
      </c>
      <c r="H33" s="196">
        <v>0.92</v>
      </c>
      <c r="I33" s="119" t="s">
        <v>466</v>
      </c>
      <c r="J33" s="119" t="s">
        <v>467</v>
      </c>
      <c r="K33" s="119" t="s">
        <v>487</v>
      </c>
      <c r="L33" s="119" t="s">
        <v>488</v>
      </c>
      <c r="M33" s="120" t="s">
        <v>489</v>
      </c>
      <c r="N33" s="196">
        <v>0.05</v>
      </c>
    </row>
    <row r="34" spans="2:14" x14ac:dyDescent="0.4">
      <c r="B34" s="263"/>
      <c r="C34" s="116" t="s">
        <v>27</v>
      </c>
      <c r="D34" s="117" t="s">
        <v>490</v>
      </c>
      <c r="E34" s="118">
        <v>0.05</v>
      </c>
      <c r="F34" s="119" t="s">
        <v>485</v>
      </c>
      <c r="G34" s="178" t="s">
        <v>486</v>
      </c>
      <c r="H34" s="196">
        <v>0.94</v>
      </c>
      <c r="I34" s="119" t="s">
        <v>466</v>
      </c>
      <c r="J34" s="119" t="s">
        <v>467</v>
      </c>
      <c r="K34" s="119" t="s">
        <v>491</v>
      </c>
      <c r="L34" s="119" t="s">
        <v>455</v>
      </c>
      <c r="M34" s="120" t="s">
        <v>492</v>
      </c>
      <c r="N34" s="196">
        <v>0.05</v>
      </c>
    </row>
    <row r="35" spans="2:14" x14ac:dyDescent="0.4">
      <c r="B35" s="263"/>
      <c r="C35" s="121" t="s">
        <v>29</v>
      </c>
      <c r="D35" s="122" t="s">
        <v>493</v>
      </c>
      <c r="E35" s="123">
        <v>0.06</v>
      </c>
      <c r="F35" s="124" t="s">
        <v>485</v>
      </c>
      <c r="G35" s="179" t="s">
        <v>486</v>
      </c>
      <c r="H35" s="197">
        <v>0.96</v>
      </c>
      <c r="I35" s="124" t="s">
        <v>466</v>
      </c>
      <c r="J35" s="124" t="s">
        <v>467</v>
      </c>
      <c r="K35" s="124" t="s">
        <v>494</v>
      </c>
      <c r="L35" s="124" t="s">
        <v>495</v>
      </c>
      <c r="M35" s="125" t="s">
        <v>496</v>
      </c>
      <c r="N35" s="197">
        <v>0.06</v>
      </c>
    </row>
    <row r="36" spans="2:14" ht="3.9" customHeight="1" x14ac:dyDescent="0.4">
      <c r="B36" s="263"/>
      <c r="G36" s="171"/>
      <c r="H36" s="188"/>
      <c r="N36" s="188"/>
    </row>
    <row r="37" spans="2:14" ht="15.55" customHeight="1" x14ac:dyDescent="0.4">
      <c r="B37" s="263"/>
      <c r="C37" s="159" t="s">
        <v>497</v>
      </c>
      <c r="D37" s="153"/>
      <c r="E37" s="154">
        <f>E38+E39</f>
        <v>0.19</v>
      </c>
      <c r="F37" s="153"/>
      <c r="G37" s="180"/>
      <c r="H37" s="198"/>
      <c r="I37" s="153"/>
      <c r="J37" s="153"/>
      <c r="K37" s="153"/>
      <c r="L37" s="153"/>
      <c r="M37" s="153"/>
      <c r="N37" s="198"/>
    </row>
    <row r="38" spans="2:14" x14ac:dyDescent="0.4">
      <c r="B38" s="263"/>
      <c r="C38" s="126" t="s">
        <v>31</v>
      </c>
      <c r="D38" s="127" t="s">
        <v>498</v>
      </c>
      <c r="E38" s="128">
        <v>0.09</v>
      </c>
      <c r="F38" s="129" t="s">
        <v>499</v>
      </c>
      <c r="G38" s="181" t="s">
        <v>500</v>
      </c>
      <c r="H38" s="199">
        <v>0.89</v>
      </c>
      <c r="I38" s="129" t="s">
        <v>501</v>
      </c>
      <c r="J38" s="129" t="s">
        <v>470</v>
      </c>
      <c r="K38" s="129" t="s">
        <v>491</v>
      </c>
      <c r="L38" s="129" t="s">
        <v>502</v>
      </c>
      <c r="M38" s="130" t="s">
        <v>503</v>
      </c>
      <c r="N38" s="199">
        <v>0.09</v>
      </c>
    </row>
    <row r="39" spans="2:14" x14ac:dyDescent="0.4">
      <c r="B39" s="264"/>
      <c r="C39" s="131" t="s">
        <v>33</v>
      </c>
      <c r="D39" s="132" t="s">
        <v>504</v>
      </c>
      <c r="E39" s="133">
        <v>0.1</v>
      </c>
      <c r="F39" s="134" t="s">
        <v>499</v>
      </c>
      <c r="G39" s="182" t="s">
        <v>500</v>
      </c>
      <c r="H39" s="200">
        <v>0.93</v>
      </c>
      <c r="I39" s="134" t="s">
        <v>505</v>
      </c>
      <c r="J39" s="134" t="s">
        <v>506</v>
      </c>
      <c r="K39" s="134" t="s">
        <v>507</v>
      </c>
      <c r="L39" s="134" t="s">
        <v>508</v>
      </c>
      <c r="M39" s="135" t="s">
        <v>492</v>
      </c>
      <c r="N39" s="200">
        <v>0.1</v>
      </c>
    </row>
  </sheetData>
  <mergeCells count="9">
    <mergeCell ref="B32:B39"/>
    <mergeCell ref="B4:M9"/>
    <mergeCell ref="I26:J26"/>
    <mergeCell ref="K26:L26"/>
    <mergeCell ref="B1:N1"/>
    <mergeCell ref="B10:M10"/>
    <mergeCell ref="I15:M15"/>
    <mergeCell ref="B18:B30"/>
    <mergeCell ref="I16:M1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553"/>
  <sheetViews>
    <sheetView showGridLines="0" topLeftCell="C1" zoomScale="81" zoomScaleNormal="81" workbookViewId="0">
      <selection activeCell="R28" sqref="R28"/>
    </sheetView>
  </sheetViews>
  <sheetFormatPr defaultColWidth="8.61328125" defaultRowHeight="14.6" x14ac:dyDescent="0.4"/>
  <cols>
    <col min="1" max="1" width="22.15234375" style="20" bestFit="1" customWidth="1"/>
    <col min="2" max="2" width="29.765625" style="160" customWidth="1"/>
    <col min="3" max="3" width="21.765625" style="160" customWidth="1"/>
    <col min="4" max="4" width="11.3828125" style="20" bestFit="1" customWidth="1"/>
    <col min="5" max="5" width="17.69140625" style="66" customWidth="1"/>
    <col min="6" max="6" width="1.69140625" style="20" customWidth="1"/>
    <col min="7" max="7" width="10.69140625" style="20" customWidth="1"/>
    <col min="8" max="8" width="11.07421875" style="62" customWidth="1"/>
    <col min="9" max="9" width="10.69140625" style="20" customWidth="1"/>
    <col min="10" max="10" width="12.4609375" style="20" customWidth="1"/>
    <col min="11" max="11" width="13.3046875" style="63" customWidth="1"/>
    <col min="12" max="12" width="13.921875" style="62" customWidth="1"/>
    <col min="13" max="13" width="1.69140625" style="20" customWidth="1"/>
    <col min="14" max="14" width="13.15234375" style="64" customWidth="1"/>
    <col min="15" max="15" width="15.23046875" style="20" customWidth="1"/>
    <col min="16" max="16" width="1.69140625" style="20" customWidth="1"/>
    <col min="17" max="17" width="12.23046875" style="20" customWidth="1"/>
    <col min="18" max="18" width="13.3828125" style="20" customWidth="1"/>
    <col min="19" max="19" width="1.69140625" style="20" customWidth="1"/>
    <col min="20" max="20" width="9.69140625" style="20" customWidth="1"/>
    <col min="21" max="21" width="9.07421875" style="20" customWidth="1"/>
    <col min="22" max="22" width="1.69140625" style="20" customWidth="1"/>
    <col min="23" max="23" width="13" style="20" customWidth="1"/>
    <col min="24" max="24" width="10.765625" style="20" customWidth="1"/>
    <col min="25" max="25" width="10.23046875" style="20" customWidth="1"/>
    <col min="26" max="26" width="11.921875" style="62" customWidth="1"/>
    <col min="27" max="27" width="13.3828125" style="20" customWidth="1"/>
    <col min="28" max="28" width="10.61328125" style="20" customWidth="1"/>
    <col min="29" max="29" width="1.07421875" style="20" customWidth="1"/>
    <col min="30" max="30" width="13.07421875" style="20" customWidth="1"/>
    <col min="31" max="31" width="12.84375" style="20" customWidth="1"/>
    <col min="32" max="32" width="12.4609375" style="20" customWidth="1"/>
    <col min="33" max="33" width="10.765625" style="20" customWidth="1"/>
    <col min="34" max="37" width="8.61328125" style="20" customWidth="1"/>
    <col min="38" max="16384" width="8.61328125" style="20"/>
  </cols>
  <sheetData>
    <row r="1" spans="1:33" x14ac:dyDescent="0.4">
      <c r="C1" s="268" t="s">
        <v>509</v>
      </c>
      <c r="D1" s="250"/>
      <c r="E1" s="20"/>
    </row>
    <row r="2" spans="1:33" ht="17.600000000000001" customHeight="1" x14ac:dyDescent="0.4">
      <c r="C2" s="269" t="s">
        <v>510</v>
      </c>
      <c r="D2" s="270"/>
      <c r="E2" s="20"/>
    </row>
    <row r="3" spans="1:33" ht="18.45" customHeight="1" x14ac:dyDescent="0.4">
      <c r="C3" s="246"/>
      <c r="D3" s="253"/>
      <c r="E3" s="20"/>
    </row>
    <row r="4" spans="1:33" s="167" customFormat="1" ht="21.45" customHeight="1" x14ac:dyDescent="0.45">
      <c r="A4" s="13"/>
      <c r="B4" s="161"/>
      <c r="C4" s="275" t="s">
        <v>511</v>
      </c>
      <c r="D4" s="250"/>
      <c r="E4" s="162">
        <v>2.2307692307692308</v>
      </c>
      <c r="F4" s="13"/>
      <c r="G4" s="165">
        <v>4.4820000000000002</v>
      </c>
      <c r="H4" s="165">
        <v>4</v>
      </c>
      <c r="I4" s="165">
        <v>84.98</v>
      </c>
      <c r="J4" s="165">
        <v>2</v>
      </c>
      <c r="K4" s="165">
        <v>8.4000000000000005E-2</v>
      </c>
      <c r="L4" s="165">
        <v>3</v>
      </c>
      <c r="M4" s="166"/>
      <c r="N4" s="233">
        <v>0.58930000000000005</v>
      </c>
      <c r="O4" s="165">
        <v>1</v>
      </c>
      <c r="P4" s="166"/>
      <c r="Q4" s="233">
        <v>0.62464808962941687</v>
      </c>
      <c r="R4" s="165">
        <v>3</v>
      </c>
      <c r="S4" s="166"/>
      <c r="T4" s="164">
        <v>56.996927803379407</v>
      </c>
      <c r="U4" s="165">
        <v>1</v>
      </c>
      <c r="V4" s="166"/>
      <c r="W4" s="233">
        <v>0.86899999999999999</v>
      </c>
      <c r="X4" s="165">
        <v>3</v>
      </c>
      <c r="Y4" s="233">
        <v>0.56699999999999995</v>
      </c>
      <c r="Z4" s="165">
        <v>1</v>
      </c>
      <c r="AA4" s="233">
        <v>0.80600000000000005</v>
      </c>
      <c r="AB4" s="165">
        <v>2</v>
      </c>
      <c r="AC4" s="167">
        <v>2</v>
      </c>
      <c r="AD4" s="233">
        <v>0.56799999999999995</v>
      </c>
      <c r="AE4" s="165">
        <v>1</v>
      </c>
      <c r="AF4" s="233">
        <v>0.875</v>
      </c>
      <c r="AG4" s="165">
        <v>3</v>
      </c>
    </row>
    <row r="5" spans="1:33" ht="16.3" customHeight="1" x14ac:dyDescent="0.4">
      <c r="E5" s="20"/>
      <c r="G5" s="267" t="s">
        <v>512</v>
      </c>
      <c r="H5" s="249"/>
      <c r="I5" s="249"/>
      <c r="J5" s="249"/>
      <c r="K5" s="249"/>
      <c r="L5" s="249"/>
      <c r="N5" s="274" t="s">
        <v>513</v>
      </c>
      <c r="O5" s="249"/>
      <c r="Q5" s="271" t="s">
        <v>514</v>
      </c>
      <c r="R5" s="249"/>
      <c r="T5" s="272" t="s">
        <v>515</v>
      </c>
      <c r="U5" s="249"/>
      <c r="W5" s="273" t="s">
        <v>516</v>
      </c>
      <c r="X5" s="249"/>
      <c r="Y5" s="249"/>
      <c r="Z5" s="249"/>
      <c r="AA5" s="249"/>
      <c r="AB5" s="249"/>
      <c r="AD5" s="266" t="s">
        <v>517</v>
      </c>
      <c r="AE5" s="249"/>
      <c r="AF5" s="249"/>
      <c r="AG5" s="249"/>
    </row>
    <row r="6" spans="1:33" s="13" customFormat="1" ht="74.599999999999994" customHeight="1" x14ac:dyDescent="0.4">
      <c r="A6" s="75" t="s">
        <v>518</v>
      </c>
      <c r="B6" s="75" t="s">
        <v>519</v>
      </c>
      <c r="C6" s="75" t="s">
        <v>520</v>
      </c>
      <c r="D6" s="76" t="s">
        <v>521</v>
      </c>
      <c r="E6" s="77" t="s">
        <v>522</v>
      </c>
      <c r="G6" s="111" t="s">
        <v>523</v>
      </c>
      <c r="H6" s="55" t="s">
        <v>441</v>
      </c>
      <c r="I6" s="54" t="s">
        <v>524</v>
      </c>
      <c r="J6" s="55" t="s">
        <v>525</v>
      </c>
      <c r="K6" s="54" t="s">
        <v>526</v>
      </c>
      <c r="L6" s="55" t="s">
        <v>527</v>
      </c>
      <c r="N6" s="73" t="s">
        <v>528</v>
      </c>
      <c r="O6" s="61" t="s">
        <v>529</v>
      </c>
      <c r="Q6" s="108" t="s">
        <v>530</v>
      </c>
      <c r="R6" s="109" t="s">
        <v>531</v>
      </c>
      <c r="T6" s="110" t="s">
        <v>532</v>
      </c>
      <c r="U6" s="56" t="s">
        <v>533</v>
      </c>
      <c r="W6" s="57" t="s">
        <v>534</v>
      </c>
      <c r="X6" s="58" t="s">
        <v>535</v>
      </c>
      <c r="Y6" s="57" t="s">
        <v>536</v>
      </c>
      <c r="Z6" s="103" t="s">
        <v>537</v>
      </c>
      <c r="AA6" s="57" t="s">
        <v>538</v>
      </c>
      <c r="AB6" s="58" t="s">
        <v>539</v>
      </c>
      <c r="AD6" s="59" t="s">
        <v>540</v>
      </c>
      <c r="AE6" s="60" t="s">
        <v>541</v>
      </c>
      <c r="AF6" s="59" t="s">
        <v>542</v>
      </c>
      <c r="AG6" s="60" t="s">
        <v>543</v>
      </c>
    </row>
    <row r="7" spans="1:33" x14ac:dyDescent="0.4">
      <c r="A7" s="163" t="str">
        <f>IF('Restaurant Base (Hidden)'!A67=0,"", 'Restaurant Base (Hidden)'!A67)</f>
        <v>Harper Langford</v>
      </c>
      <c r="B7" s="163" t="str">
        <f>IF('Restaurant Base (Hidden)'!B67=0,"", 'Restaurant Base (Hidden)'!B67)</f>
        <v>Meadowgate Hospitality</v>
      </c>
      <c r="C7" s="163" t="str">
        <f>IF('Restaurant Base (Hidden)'!C67=0,"", 'Restaurant Base (Hidden)'!C67)</f>
        <v>Eagle Mews</v>
      </c>
      <c r="D7" s="104">
        <f t="shared" ref="D7:D70" si="0">+IFERROR(RANK(E7,$E$7:$E$3390,),"")</f>
        <v>1</v>
      </c>
      <c r="E7" s="105">
        <f>+IFERROR(INDEX('Restaurant Base (Hidden)'!$A$2:$Z$1048576,MATCH($C7,'Restaurant Base (Hidden)'!$C$2:$C$1048576,0),MATCH(E$6,'Restaurant Base (Hidden)'!$A$1:$Z$1,0)),"")</f>
        <v>4.2</v>
      </c>
      <c r="F7" s="64" t="str">
        <f>+IFERROR(INDEX('Restaurant Base (Hidden)'!$A$2:$Z$1048576,MATCH($C7,'Restaurant Base (Hidden)'!$C$2:$C$1048576,0),MATCH(F$6,'Restaurant Base (Hidden)'!$A$1:$Z$1,0)),"")</f>
        <v/>
      </c>
      <c r="G7" s="20" t="str">
        <f>+IFERROR(INDEX('Restaurant Base (Hidden)'!$A$2:$Z$1048576,MATCH($C7,'Restaurant Base (Hidden)'!$C$2:$C$1048576,0),MATCH(G$6,'Restaurant Base (Hidden)'!$A$1:$Z$1,0)),"")</f>
        <v>4,557</v>
      </c>
      <c r="H7" s="50">
        <f>+IFERROR(INDEX('Restaurant Base (Hidden)'!$A$2:$Z$1048576,MATCH($C7,'Restaurant Base (Hidden)'!$C$2:$C$1048576,0),MATCH(H$6,'Restaurant Base (Hidden)'!$A$1:$Z$1,0)),"")</f>
        <v>5</v>
      </c>
      <c r="I7" s="20" t="str">
        <f>+IFERROR(INDEX('Restaurant Base (Hidden)'!$A$2:$Z$1048576,MATCH($C7,'Restaurant Base (Hidden)'!$C$2:$C$1048576,0),MATCH(I$6,'Restaurant Base (Hidden)'!$A$1:$Z$1,0)),"")</f>
        <v>86,60 %</v>
      </c>
      <c r="J7" s="49">
        <f>+IFERROR(INDEX('Restaurant Base (Hidden)'!$A$2:$Z$1048576,MATCH($C7,'Restaurant Base (Hidden)'!$C$2:$C$1048576,0),MATCH(J$6,'Restaurant Base (Hidden)'!$A$1:$Z$1,0)),"")</f>
        <v>3</v>
      </c>
      <c r="K7" s="20" t="str">
        <f>+IFERROR(INDEX('Restaurant Base (Hidden)'!$A$2:$Z$1048576,MATCH($C7,'Restaurant Base (Hidden)'!$C$2:$C$1048576,0),MATCH(K$6,'Restaurant Base (Hidden)'!$A$1:$Z$1,0)),"")</f>
        <v>0,058</v>
      </c>
      <c r="L7" s="51">
        <f>+IFERROR(INDEX('Restaurant Base (Hidden)'!$A$2:$Z$1048576,MATCH($C7,'Restaurant Base (Hidden)'!$C$2:$C$1048576,0),MATCH(L$6,'Restaurant Base (Hidden)'!$A$1:$Z$1,0)),"")</f>
        <v>5</v>
      </c>
      <c r="M7" s="2" t="str">
        <f>+IFERROR(INDEX('Restaurant Base (Hidden)'!$A$2:$Z$1048576,MATCH($C7,'Restaurant Base (Hidden)'!$C$2:$C$1048576,0),MATCH(M$6,'Restaurant Base (Hidden)'!$A$1:$Z$1,0)),"")</f>
        <v/>
      </c>
      <c r="N7" s="234" t="str">
        <f>+IFERROR(INDEX('Restaurant Base (Hidden)'!$A$2:$Z$1048576,MATCH($C7,'Restaurant Base (Hidden)'!$C$2:$C$1048576,0),MATCH(N$6,'Restaurant Base (Hidden)'!$A$1:$Z$1,0)),"")</f>
        <v>78,60 %</v>
      </c>
      <c r="O7" s="1">
        <f>+IFERROR(INDEX('Restaurant Base (Hidden)'!$A$2:$Z$1048576,MATCH($C7,'Restaurant Base (Hidden)'!$C$2:$C$1048576,0),MATCH(O$6,'Restaurant Base (Hidden)'!$A$1:$Z$1,0)),"")</f>
        <v>5</v>
      </c>
      <c r="P7" s="2" t="str">
        <f>+IFERROR(INDEX('Restaurant Base (Hidden)'!$A$2:$Z$1048576,MATCH($C7,'Restaurant Base (Hidden)'!$C$2:$C$1048576,0),MATCH(P$6,'Restaurant Base (Hidden)'!$A$1:$Z$1,0)),"")</f>
        <v/>
      </c>
      <c r="Q7" s="234" t="str">
        <f>+IFERROR(INDEX('Restaurant Base (Hidden)'!$A$2:$Z$1048576,MATCH($C7,'Restaurant Base (Hidden)'!$C$2:$C$1048576,0),MATCH(Q$6,'Restaurant Base (Hidden)'!$A$1:$Z$1,0)),"")</f>
        <v>92,50 %</v>
      </c>
      <c r="R7" s="1">
        <f>+IFERROR(INDEX('Restaurant Base (Hidden)'!$A$2:$Z$1048576,MATCH($C7,'Restaurant Base (Hidden)'!$C$2:$C$1048576,0),MATCH(R$6,'Restaurant Base (Hidden)'!$A$1:$Z$1,0)),"")</f>
        <v>5</v>
      </c>
      <c r="S7" s="2" t="str">
        <f>+IFERROR(INDEX('Restaurant Base (Hidden)'!$A$2:$Z$1048576,MATCH($C7,'Restaurant Base (Hidden)'!$C$2:$C$1048576,0),MATCH(S$6,'Restaurant Base (Hidden)'!$A$1:$Z$1,0)),"")</f>
        <v/>
      </c>
      <c r="T7" s="62">
        <f>+IFERROR(INDEX('Restaurant Base (Hidden)'!$A$2:$Z$1048576,MATCH($C7,'Restaurant Base (Hidden)'!$C$2:$C$1048576,0),MATCH(T$6,'Restaurant Base (Hidden)'!$A$1:$Z$1,0)),"")</f>
        <v>76.900000000000006</v>
      </c>
      <c r="U7" s="1">
        <f>+IFERROR(INDEX('Restaurant Base (Hidden)'!$A$2:$Z$1048576,MATCH($C7,'Restaurant Base (Hidden)'!$C$2:$C$1048576,0),MATCH(U$6,'Restaurant Base (Hidden)'!$A$1:$Z$1,0)),"")</f>
        <v>5</v>
      </c>
      <c r="V7" s="2" t="str">
        <f>+IFERROR(INDEX('Restaurant Base (Hidden)'!$A$2:$Z$1048576,MATCH($C7,'Restaurant Base (Hidden)'!$C$2:$C$1048576,0),MATCH(V$6,'Restaurant Base (Hidden)'!$A$1:$Z$1,0)),"")</f>
        <v/>
      </c>
      <c r="W7" s="65" t="str">
        <f>+IFERROR(INDEX('Restaurant Base (Hidden)'!$A$2:$Z$1048576,MATCH($C7,'Restaurant Base (Hidden)'!$C$2:$C$1048576,0),MATCH(W$6,'Restaurant Base (Hidden)'!$A$1:$Z$1,0)),"")</f>
        <v>58,50 %</v>
      </c>
      <c r="X7" s="1">
        <f>+IFERROR(INDEX('Restaurant Base (Hidden)'!$A$2:$Z$1048576,MATCH($C7,'Restaurant Base (Hidden)'!$C$2:$C$1048576,0),MATCH(X$6,'Restaurant Base (Hidden)'!$A$1:$Z$1,0)),"")</f>
        <v>1</v>
      </c>
      <c r="Y7" s="65" t="str">
        <f>+IFERROR(INDEX('Restaurant Base (Hidden)'!$A$2:$Z$1048576,MATCH($C7,'Restaurant Base (Hidden)'!$C$2:$C$1048576,0),MATCH(Y$6,'Restaurant Base (Hidden)'!$A$1:$Z$1,0)),"")</f>
        <v>94,40 %</v>
      </c>
      <c r="Z7" s="106">
        <f>+IFERROR(INDEX('Restaurant Base (Hidden)'!$A$2:$Z$1048576,MATCH($C7,'Restaurant Base (Hidden)'!$C$2:$C$1048576,0),MATCH(Z$6,'Restaurant Base (Hidden)'!$A$1:$Z$1,0)),"")</f>
        <v>4</v>
      </c>
      <c r="AA7" s="65" t="str">
        <f>+IFERROR(INDEX('Restaurant Base (Hidden)'!$A$2:$Z$1048576,MATCH($C7,'Restaurant Base (Hidden)'!$C$2:$C$1048576,0),MATCH(AA$6,'Restaurant Base (Hidden)'!$A$1:$Z$1,0)),"")</f>
        <v>85,00 %</v>
      </c>
      <c r="AB7" s="1">
        <f>+IFERROR(INDEX('Restaurant Base (Hidden)'!$A$2:$Z$1048576,MATCH($C7,'Restaurant Base (Hidden)'!$C$2:$C$1048576,0),MATCH(AB$6,'Restaurant Base (Hidden)'!$A$1:$Z$1,0)),"")</f>
        <v>3</v>
      </c>
      <c r="AC7" s="20" t="str">
        <f>+IFERROR(INDEX('Restaurant Base (Hidden)'!$A$2:$Z$1048576,MATCH($C7,'Restaurant Base (Hidden)'!$C$2:$C$1048576,0),MATCH(AC$6,'Restaurant Base (Hidden)'!$A$1:$Z$1,0)),"")</f>
        <v/>
      </c>
      <c r="AD7" s="65" t="str">
        <f>+IFERROR(INDEX('Restaurant Base (Hidden)'!$A$2:$Z$1048576,MATCH($C7,'Restaurant Base (Hidden)'!$C$2:$C$1048576,0),MATCH(AD$6,'Restaurant Base (Hidden)'!$A$1:$Z$1,0)),"")</f>
        <v>91,70 %</v>
      </c>
      <c r="AE7" s="1">
        <f>+IFERROR(INDEX('Restaurant Base (Hidden)'!$A$2:$Z$1048576,MATCH($C7,'Restaurant Base (Hidden)'!$C$2:$C$1048576,0),MATCH(AE$6,'Restaurant Base (Hidden)'!$A$1:$Z$1,0)),"")</f>
        <v>4</v>
      </c>
      <c r="AF7" s="65" t="str">
        <f>+IFERROR(INDEX('Restaurant Base (Hidden)'!$A$2:$Z$1048576,MATCH($C7,'Restaurant Base (Hidden)'!$C$2:$C$1048576,0),MATCH(AF$6,'Restaurant Base (Hidden)'!$A$1:$Z$1,0)),"")</f>
        <v>96,60 %</v>
      </c>
      <c r="AG7" s="1">
        <f>+IFERROR(INDEX('Restaurant Base (Hidden)'!$A$2:$Z$1048576,MATCH($C7,'Restaurant Base (Hidden)'!$C$2:$C$1048576,0),MATCH(AG$6,'Restaurant Base (Hidden)'!$A$1:$Z$1,0)),"")</f>
        <v>4</v>
      </c>
    </row>
    <row r="8" spans="1:33" x14ac:dyDescent="0.4">
      <c r="A8" s="163" t="str">
        <f>IF('Restaurant Base (Hidden)'!A43=0,"", 'Restaurant Base (Hidden)'!A43)</f>
        <v>Logan Redford</v>
      </c>
      <c r="B8" s="163" t="str">
        <f>IF('Restaurant Base (Hidden)'!B43=0,"", 'Restaurant Base (Hidden)'!B43)</f>
        <v>Bluecrest Food Partners</v>
      </c>
      <c r="C8" s="163" t="str">
        <f>IF('Restaurant Base (Hidden)'!C43=0,"", 'Restaurant Base (Hidden)'!C43)</f>
        <v>Redwood Grove</v>
      </c>
      <c r="D8" s="104">
        <f t="shared" si="0"/>
        <v>2</v>
      </c>
      <c r="E8" s="105">
        <f>+IFERROR(INDEX('Restaurant Base (Hidden)'!$A$2:$Z$1048576,MATCH($C8,'Restaurant Base (Hidden)'!$C$2:$C$1048576,0),MATCH(E$6,'Restaurant Base (Hidden)'!$A$1:$Z$1,0)),"")</f>
        <v>4.05</v>
      </c>
      <c r="F8" s="64" t="str">
        <f>+IFERROR(INDEX('Restaurant Base (Hidden)'!$A$2:$Z$1048576,MATCH($C8,'Restaurant Base (Hidden)'!$C$2:$C$1048576,0),MATCH(F$6,'Restaurant Base (Hidden)'!$A$1:$Z$1,0)),"")</f>
        <v/>
      </c>
      <c r="G8" s="20" t="str">
        <f>+IFERROR(INDEX('Restaurant Base (Hidden)'!$A$2:$Z$1048576,MATCH($C8,'Restaurant Base (Hidden)'!$C$2:$C$1048576,0),MATCH(G$6,'Restaurant Base (Hidden)'!$A$1:$Z$1,0)),"")</f>
        <v>4,229</v>
      </c>
      <c r="H8" s="50">
        <f>+IFERROR(INDEX('Restaurant Base (Hidden)'!$A$2:$Z$1048576,MATCH($C8,'Restaurant Base (Hidden)'!$C$2:$C$1048576,0),MATCH(H$6,'Restaurant Base (Hidden)'!$A$1:$Z$1,0)),"")</f>
        <v>3</v>
      </c>
      <c r="I8" s="20" t="str">
        <f>+IFERROR(INDEX('Restaurant Base (Hidden)'!$A$2:$Z$1048576,MATCH($C8,'Restaurant Base (Hidden)'!$C$2:$C$1048576,0),MATCH(I$6,'Restaurant Base (Hidden)'!$A$1:$Z$1,0)),"")</f>
        <v>96,30 %</v>
      </c>
      <c r="J8" s="49">
        <f>+IFERROR(INDEX('Restaurant Base (Hidden)'!$A$2:$Z$1048576,MATCH($C8,'Restaurant Base (Hidden)'!$C$2:$C$1048576,0),MATCH(J$6,'Restaurant Base (Hidden)'!$A$1:$Z$1,0)),"")</f>
        <v>5</v>
      </c>
      <c r="K8" s="20" t="str">
        <f>+IFERROR(INDEX('Restaurant Base (Hidden)'!$A$2:$Z$1048576,MATCH($C8,'Restaurant Base (Hidden)'!$C$2:$C$1048576,0),MATCH(K$6,'Restaurant Base (Hidden)'!$A$1:$Z$1,0)),"")</f>
        <v>0,201</v>
      </c>
      <c r="L8" s="51">
        <f>+IFERROR(INDEX('Restaurant Base (Hidden)'!$A$2:$Z$1048576,MATCH($C8,'Restaurant Base (Hidden)'!$C$2:$C$1048576,0),MATCH(L$6,'Restaurant Base (Hidden)'!$A$1:$Z$1,0)),"")</f>
        <v>1</v>
      </c>
      <c r="M8" s="2" t="str">
        <f>+IFERROR(INDEX('Restaurant Base (Hidden)'!$A$2:$Z$1048576,MATCH($C8,'Restaurant Base (Hidden)'!$C$2:$C$1048576,0),MATCH(M$6,'Restaurant Base (Hidden)'!$A$1:$Z$1,0)),"")</f>
        <v/>
      </c>
      <c r="N8" s="234" t="str">
        <f>+IFERROR(INDEX('Restaurant Base (Hidden)'!$A$2:$Z$1048576,MATCH($C8,'Restaurant Base (Hidden)'!$C$2:$C$1048576,0),MATCH(N$6,'Restaurant Base (Hidden)'!$A$1:$Z$1,0)),"")</f>
        <v>89,10 %</v>
      </c>
      <c r="O8" s="1">
        <f>+IFERROR(INDEX('Restaurant Base (Hidden)'!$A$2:$Z$1048576,MATCH($C8,'Restaurant Base (Hidden)'!$C$2:$C$1048576,0),MATCH(O$6,'Restaurant Base (Hidden)'!$A$1:$Z$1,0)),"")</f>
        <v>5</v>
      </c>
      <c r="P8" s="2" t="str">
        <f>+IFERROR(INDEX('Restaurant Base (Hidden)'!$A$2:$Z$1048576,MATCH($C8,'Restaurant Base (Hidden)'!$C$2:$C$1048576,0),MATCH(P$6,'Restaurant Base (Hidden)'!$A$1:$Z$1,0)),"")</f>
        <v/>
      </c>
      <c r="Q8" s="234" t="str">
        <f>+IFERROR(INDEX('Restaurant Base (Hidden)'!$A$2:$Z$1048576,MATCH($C8,'Restaurant Base (Hidden)'!$C$2:$C$1048576,0),MATCH(Q$6,'Restaurant Base (Hidden)'!$A$1:$Z$1,0)),"")</f>
        <v>95,90 %</v>
      </c>
      <c r="R8" s="1">
        <f>+IFERROR(INDEX('Restaurant Base (Hidden)'!$A$2:$Z$1048576,MATCH($C8,'Restaurant Base (Hidden)'!$C$2:$C$1048576,0),MATCH(R$6,'Restaurant Base (Hidden)'!$A$1:$Z$1,0)),"")</f>
        <v>5</v>
      </c>
      <c r="S8" s="2" t="str">
        <f>+IFERROR(INDEX('Restaurant Base (Hidden)'!$A$2:$Z$1048576,MATCH($C8,'Restaurant Base (Hidden)'!$C$2:$C$1048576,0),MATCH(S$6,'Restaurant Base (Hidden)'!$A$1:$Z$1,0)),"")</f>
        <v/>
      </c>
      <c r="T8" s="62">
        <f>+IFERROR(INDEX('Restaurant Base (Hidden)'!$A$2:$Z$1048576,MATCH($C8,'Restaurant Base (Hidden)'!$C$2:$C$1048576,0),MATCH(T$6,'Restaurant Base (Hidden)'!$A$1:$Z$1,0)),"")</f>
        <v>74.2</v>
      </c>
      <c r="U8" s="1">
        <f>+IFERROR(INDEX('Restaurant Base (Hidden)'!$A$2:$Z$1048576,MATCH($C8,'Restaurant Base (Hidden)'!$C$2:$C$1048576,0),MATCH(U$6,'Restaurant Base (Hidden)'!$A$1:$Z$1,0)),"")</f>
        <v>5</v>
      </c>
      <c r="V8" s="2" t="str">
        <f>+IFERROR(INDEX('Restaurant Base (Hidden)'!$A$2:$Z$1048576,MATCH($C8,'Restaurant Base (Hidden)'!$C$2:$C$1048576,0),MATCH(V$6,'Restaurant Base (Hidden)'!$A$1:$Z$1,0)),"")</f>
        <v/>
      </c>
      <c r="W8" s="65" t="str">
        <f>+IFERROR(INDEX('Restaurant Base (Hidden)'!$A$2:$Z$1048576,MATCH($C8,'Restaurant Base (Hidden)'!$C$2:$C$1048576,0),MATCH(W$6,'Restaurant Base (Hidden)'!$A$1:$Z$1,0)),"")</f>
        <v>60,20 %</v>
      </c>
      <c r="X8" s="1">
        <f>+IFERROR(INDEX('Restaurant Base (Hidden)'!$A$2:$Z$1048576,MATCH($C8,'Restaurant Base (Hidden)'!$C$2:$C$1048576,0),MATCH(X$6,'Restaurant Base (Hidden)'!$A$1:$Z$1,0)),"")</f>
        <v>2</v>
      </c>
      <c r="Y8" s="65" t="str">
        <f>+IFERROR(INDEX('Restaurant Base (Hidden)'!$A$2:$Z$1048576,MATCH($C8,'Restaurant Base (Hidden)'!$C$2:$C$1048576,0),MATCH(Y$6,'Restaurant Base (Hidden)'!$A$1:$Z$1,0)),"")</f>
        <v>93,30 %</v>
      </c>
      <c r="Z8" s="106">
        <f>+IFERROR(INDEX('Restaurant Base (Hidden)'!$A$2:$Z$1048576,MATCH($C8,'Restaurant Base (Hidden)'!$C$2:$C$1048576,0),MATCH(Z$6,'Restaurant Base (Hidden)'!$A$1:$Z$1,0)),"")</f>
        <v>3</v>
      </c>
      <c r="AA8" s="65" t="str">
        <f>+IFERROR(INDEX('Restaurant Base (Hidden)'!$A$2:$Z$1048576,MATCH($C8,'Restaurant Base (Hidden)'!$C$2:$C$1048576,0),MATCH(AA$6,'Restaurant Base (Hidden)'!$A$1:$Z$1,0)),"")</f>
        <v>89,80 %</v>
      </c>
      <c r="AB8" s="1">
        <f>+IFERROR(INDEX('Restaurant Base (Hidden)'!$A$2:$Z$1048576,MATCH($C8,'Restaurant Base (Hidden)'!$C$2:$C$1048576,0),MATCH(AB$6,'Restaurant Base (Hidden)'!$A$1:$Z$1,0)),"")</f>
        <v>3</v>
      </c>
      <c r="AC8" s="20" t="str">
        <f>+IFERROR(INDEX('Restaurant Base (Hidden)'!$A$2:$Z$1048576,MATCH($C8,'Restaurant Base (Hidden)'!$C$2:$C$1048576,0),MATCH(AC$6,'Restaurant Base (Hidden)'!$A$1:$Z$1,0)),"")</f>
        <v/>
      </c>
      <c r="AD8" s="65" t="str">
        <f>+IFERROR(INDEX('Restaurant Base (Hidden)'!$A$2:$Z$1048576,MATCH($C8,'Restaurant Base (Hidden)'!$C$2:$C$1048576,0),MATCH(AD$6,'Restaurant Base (Hidden)'!$A$1:$Z$1,0)),"")</f>
        <v>84,10 %</v>
      </c>
      <c r="AE8" s="1">
        <f>+IFERROR(INDEX('Restaurant Base (Hidden)'!$A$2:$Z$1048576,MATCH($C8,'Restaurant Base (Hidden)'!$C$2:$C$1048576,0),MATCH(AE$6,'Restaurant Base (Hidden)'!$A$1:$Z$1,0)),"")</f>
        <v>3</v>
      </c>
      <c r="AF8" s="65" t="str">
        <f>+IFERROR(INDEX('Restaurant Base (Hidden)'!$A$2:$Z$1048576,MATCH($C8,'Restaurant Base (Hidden)'!$C$2:$C$1048576,0),MATCH(AF$6,'Restaurant Base (Hidden)'!$A$1:$Z$1,0)),"")</f>
        <v>99,20 %</v>
      </c>
      <c r="AG8" s="1">
        <f>+IFERROR(INDEX('Restaurant Base (Hidden)'!$A$2:$Z$1048576,MATCH($C8,'Restaurant Base (Hidden)'!$C$2:$C$1048576,0),MATCH(AG$6,'Restaurant Base (Hidden)'!$A$1:$Z$1,0)),"")</f>
        <v>5</v>
      </c>
    </row>
    <row r="9" spans="1:33" x14ac:dyDescent="0.4">
      <c r="A9" s="163" t="str">
        <f>IF('Restaurant Base (Hidden)'!A123=0,"", 'Restaurant Base (Hidden)'!A123)</f>
        <v>Elliot Hawthorne</v>
      </c>
      <c r="B9" s="163" t="str">
        <f>IF('Restaurant Base (Hidden)'!B123=0,"", 'Restaurant Base (Hidden)'!B123)</f>
        <v>Bluecrest Food Partners</v>
      </c>
      <c r="C9" s="163" t="str">
        <f>IF('Restaurant Base (Hidden)'!C123=0,"", 'Restaurant Base (Hidden)'!C123)</f>
        <v>Evergreen Crescent</v>
      </c>
      <c r="D9" s="104">
        <f t="shared" si="0"/>
        <v>3</v>
      </c>
      <c r="E9" s="105">
        <f>+IFERROR(INDEX('Restaurant Base (Hidden)'!$A$2:$Z$1048576,MATCH($C9,'Restaurant Base (Hidden)'!$C$2:$C$1048576,0),MATCH(E$6,'Restaurant Base (Hidden)'!$A$1:$Z$1,0)),"")</f>
        <v>4.03</v>
      </c>
      <c r="F9" s="2" t="str">
        <f>+IFERROR(INDEX('Restaurant Base (Hidden)'!$A$2:$Z$1048576,MATCH($C9,'Restaurant Base (Hidden)'!$C$2:$C$1048576,0),MATCH(F$6,'Restaurant Base (Hidden)'!$A$1:$Z$1,0)),"")</f>
        <v/>
      </c>
      <c r="G9" s="20" t="str">
        <f>+IFERROR(INDEX('Restaurant Base (Hidden)'!$A$2:$Z$1048576,MATCH($C9,'Restaurant Base (Hidden)'!$C$2:$C$1048576,0),MATCH(G$6,'Restaurant Base (Hidden)'!$A$1:$Z$1,0)),"")</f>
        <v>4,569</v>
      </c>
      <c r="H9" s="50">
        <f>+IFERROR(INDEX('Restaurant Base (Hidden)'!$A$2:$Z$1048576,MATCH($C9,'Restaurant Base (Hidden)'!$C$2:$C$1048576,0),MATCH(H$6,'Restaurant Base (Hidden)'!$A$1:$Z$1,0)),"")</f>
        <v>5</v>
      </c>
      <c r="I9" s="20" t="str">
        <f>+IFERROR(INDEX('Restaurant Base (Hidden)'!$A$2:$Z$1048576,MATCH($C9,'Restaurant Base (Hidden)'!$C$2:$C$1048576,0),MATCH(I$6,'Restaurant Base (Hidden)'!$A$1:$Z$1,0)),"")</f>
        <v>86,30 %</v>
      </c>
      <c r="J9" s="49">
        <f>+IFERROR(INDEX('Restaurant Base (Hidden)'!$A$2:$Z$1048576,MATCH($C9,'Restaurant Base (Hidden)'!$C$2:$C$1048576,0),MATCH(J$6,'Restaurant Base (Hidden)'!$A$1:$Z$1,0)),"")</f>
        <v>3</v>
      </c>
      <c r="K9" s="20" t="str">
        <f>+IFERROR(INDEX('Restaurant Base (Hidden)'!$A$2:$Z$1048576,MATCH($C9,'Restaurant Base (Hidden)'!$C$2:$C$1048576,0),MATCH(K$6,'Restaurant Base (Hidden)'!$A$1:$Z$1,0)),"")</f>
        <v>0,108</v>
      </c>
      <c r="L9" s="51">
        <f>+IFERROR(INDEX('Restaurant Base (Hidden)'!$A$2:$Z$1048576,MATCH($C9,'Restaurant Base (Hidden)'!$C$2:$C$1048576,0),MATCH(L$6,'Restaurant Base (Hidden)'!$A$1:$Z$1,0)),"")</f>
        <v>3</v>
      </c>
      <c r="M9" s="2" t="str">
        <f>+IFERROR(INDEX('Restaurant Base (Hidden)'!$A$2:$Z$1048576,MATCH($C9,'Restaurant Base (Hidden)'!$C$2:$C$1048576,0),MATCH(M$6,'Restaurant Base (Hidden)'!$A$1:$Z$1,0)),"")</f>
        <v/>
      </c>
      <c r="N9" s="234" t="str">
        <f>+IFERROR(INDEX('Restaurant Base (Hidden)'!$A$2:$Z$1048576,MATCH($C9,'Restaurant Base (Hidden)'!$C$2:$C$1048576,0),MATCH(N$6,'Restaurant Base (Hidden)'!$A$1:$Z$1,0)),"")</f>
        <v>78,50 %</v>
      </c>
      <c r="O9" s="1">
        <f>+IFERROR(INDEX('Restaurant Base (Hidden)'!$A$2:$Z$1048576,MATCH($C9,'Restaurant Base (Hidden)'!$C$2:$C$1048576,0),MATCH(O$6,'Restaurant Base (Hidden)'!$A$1:$Z$1,0)),"")</f>
        <v>5</v>
      </c>
      <c r="P9" s="2" t="str">
        <f>+IFERROR(INDEX('Restaurant Base (Hidden)'!$A$2:$Z$1048576,MATCH($C9,'Restaurant Base (Hidden)'!$C$2:$C$1048576,0),MATCH(P$6,'Restaurant Base (Hidden)'!$A$1:$Z$1,0)),"")</f>
        <v/>
      </c>
      <c r="Q9" s="234" t="str">
        <f>+IFERROR(INDEX('Restaurant Base (Hidden)'!$A$2:$Z$1048576,MATCH($C9,'Restaurant Base (Hidden)'!$C$2:$C$1048576,0),MATCH(Q$6,'Restaurant Base (Hidden)'!$A$1:$Z$1,0)),"")</f>
        <v>77,60 %</v>
      </c>
      <c r="R9" s="1">
        <f>+IFERROR(INDEX('Restaurant Base (Hidden)'!$A$2:$Z$1048576,MATCH($C9,'Restaurant Base (Hidden)'!$C$2:$C$1048576,0),MATCH(R$6,'Restaurant Base (Hidden)'!$A$1:$Z$1,0)),"")</f>
        <v>5</v>
      </c>
      <c r="S9" s="2" t="str">
        <f>+IFERROR(INDEX('Restaurant Base (Hidden)'!$A$2:$Z$1048576,MATCH($C9,'Restaurant Base (Hidden)'!$C$2:$C$1048576,0),MATCH(S$6,'Restaurant Base (Hidden)'!$A$1:$Z$1,0)),"")</f>
        <v/>
      </c>
      <c r="T9" s="62">
        <f>+IFERROR(INDEX('Restaurant Base (Hidden)'!$A$2:$Z$1048576,MATCH($C9,'Restaurant Base (Hidden)'!$C$2:$C$1048576,0),MATCH(T$6,'Restaurant Base (Hidden)'!$A$1:$Z$1,0)),"")</f>
        <v>71.900000000000006</v>
      </c>
      <c r="U9" s="1">
        <f>+IFERROR(INDEX('Restaurant Base (Hidden)'!$A$2:$Z$1048576,MATCH($C9,'Restaurant Base (Hidden)'!$C$2:$C$1048576,0),MATCH(U$6,'Restaurant Base (Hidden)'!$A$1:$Z$1,0)),"")</f>
        <v>5</v>
      </c>
      <c r="V9" s="2" t="str">
        <f>+IFERROR(INDEX('Restaurant Base (Hidden)'!$A$2:$Z$1048576,MATCH($C9,'Restaurant Base (Hidden)'!$C$2:$C$1048576,0),MATCH(V$6,'Restaurant Base (Hidden)'!$A$1:$Z$1,0)),"")</f>
        <v/>
      </c>
      <c r="W9" s="65" t="str">
        <f>+IFERROR(INDEX('Restaurant Base (Hidden)'!$A$2:$Z$1048576,MATCH($C9,'Restaurant Base (Hidden)'!$C$2:$C$1048576,0),MATCH(W$6,'Restaurant Base (Hidden)'!$A$1:$Z$1,0)),"")</f>
        <v>81,70 %</v>
      </c>
      <c r="X9" s="1">
        <f>+IFERROR(INDEX('Restaurant Base (Hidden)'!$A$2:$Z$1048576,MATCH($C9,'Restaurant Base (Hidden)'!$C$2:$C$1048576,0),MATCH(X$6,'Restaurant Base (Hidden)'!$A$1:$Z$1,0)),"")</f>
        <v>3</v>
      </c>
      <c r="Y9" s="65" t="str">
        <f>+IFERROR(INDEX('Restaurant Base (Hidden)'!$A$2:$Z$1048576,MATCH($C9,'Restaurant Base (Hidden)'!$C$2:$C$1048576,0),MATCH(Y$6,'Restaurant Base (Hidden)'!$A$1:$Z$1,0)),"")</f>
        <v>95,90 %</v>
      </c>
      <c r="Z9" s="106">
        <f>+IFERROR(INDEX('Restaurant Base (Hidden)'!$A$2:$Z$1048576,MATCH($C9,'Restaurant Base (Hidden)'!$C$2:$C$1048576,0),MATCH(Z$6,'Restaurant Base (Hidden)'!$A$1:$Z$1,0)),"")</f>
        <v>4</v>
      </c>
      <c r="AA9" s="65" t="str">
        <f>+IFERROR(INDEX('Restaurant Base (Hidden)'!$A$2:$Z$1048576,MATCH($C9,'Restaurant Base (Hidden)'!$C$2:$C$1048576,0),MATCH(AA$6,'Restaurant Base (Hidden)'!$A$1:$Z$1,0)),"")</f>
        <v>80,80 %</v>
      </c>
      <c r="AB9" s="1">
        <f>+IFERROR(INDEX('Restaurant Base (Hidden)'!$A$2:$Z$1048576,MATCH($C9,'Restaurant Base (Hidden)'!$C$2:$C$1048576,0),MATCH(AB$6,'Restaurant Base (Hidden)'!$A$1:$Z$1,0)),"")</f>
        <v>2</v>
      </c>
      <c r="AC9" s="20" t="str">
        <f>+IFERROR(INDEX('Restaurant Base (Hidden)'!$A$2:$Z$1048576,MATCH($C9,'Restaurant Base (Hidden)'!$C$2:$C$1048576,0),MATCH(AC$6,'Restaurant Base (Hidden)'!$A$1:$Z$1,0)),"")</f>
        <v/>
      </c>
      <c r="AD9" s="65" t="str">
        <f>+IFERROR(INDEX('Restaurant Base (Hidden)'!$A$2:$Z$1048576,MATCH($C9,'Restaurant Base (Hidden)'!$C$2:$C$1048576,0),MATCH(AD$6,'Restaurant Base (Hidden)'!$A$1:$Z$1,0)),"")</f>
        <v>87,30 %</v>
      </c>
      <c r="AE9" s="1">
        <f>+IFERROR(INDEX('Restaurant Base (Hidden)'!$A$2:$Z$1048576,MATCH($C9,'Restaurant Base (Hidden)'!$C$2:$C$1048576,0),MATCH(AE$6,'Restaurant Base (Hidden)'!$A$1:$Z$1,0)),"")</f>
        <v>3</v>
      </c>
      <c r="AF9" s="65" t="str">
        <f>+IFERROR(INDEX('Restaurant Base (Hidden)'!$A$2:$Z$1048576,MATCH($C9,'Restaurant Base (Hidden)'!$C$2:$C$1048576,0),MATCH(AF$6,'Restaurant Base (Hidden)'!$A$1:$Z$1,0)),"")</f>
        <v>96,40 %</v>
      </c>
      <c r="AG9" s="1">
        <f>+IFERROR(INDEX('Restaurant Base (Hidden)'!$A$2:$Z$1048576,MATCH($C9,'Restaurant Base (Hidden)'!$C$2:$C$1048576,0),MATCH(AG$6,'Restaurant Base (Hidden)'!$A$1:$Z$1,0)),"")</f>
        <v>4</v>
      </c>
    </row>
    <row r="10" spans="1:33" x14ac:dyDescent="0.4">
      <c r="A10" s="163" t="str">
        <f>IF('Restaurant Base (Hidden)'!A183=0,"", 'Restaurant Base (Hidden)'!A183)</f>
        <v>Harper Langford</v>
      </c>
      <c r="B10" s="163" t="str">
        <f>IF('Restaurant Base (Hidden)'!B183=0,"", 'Restaurant Base (Hidden)'!B183)</f>
        <v>Goldenridge Hospitality</v>
      </c>
      <c r="C10" s="163" t="str">
        <f>IF('Restaurant Base (Hidden)'!C183=0,"", 'Restaurant Base (Hidden)'!C183)</f>
        <v>Hilltop Gardens</v>
      </c>
      <c r="D10" s="104">
        <f t="shared" si="0"/>
        <v>4</v>
      </c>
      <c r="E10" s="105">
        <f>+IFERROR(INDEX('Restaurant Base (Hidden)'!$A$2:$Z$1048576,MATCH($C10,'Restaurant Base (Hidden)'!$C$2:$C$1048576,0),MATCH(E$6,'Restaurant Base (Hidden)'!$A$1:$Z$1,0)),"")</f>
        <v>3.97</v>
      </c>
      <c r="F10" s="2" t="str">
        <f>+IFERROR(INDEX('Restaurant Base (Hidden)'!$A$2:$Z$1048576,MATCH($C10,'Restaurant Base (Hidden)'!$C$2:$C$1048576,0),MATCH(F$6,'Restaurant Base (Hidden)'!$A$1:$Z$1,0)),"")</f>
        <v/>
      </c>
      <c r="G10" s="20" t="str">
        <f>+IFERROR(INDEX('Restaurant Base (Hidden)'!$A$2:$Z$1048576,MATCH($C10,'Restaurant Base (Hidden)'!$C$2:$C$1048576,0),MATCH(G$6,'Restaurant Base (Hidden)'!$A$1:$Z$1,0)),"")</f>
        <v>4,392</v>
      </c>
      <c r="H10" s="50">
        <f>+IFERROR(INDEX('Restaurant Base (Hidden)'!$A$2:$Z$1048576,MATCH($C10,'Restaurant Base (Hidden)'!$C$2:$C$1048576,0),MATCH(H$6,'Restaurant Base (Hidden)'!$A$1:$Z$1,0)),"")</f>
        <v>4</v>
      </c>
      <c r="I10" s="20" t="str">
        <f>+IFERROR(INDEX('Restaurant Base (Hidden)'!$A$2:$Z$1048576,MATCH($C10,'Restaurant Base (Hidden)'!$C$2:$C$1048576,0),MATCH(I$6,'Restaurant Base (Hidden)'!$A$1:$Z$1,0)),"")</f>
        <v>97,30 %</v>
      </c>
      <c r="J10" s="49">
        <f>+IFERROR(INDEX('Restaurant Base (Hidden)'!$A$2:$Z$1048576,MATCH($C10,'Restaurant Base (Hidden)'!$C$2:$C$1048576,0),MATCH(J$6,'Restaurant Base (Hidden)'!$A$1:$Z$1,0)),"")</f>
        <v>5</v>
      </c>
      <c r="K10" s="20" t="str">
        <f>+IFERROR(INDEX('Restaurant Base (Hidden)'!$A$2:$Z$1048576,MATCH($C10,'Restaurant Base (Hidden)'!$C$2:$C$1048576,0),MATCH(K$6,'Restaurant Base (Hidden)'!$A$1:$Z$1,0)),"")</f>
        <v>0,177</v>
      </c>
      <c r="L10" s="51">
        <f>+IFERROR(INDEX('Restaurant Base (Hidden)'!$A$2:$Z$1048576,MATCH($C10,'Restaurant Base (Hidden)'!$C$2:$C$1048576,0),MATCH(L$6,'Restaurant Base (Hidden)'!$A$1:$Z$1,0)),"")</f>
        <v>2</v>
      </c>
      <c r="M10" s="2" t="str">
        <f>+IFERROR(INDEX('Restaurant Base (Hidden)'!$A$2:$Z$1048576,MATCH($C10,'Restaurant Base (Hidden)'!$C$2:$C$1048576,0),MATCH(M$6,'Restaurant Base (Hidden)'!$A$1:$Z$1,0)),"")</f>
        <v/>
      </c>
      <c r="N10" s="234" t="str">
        <f>+IFERROR(INDEX('Restaurant Base (Hidden)'!$A$2:$Z$1048576,MATCH($C10,'Restaurant Base (Hidden)'!$C$2:$C$1048576,0),MATCH(N$6,'Restaurant Base (Hidden)'!$A$1:$Z$1,0)),"")</f>
        <v>94,50 %</v>
      </c>
      <c r="O10" s="1">
        <f>+IFERROR(INDEX('Restaurant Base (Hidden)'!$A$2:$Z$1048576,MATCH($C10,'Restaurant Base (Hidden)'!$C$2:$C$1048576,0),MATCH(O$6,'Restaurant Base (Hidden)'!$A$1:$Z$1,0)),"")</f>
        <v>5</v>
      </c>
      <c r="P10" s="2" t="str">
        <f>+IFERROR(INDEX('Restaurant Base (Hidden)'!$A$2:$Z$1048576,MATCH($C10,'Restaurant Base (Hidden)'!$C$2:$C$1048576,0),MATCH(P$6,'Restaurant Base (Hidden)'!$A$1:$Z$1,0)),"")</f>
        <v/>
      </c>
      <c r="Q10" s="234" t="str">
        <f>+IFERROR(INDEX('Restaurant Base (Hidden)'!$A$2:$Z$1048576,MATCH($C10,'Restaurant Base (Hidden)'!$C$2:$C$1048576,0),MATCH(Q$6,'Restaurant Base (Hidden)'!$A$1:$Z$1,0)),"")</f>
        <v>83,60 %</v>
      </c>
      <c r="R10" s="1">
        <f>+IFERROR(INDEX('Restaurant Base (Hidden)'!$A$2:$Z$1048576,MATCH($C10,'Restaurant Base (Hidden)'!$C$2:$C$1048576,0),MATCH(R$6,'Restaurant Base (Hidden)'!$A$1:$Z$1,0)),"")</f>
        <v>5</v>
      </c>
      <c r="S10" s="2" t="str">
        <f>+IFERROR(INDEX('Restaurant Base (Hidden)'!$A$2:$Z$1048576,MATCH($C10,'Restaurant Base (Hidden)'!$C$2:$C$1048576,0),MATCH(S$6,'Restaurant Base (Hidden)'!$A$1:$Z$1,0)),"")</f>
        <v/>
      </c>
      <c r="T10" s="62">
        <f>+IFERROR(INDEX('Restaurant Base (Hidden)'!$A$2:$Z$1048576,MATCH($C10,'Restaurant Base (Hidden)'!$C$2:$C$1048576,0),MATCH(T$6,'Restaurant Base (Hidden)'!$A$1:$Z$1,0)),"")</f>
        <v>76.7</v>
      </c>
      <c r="U10" s="1">
        <f>+IFERROR(INDEX('Restaurant Base (Hidden)'!$A$2:$Z$1048576,MATCH($C10,'Restaurant Base (Hidden)'!$C$2:$C$1048576,0),MATCH(U$6,'Restaurant Base (Hidden)'!$A$1:$Z$1,0)),"")</f>
        <v>5</v>
      </c>
      <c r="V10" s="2" t="str">
        <f>+IFERROR(INDEX('Restaurant Base (Hidden)'!$A$2:$Z$1048576,MATCH($C10,'Restaurant Base (Hidden)'!$C$2:$C$1048576,0),MATCH(V$6,'Restaurant Base (Hidden)'!$A$1:$Z$1,0)),"")</f>
        <v/>
      </c>
      <c r="W10" s="65" t="str">
        <f>+IFERROR(INDEX('Restaurant Base (Hidden)'!$A$2:$Z$1048576,MATCH($C10,'Restaurant Base (Hidden)'!$C$2:$C$1048576,0),MATCH(W$6,'Restaurant Base (Hidden)'!$A$1:$Z$1,0)),"")</f>
        <v>74,50 %</v>
      </c>
      <c r="X10" s="1">
        <f>+IFERROR(INDEX('Restaurant Base (Hidden)'!$A$2:$Z$1048576,MATCH($C10,'Restaurant Base (Hidden)'!$C$2:$C$1048576,0),MATCH(X$6,'Restaurant Base (Hidden)'!$A$1:$Z$1,0)),"")</f>
        <v>2</v>
      </c>
      <c r="Y10" s="65" t="str">
        <f>+IFERROR(INDEX('Restaurant Base (Hidden)'!$A$2:$Z$1048576,MATCH($C10,'Restaurant Base (Hidden)'!$C$2:$C$1048576,0),MATCH(Y$6,'Restaurant Base (Hidden)'!$A$1:$Z$1,0)),"")</f>
        <v>83,50 %</v>
      </c>
      <c r="Z10" s="106">
        <f>+IFERROR(INDEX('Restaurant Base (Hidden)'!$A$2:$Z$1048576,MATCH($C10,'Restaurant Base (Hidden)'!$C$2:$C$1048576,0),MATCH(Z$6,'Restaurant Base (Hidden)'!$A$1:$Z$1,0)),"")</f>
        <v>3</v>
      </c>
      <c r="AA10" s="65" t="str">
        <f>+IFERROR(INDEX('Restaurant Base (Hidden)'!$A$2:$Z$1048576,MATCH($C10,'Restaurant Base (Hidden)'!$C$2:$C$1048576,0),MATCH(AA$6,'Restaurant Base (Hidden)'!$A$1:$Z$1,0)),"")</f>
        <v>94,20 %</v>
      </c>
      <c r="AB10" s="1">
        <f>+IFERROR(INDEX('Restaurant Base (Hidden)'!$A$2:$Z$1048576,MATCH($C10,'Restaurant Base (Hidden)'!$C$2:$C$1048576,0),MATCH(AB$6,'Restaurant Base (Hidden)'!$A$1:$Z$1,0)),"")</f>
        <v>3</v>
      </c>
      <c r="AC10" s="20" t="str">
        <f>+IFERROR(INDEX('Restaurant Base (Hidden)'!$A$2:$Z$1048576,MATCH($C10,'Restaurant Base (Hidden)'!$C$2:$C$1048576,0),MATCH(AC$6,'Restaurant Base (Hidden)'!$A$1:$Z$1,0)),"")</f>
        <v/>
      </c>
      <c r="AD10" s="65" t="str">
        <f>+IFERROR(INDEX('Restaurant Base (Hidden)'!$A$2:$Z$1048576,MATCH($C10,'Restaurant Base (Hidden)'!$C$2:$C$1048576,0),MATCH(AD$6,'Restaurant Base (Hidden)'!$A$1:$Z$1,0)),"")</f>
        <v>95,50 %</v>
      </c>
      <c r="AE10" s="1">
        <f>+IFERROR(INDEX('Restaurant Base (Hidden)'!$A$2:$Z$1048576,MATCH($C10,'Restaurant Base (Hidden)'!$C$2:$C$1048576,0),MATCH(AE$6,'Restaurant Base (Hidden)'!$A$1:$Z$1,0)),"")</f>
        <v>5</v>
      </c>
      <c r="AF10" s="65" t="str">
        <f>+IFERROR(INDEX('Restaurant Base (Hidden)'!$A$2:$Z$1048576,MATCH($C10,'Restaurant Base (Hidden)'!$C$2:$C$1048576,0),MATCH(AF$6,'Restaurant Base (Hidden)'!$A$1:$Z$1,0)),"")</f>
        <v>60,40 %</v>
      </c>
      <c r="AG10" s="1">
        <f>+IFERROR(INDEX('Restaurant Base (Hidden)'!$A$2:$Z$1048576,MATCH($C10,'Restaurant Base (Hidden)'!$C$2:$C$1048576,0),MATCH(AG$6,'Restaurant Base (Hidden)'!$A$1:$Z$1,0)),"")</f>
        <v>1</v>
      </c>
    </row>
    <row r="11" spans="1:33" x14ac:dyDescent="0.4">
      <c r="A11" s="163" t="str">
        <f>IF('Restaurant Base (Hidden)'!A253=0,"", 'Restaurant Base (Hidden)'!A253)</f>
        <v>Skyler Everhart</v>
      </c>
      <c r="B11" s="163" t="str">
        <f>IF('Restaurant Base (Hidden)'!B253=0,"", 'Restaurant Base (Hidden)'!B253)</f>
        <v>Maplewood Hospitality</v>
      </c>
      <c r="C11" s="163" t="str">
        <f>IF('Restaurant Base (Hidden)'!C253=0,"", 'Restaurant Base (Hidden)'!C253)</f>
        <v>Lake Pines</v>
      </c>
      <c r="D11" s="104">
        <f t="shared" si="0"/>
        <v>5</v>
      </c>
      <c r="E11" s="105">
        <f>+IFERROR(INDEX('Restaurant Base (Hidden)'!$A$2:$Z$1048576,MATCH($C11,'Restaurant Base (Hidden)'!$C$2:$C$1048576,0),MATCH(E$6,'Restaurant Base (Hidden)'!$A$1:$Z$1,0)),"")</f>
        <v>3.95</v>
      </c>
      <c r="F11" s="2" t="str">
        <f>+IFERROR(INDEX('Restaurant Base (Hidden)'!$A$2:$Z$1048576,MATCH($C11,'Restaurant Base (Hidden)'!$C$2:$C$1048576,0),MATCH(F$6,'Restaurant Base (Hidden)'!$A$1:$Z$1,0)),"")</f>
        <v/>
      </c>
      <c r="G11" s="20" t="str">
        <f>+IFERROR(INDEX('Restaurant Base (Hidden)'!$A$2:$Z$1048576,MATCH($C11,'Restaurant Base (Hidden)'!$C$2:$C$1048576,0),MATCH(G$6,'Restaurant Base (Hidden)'!$A$1:$Z$1,0)),"")</f>
        <v>4,786</v>
      </c>
      <c r="H11" s="50">
        <f>+IFERROR(INDEX('Restaurant Base (Hidden)'!$A$2:$Z$1048576,MATCH($C11,'Restaurant Base (Hidden)'!$C$2:$C$1048576,0),MATCH(H$6,'Restaurant Base (Hidden)'!$A$1:$Z$1,0)),"")</f>
        <v>5</v>
      </c>
      <c r="I11" s="20" t="str">
        <f>+IFERROR(INDEX('Restaurant Base (Hidden)'!$A$2:$Z$1048576,MATCH($C11,'Restaurant Base (Hidden)'!$C$2:$C$1048576,0),MATCH(I$6,'Restaurant Base (Hidden)'!$A$1:$Z$1,0)),"")</f>
        <v>93,30 %</v>
      </c>
      <c r="J11" s="49">
        <f>+IFERROR(INDEX('Restaurant Base (Hidden)'!$A$2:$Z$1048576,MATCH($C11,'Restaurant Base (Hidden)'!$C$2:$C$1048576,0),MATCH(J$6,'Restaurant Base (Hidden)'!$A$1:$Z$1,0)),"")</f>
        <v>4</v>
      </c>
      <c r="K11" s="20" t="str">
        <f>+IFERROR(INDEX('Restaurant Base (Hidden)'!$A$2:$Z$1048576,MATCH($C11,'Restaurant Base (Hidden)'!$C$2:$C$1048576,0),MATCH(K$6,'Restaurant Base (Hidden)'!$A$1:$Z$1,0)),"")</f>
        <v>0,050</v>
      </c>
      <c r="L11" s="51">
        <f>+IFERROR(INDEX('Restaurant Base (Hidden)'!$A$2:$Z$1048576,MATCH($C11,'Restaurant Base (Hidden)'!$C$2:$C$1048576,0),MATCH(L$6,'Restaurant Base (Hidden)'!$A$1:$Z$1,0)),"")</f>
        <v>5</v>
      </c>
      <c r="M11" s="2" t="str">
        <f>+IFERROR(INDEX('Restaurant Base (Hidden)'!$A$2:$Z$1048576,MATCH($C11,'Restaurant Base (Hidden)'!$C$2:$C$1048576,0),MATCH(M$6,'Restaurant Base (Hidden)'!$A$1:$Z$1,0)),"")</f>
        <v/>
      </c>
      <c r="N11" s="234" t="str">
        <f>+IFERROR(INDEX('Restaurant Base (Hidden)'!$A$2:$Z$1048576,MATCH($C11,'Restaurant Base (Hidden)'!$C$2:$C$1048576,0),MATCH(N$6,'Restaurant Base (Hidden)'!$A$1:$Z$1,0)),"")</f>
        <v>95,10 %</v>
      </c>
      <c r="O11" s="1">
        <f>+IFERROR(INDEX('Restaurant Base (Hidden)'!$A$2:$Z$1048576,MATCH($C11,'Restaurant Base (Hidden)'!$C$2:$C$1048576,0),MATCH(O$6,'Restaurant Base (Hidden)'!$A$1:$Z$1,0)),"")</f>
        <v>5</v>
      </c>
      <c r="P11" s="2" t="str">
        <f>+IFERROR(INDEX('Restaurant Base (Hidden)'!$A$2:$Z$1048576,MATCH($C11,'Restaurant Base (Hidden)'!$C$2:$C$1048576,0),MATCH(P$6,'Restaurant Base (Hidden)'!$A$1:$Z$1,0)),"")</f>
        <v/>
      </c>
      <c r="Q11" s="234" t="str">
        <f>+IFERROR(INDEX('Restaurant Base (Hidden)'!$A$2:$Z$1048576,MATCH($C11,'Restaurant Base (Hidden)'!$C$2:$C$1048576,0),MATCH(Q$6,'Restaurant Base (Hidden)'!$A$1:$Z$1,0)),"")</f>
        <v>89,60 %</v>
      </c>
      <c r="R11" s="1">
        <f>+IFERROR(INDEX('Restaurant Base (Hidden)'!$A$2:$Z$1048576,MATCH($C11,'Restaurant Base (Hidden)'!$C$2:$C$1048576,0),MATCH(R$6,'Restaurant Base (Hidden)'!$A$1:$Z$1,0)),"")</f>
        <v>5</v>
      </c>
      <c r="S11" s="2" t="str">
        <f>+IFERROR(INDEX('Restaurant Base (Hidden)'!$A$2:$Z$1048576,MATCH($C11,'Restaurant Base (Hidden)'!$C$2:$C$1048576,0),MATCH(S$6,'Restaurant Base (Hidden)'!$A$1:$Z$1,0)),"")</f>
        <v/>
      </c>
      <c r="T11" s="62">
        <f>+IFERROR(INDEX('Restaurant Base (Hidden)'!$A$2:$Z$1048576,MATCH($C11,'Restaurant Base (Hidden)'!$C$2:$C$1048576,0),MATCH(T$6,'Restaurant Base (Hidden)'!$A$1:$Z$1,0)),"")</f>
        <v>75.7</v>
      </c>
      <c r="U11" s="1">
        <f>+IFERROR(INDEX('Restaurant Base (Hidden)'!$A$2:$Z$1048576,MATCH($C11,'Restaurant Base (Hidden)'!$C$2:$C$1048576,0),MATCH(U$6,'Restaurant Base (Hidden)'!$A$1:$Z$1,0)),"")</f>
        <v>5</v>
      </c>
      <c r="V11" s="2" t="str">
        <f>+IFERROR(INDEX('Restaurant Base (Hidden)'!$A$2:$Z$1048576,MATCH($C11,'Restaurant Base (Hidden)'!$C$2:$C$1048576,0),MATCH(V$6,'Restaurant Base (Hidden)'!$A$1:$Z$1,0)),"")</f>
        <v/>
      </c>
      <c r="W11" s="65" t="str">
        <f>+IFERROR(INDEX('Restaurant Base (Hidden)'!$A$2:$Z$1048576,MATCH($C11,'Restaurant Base (Hidden)'!$C$2:$C$1048576,0),MATCH(W$6,'Restaurant Base (Hidden)'!$A$1:$Z$1,0)),"")</f>
        <v>90,80 %</v>
      </c>
      <c r="X11" s="1">
        <f>+IFERROR(INDEX('Restaurant Base (Hidden)'!$A$2:$Z$1048576,MATCH($C11,'Restaurant Base (Hidden)'!$C$2:$C$1048576,0),MATCH(X$6,'Restaurant Base (Hidden)'!$A$1:$Z$1,0)),"")</f>
        <v>3</v>
      </c>
      <c r="Y11" s="65" t="str">
        <f>+IFERROR(INDEX('Restaurant Base (Hidden)'!$A$2:$Z$1048576,MATCH($C11,'Restaurant Base (Hidden)'!$C$2:$C$1048576,0),MATCH(Y$6,'Restaurant Base (Hidden)'!$A$1:$Z$1,0)),"")</f>
        <v>64,30 %</v>
      </c>
      <c r="Z11" s="106">
        <f>+IFERROR(INDEX('Restaurant Base (Hidden)'!$A$2:$Z$1048576,MATCH($C11,'Restaurant Base (Hidden)'!$C$2:$C$1048576,0),MATCH(Z$6,'Restaurant Base (Hidden)'!$A$1:$Z$1,0)),"")</f>
        <v>2</v>
      </c>
      <c r="AA11" s="65" t="str">
        <f>+IFERROR(INDEX('Restaurant Base (Hidden)'!$A$2:$Z$1048576,MATCH($C11,'Restaurant Base (Hidden)'!$C$2:$C$1048576,0),MATCH(AA$6,'Restaurant Base (Hidden)'!$A$1:$Z$1,0)),"")</f>
        <v>86,80 %</v>
      </c>
      <c r="AB11" s="1">
        <f>+IFERROR(INDEX('Restaurant Base (Hidden)'!$A$2:$Z$1048576,MATCH($C11,'Restaurant Base (Hidden)'!$C$2:$C$1048576,0),MATCH(AB$6,'Restaurant Base (Hidden)'!$A$1:$Z$1,0)),"")</f>
        <v>3</v>
      </c>
      <c r="AC11" s="20" t="str">
        <f>+IFERROR(INDEX('Restaurant Base (Hidden)'!$A$2:$Z$1048576,MATCH($C11,'Restaurant Base (Hidden)'!$C$2:$C$1048576,0),MATCH(AC$6,'Restaurant Base (Hidden)'!$A$1:$Z$1,0)),"")</f>
        <v/>
      </c>
      <c r="AD11" s="65" t="str">
        <f>+IFERROR(INDEX('Restaurant Base (Hidden)'!$A$2:$Z$1048576,MATCH($C11,'Restaurant Base (Hidden)'!$C$2:$C$1048576,0),MATCH(AD$6,'Restaurant Base (Hidden)'!$A$1:$Z$1,0)),"")</f>
        <v>58,60 %</v>
      </c>
      <c r="AE11" s="1">
        <f>+IFERROR(INDEX('Restaurant Base (Hidden)'!$A$2:$Z$1048576,MATCH($C11,'Restaurant Base (Hidden)'!$C$2:$C$1048576,0),MATCH(AE$6,'Restaurant Base (Hidden)'!$A$1:$Z$1,0)),"")</f>
        <v>1</v>
      </c>
      <c r="AF11" s="65" t="str">
        <f>+IFERROR(INDEX('Restaurant Base (Hidden)'!$A$2:$Z$1048576,MATCH($C11,'Restaurant Base (Hidden)'!$C$2:$C$1048576,0),MATCH(AF$6,'Restaurant Base (Hidden)'!$A$1:$Z$1,0)),"")</f>
        <v>88,90 %</v>
      </c>
      <c r="AG11" s="1">
        <f>+IFERROR(INDEX('Restaurant Base (Hidden)'!$A$2:$Z$1048576,MATCH($C11,'Restaurant Base (Hidden)'!$C$2:$C$1048576,0),MATCH(AG$6,'Restaurant Base (Hidden)'!$A$1:$Z$1,0)),"")</f>
        <v>3</v>
      </c>
    </row>
    <row r="12" spans="1:33" x14ac:dyDescent="0.4">
      <c r="A12" s="163" t="str">
        <f>IF('Restaurant Base (Hidden)'!A2=0,"", 'Restaurant Base (Hidden)'!A2)</f>
        <v>Avery Ashford</v>
      </c>
      <c r="B12" s="163" t="str">
        <f>IF('Restaurant Base (Hidden)'!B2=0,"", 'Restaurant Base (Hidden)'!B2)</f>
        <v>Northstar Dining Group</v>
      </c>
      <c r="C12" s="163" t="str">
        <f>IF('Restaurant Base (Hidden)'!C2=0,"", 'Restaurant Base (Hidden)'!C2)</f>
        <v>Golden Walk</v>
      </c>
      <c r="D12" s="104">
        <f t="shared" si="0"/>
        <v>6</v>
      </c>
      <c r="E12" s="105">
        <f>+IFERROR(INDEX('Restaurant Base (Hidden)'!$A$2:$Z$1048576,MATCH($C12,'Restaurant Base (Hidden)'!$C$2:$C$1048576,0),MATCH(E$6,'Restaurant Base (Hidden)'!$A$1:$Z$1,0)),"")</f>
        <v>3.91</v>
      </c>
      <c r="F12" s="2" t="str">
        <f>+IFERROR(INDEX('Restaurant Base (Hidden)'!$A$2:$Z$1048576,MATCH($C12,'Restaurant Base (Hidden)'!$C$2:$C$1048576,0),MATCH(F$6,'Restaurant Base (Hidden)'!$A$1:$Z$1,0)),"")</f>
        <v/>
      </c>
      <c r="G12" s="20" t="str">
        <f>+IFERROR(INDEX('Restaurant Base (Hidden)'!$A$2:$Z$1048576,MATCH($C12,'Restaurant Base (Hidden)'!$C$2:$C$1048576,0),MATCH(G$6,'Restaurant Base (Hidden)'!$A$1:$Z$1,0)),"")</f>
        <v>4,627</v>
      </c>
      <c r="H12" s="50">
        <f>+IFERROR(INDEX('Restaurant Base (Hidden)'!$A$2:$Z$1048576,MATCH($C12,'Restaurant Base (Hidden)'!$C$2:$C$1048576,0),MATCH(H$6,'Restaurant Base (Hidden)'!$A$1:$Z$1,0)),"")</f>
        <v>5</v>
      </c>
      <c r="I12" s="20" t="str">
        <f>+IFERROR(INDEX('Restaurant Base (Hidden)'!$A$2:$Z$1048576,MATCH($C12,'Restaurant Base (Hidden)'!$C$2:$C$1048576,0),MATCH(I$6,'Restaurant Base (Hidden)'!$A$1:$Z$1,0)),"")</f>
        <v>95,00 %</v>
      </c>
      <c r="J12" s="49">
        <f>+IFERROR(INDEX('Restaurant Base (Hidden)'!$A$2:$Z$1048576,MATCH($C12,'Restaurant Base (Hidden)'!$C$2:$C$1048576,0),MATCH(J$6,'Restaurant Base (Hidden)'!$A$1:$Z$1,0)),"")</f>
        <v>5</v>
      </c>
      <c r="K12" s="20" t="str">
        <f>+IFERROR(INDEX('Restaurant Base (Hidden)'!$A$2:$Z$1048576,MATCH($C12,'Restaurant Base (Hidden)'!$C$2:$C$1048576,0),MATCH(K$6,'Restaurant Base (Hidden)'!$A$1:$Z$1,0)),"")</f>
        <v>0,035</v>
      </c>
      <c r="L12" s="51">
        <f>+IFERROR(INDEX('Restaurant Base (Hidden)'!$A$2:$Z$1048576,MATCH($C12,'Restaurant Base (Hidden)'!$C$2:$C$1048576,0),MATCH(L$6,'Restaurant Base (Hidden)'!$A$1:$Z$1,0)),"")</f>
        <v>5</v>
      </c>
      <c r="M12" s="2" t="str">
        <f>+IFERROR(INDEX('Restaurant Base (Hidden)'!$A$2:$Z$1048576,MATCH($C12,'Restaurant Base (Hidden)'!$C$2:$C$1048576,0),MATCH(M$6,'Restaurant Base (Hidden)'!$A$1:$Z$1,0)),"")</f>
        <v/>
      </c>
      <c r="N12" s="234" t="str">
        <f>+IFERROR(INDEX('Restaurant Base (Hidden)'!$A$2:$Z$1048576,MATCH($C12,'Restaurant Base (Hidden)'!$C$2:$C$1048576,0),MATCH(N$6,'Restaurant Base (Hidden)'!$A$1:$Z$1,0)),"")</f>
        <v>85,20 %</v>
      </c>
      <c r="O12" s="1">
        <f>+IFERROR(INDEX('Restaurant Base (Hidden)'!$A$2:$Z$1048576,MATCH($C12,'Restaurant Base (Hidden)'!$C$2:$C$1048576,0),MATCH(O$6,'Restaurant Base (Hidden)'!$A$1:$Z$1,0)),"")</f>
        <v>5</v>
      </c>
      <c r="P12" s="2" t="str">
        <f>+IFERROR(INDEX('Restaurant Base (Hidden)'!$A$2:$Z$1048576,MATCH($C12,'Restaurant Base (Hidden)'!$C$2:$C$1048576,0),MATCH(P$6,'Restaurant Base (Hidden)'!$A$1:$Z$1,0)),"")</f>
        <v/>
      </c>
      <c r="Q12" s="234" t="str">
        <f>+IFERROR(INDEX('Restaurant Base (Hidden)'!$A$2:$Z$1048576,MATCH($C12,'Restaurant Base (Hidden)'!$C$2:$C$1048576,0),MATCH(Q$6,'Restaurant Base (Hidden)'!$A$1:$Z$1,0)),"")</f>
        <v>94,20 %</v>
      </c>
      <c r="R12" s="1">
        <f>+IFERROR(INDEX('Restaurant Base (Hidden)'!$A$2:$Z$1048576,MATCH($C12,'Restaurant Base (Hidden)'!$C$2:$C$1048576,0),MATCH(R$6,'Restaurant Base (Hidden)'!$A$1:$Z$1,0)),"")</f>
        <v>5</v>
      </c>
      <c r="S12" s="2" t="str">
        <f>+IFERROR(INDEX('Restaurant Base (Hidden)'!$A$2:$Z$1048576,MATCH($C12,'Restaurant Base (Hidden)'!$C$2:$C$1048576,0),MATCH(S$6,'Restaurant Base (Hidden)'!$A$1:$Z$1,0)),"")</f>
        <v/>
      </c>
      <c r="T12" s="62">
        <f>+IFERROR(INDEX('Restaurant Base (Hidden)'!$A$2:$Z$1048576,MATCH($C12,'Restaurant Base (Hidden)'!$C$2:$C$1048576,0),MATCH(T$6,'Restaurant Base (Hidden)'!$A$1:$Z$1,0)),"")</f>
        <v>66.5</v>
      </c>
      <c r="U12" s="1">
        <f>+IFERROR(INDEX('Restaurant Base (Hidden)'!$A$2:$Z$1048576,MATCH($C12,'Restaurant Base (Hidden)'!$C$2:$C$1048576,0),MATCH(U$6,'Restaurant Base (Hidden)'!$A$1:$Z$1,0)),"")</f>
        <v>4</v>
      </c>
      <c r="V12" s="2" t="str">
        <f>+IFERROR(INDEX('Restaurant Base (Hidden)'!$A$2:$Z$1048576,MATCH($C12,'Restaurant Base (Hidden)'!$C$2:$C$1048576,0),MATCH(V$6,'Restaurant Base (Hidden)'!$A$1:$Z$1,0)),"")</f>
        <v/>
      </c>
      <c r="W12" s="65" t="str">
        <f>+IFERROR(INDEX('Restaurant Base (Hidden)'!$A$2:$Z$1048576,MATCH($C12,'Restaurant Base (Hidden)'!$C$2:$C$1048576,0),MATCH(W$6,'Restaurant Base (Hidden)'!$A$1:$Z$1,0)),"")</f>
        <v>91,80 %</v>
      </c>
      <c r="X12" s="1">
        <f>+IFERROR(INDEX('Restaurant Base (Hidden)'!$A$2:$Z$1048576,MATCH($C12,'Restaurant Base (Hidden)'!$C$2:$C$1048576,0),MATCH(X$6,'Restaurant Base (Hidden)'!$A$1:$Z$1,0)),"")</f>
        <v>3</v>
      </c>
      <c r="Y12" s="65" t="str">
        <f>+IFERROR(INDEX('Restaurant Base (Hidden)'!$A$2:$Z$1048576,MATCH($C12,'Restaurant Base (Hidden)'!$C$2:$C$1048576,0),MATCH(Y$6,'Restaurant Base (Hidden)'!$A$1:$Z$1,0)),"")</f>
        <v>86,60 %</v>
      </c>
      <c r="Z12" s="106">
        <f>+IFERROR(INDEX('Restaurant Base (Hidden)'!$A$2:$Z$1048576,MATCH($C12,'Restaurant Base (Hidden)'!$C$2:$C$1048576,0),MATCH(Z$6,'Restaurant Base (Hidden)'!$A$1:$Z$1,0)),"")</f>
        <v>3</v>
      </c>
      <c r="AA12" s="65" t="str">
        <f>+IFERROR(INDEX('Restaurant Base (Hidden)'!$A$2:$Z$1048576,MATCH($C12,'Restaurant Base (Hidden)'!$C$2:$C$1048576,0),MATCH(AA$6,'Restaurant Base (Hidden)'!$A$1:$Z$1,0)),"")</f>
        <v>88,00 %</v>
      </c>
      <c r="AB12" s="1">
        <f>+IFERROR(INDEX('Restaurant Base (Hidden)'!$A$2:$Z$1048576,MATCH($C12,'Restaurant Base (Hidden)'!$C$2:$C$1048576,0),MATCH(AB$6,'Restaurant Base (Hidden)'!$A$1:$Z$1,0)),"")</f>
        <v>3</v>
      </c>
      <c r="AC12" s="20" t="str">
        <f>+IFERROR(INDEX('Restaurant Base (Hidden)'!$A$2:$Z$1048576,MATCH($C12,'Restaurant Base (Hidden)'!$C$2:$C$1048576,0),MATCH(AC$6,'Restaurant Base (Hidden)'!$A$1:$Z$1,0)),"")</f>
        <v/>
      </c>
      <c r="AD12" s="65" t="str">
        <f>+IFERROR(INDEX('Restaurant Base (Hidden)'!$A$2:$Z$1048576,MATCH($C12,'Restaurant Base (Hidden)'!$C$2:$C$1048576,0),MATCH(AD$6,'Restaurant Base (Hidden)'!$A$1:$Z$1,0)),"")</f>
        <v>59,50 %</v>
      </c>
      <c r="AE12" s="1">
        <f>+IFERROR(INDEX('Restaurant Base (Hidden)'!$A$2:$Z$1048576,MATCH($C12,'Restaurant Base (Hidden)'!$C$2:$C$1048576,0),MATCH(AE$6,'Restaurant Base (Hidden)'!$A$1:$Z$1,0)),"")</f>
        <v>1</v>
      </c>
      <c r="AF12" s="65" t="str">
        <f>+IFERROR(INDEX('Restaurant Base (Hidden)'!$A$2:$Z$1048576,MATCH($C12,'Restaurant Base (Hidden)'!$C$2:$C$1048576,0),MATCH(AF$6,'Restaurant Base (Hidden)'!$A$1:$Z$1,0)),"")</f>
        <v>76,70 %</v>
      </c>
      <c r="AG12" s="1">
        <f>+IFERROR(INDEX('Restaurant Base (Hidden)'!$A$2:$Z$1048576,MATCH($C12,'Restaurant Base (Hidden)'!$C$2:$C$1048576,0),MATCH(AG$6,'Restaurant Base (Hidden)'!$A$1:$Z$1,0)),"")</f>
        <v>2</v>
      </c>
    </row>
    <row r="13" spans="1:33" x14ac:dyDescent="0.4">
      <c r="A13" s="163" t="str">
        <f>IF('Restaurant Base (Hidden)'!A379=0,"", 'Restaurant Base (Hidden)'!A379)</f>
        <v>Avery Ashford</v>
      </c>
      <c r="B13" s="163" t="str">
        <f>IF('Restaurant Base (Hidden)'!B379=0,"", 'Restaurant Base (Hidden)'!B379)</f>
        <v>Fairmont Food Group</v>
      </c>
      <c r="C13" s="163" t="str">
        <f>IF('Restaurant Base (Hidden)'!C379=0,"", 'Restaurant Base (Hidden)'!C379)</f>
        <v>River Gate</v>
      </c>
      <c r="D13" s="104">
        <f t="shared" si="0"/>
        <v>7</v>
      </c>
      <c r="E13" s="105">
        <f>+IFERROR(INDEX('Restaurant Base (Hidden)'!$A$2:$Z$1048576,MATCH($C13,'Restaurant Base (Hidden)'!$C$2:$C$1048576,0),MATCH(E$6,'Restaurant Base (Hidden)'!$A$1:$Z$1,0)),"")</f>
        <v>3.88</v>
      </c>
      <c r="F13" s="2" t="str">
        <f>+IFERROR(INDEX('Restaurant Base (Hidden)'!$A$2:$Z$1048576,MATCH($C13,'Restaurant Base (Hidden)'!$C$2:$C$1048576,0),MATCH(F$6,'Restaurant Base (Hidden)'!$A$1:$Z$1,0)),"")</f>
        <v/>
      </c>
      <c r="G13" s="20" t="str">
        <f>+IFERROR(INDEX('Restaurant Base (Hidden)'!$A$2:$Z$1048576,MATCH($C13,'Restaurant Base (Hidden)'!$C$2:$C$1048576,0),MATCH(G$6,'Restaurant Base (Hidden)'!$A$1:$Z$1,0)),"")</f>
        <v>4,584</v>
      </c>
      <c r="H13" s="50">
        <f>+IFERROR(INDEX('Restaurant Base (Hidden)'!$A$2:$Z$1048576,MATCH($C13,'Restaurant Base (Hidden)'!$C$2:$C$1048576,0),MATCH(H$6,'Restaurant Base (Hidden)'!$A$1:$Z$1,0)),"")</f>
        <v>5</v>
      </c>
      <c r="I13" s="20" t="str">
        <f>+IFERROR(INDEX('Restaurant Base (Hidden)'!$A$2:$Z$1048576,MATCH($C13,'Restaurant Base (Hidden)'!$C$2:$C$1048576,0),MATCH(I$6,'Restaurant Base (Hidden)'!$A$1:$Z$1,0)),"")</f>
        <v>70,80 %</v>
      </c>
      <c r="J13" s="49">
        <f>+IFERROR(INDEX('Restaurant Base (Hidden)'!$A$2:$Z$1048576,MATCH($C13,'Restaurant Base (Hidden)'!$C$2:$C$1048576,0),MATCH(J$6,'Restaurant Base (Hidden)'!$A$1:$Z$1,0)),"")</f>
        <v>1</v>
      </c>
      <c r="K13" s="20" t="str">
        <f>+IFERROR(INDEX('Restaurant Base (Hidden)'!$A$2:$Z$1048576,MATCH($C13,'Restaurant Base (Hidden)'!$C$2:$C$1048576,0),MATCH(K$6,'Restaurant Base (Hidden)'!$A$1:$Z$1,0)),"")</f>
        <v>0,041</v>
      </c>
      <c r="L13" s="51">
        <f>+IFERROR(INDEX('Restaurant Base (Hidden)'!$A$2:$Z$1048576,MATCH($C13,'Restaurant Base (Hidden)'!$C$2:$C$1048576,0),MATCH(L$6,'Restaurant Base (Hidden)'!$A$1:$Z$1,0)),"")</f>
        <v>5</v>
      </c>
      <c r="M13" s="2" t="str">
        <f>+IFERROR(INDEX('Restaurant Base (Hidden)'!$A$2:$Z$1048576,MATCH($C13,'Restaurant Base (Hidden)'!$C$2:$C$1048576,0),MATCH(M$6,'Restaurant Base (Hidden)'!$A$1:$Z$1,0)),"")</f>
        <v/>
      </c>
      <c r="N13" s="234" t="str">
        <f>+IFERROR(INDEX('Restaurant Base (Hidden)'!$A$2:$Z$1048576,MATCH($C13,'Restaurant Base (Hidden)'!$C$2:$C$1048576,0),MATCH(N$6,'Restaurant Base (Hidden)'!$A$1:$Z$1,0)),"")</f>
        <v>85,90 %</v>
      </c>
      <c r="O13" s="1">
        <f>+IFERROR(INDEX('Restaurant Base (Hidden)'!$A$2:$Z$1048576,MATCH($C13,'Restaurant Base (Hidden)'!$C$2:$C$1048576,0),MATCH(O$6,'Restaurant Base (Hidden)'!$A$1:$Z$1,0)),"")</f>
        <v>5</v>
      </c>
      <c r="P13" s="2" t="str">
        <f>+IFERROR(INDEX('Restaurant Base (Hidden)'!$A$2:$Z$1048576,MATCH($C13,'Restaurant Base (Hidden)'!$C$2:$C$1048576,0),MATCH(P$6,'Restaurant Base (Hidden)'!$A$1:$Z$1,0)),"")</f>
        <v/>
      </c>
      <c r="Q13" s="234" t="str">
        <f>+IFERROR(INDEX('Restaurant Base (Hidden)'!$A$2:$Z$1048576,MATCH($C13,'Restaurant Base (Hidden)'!$C$2:$C$1048576,0),MATCH(Q$6,'Restaurant Base (Hidden)'!$A$1:$Z$1,0)),"")</f>
        <v>75,40 %</v>
      </c>
      <c r="R13" s="1">
        <f>+IFERROR(INDEX('Restaurant Base (Hidden)'!$A$2:$Z$1048576,MATCH($C13,'Restaurant Base (Hidden)'!$C$2:$C$1048576,0),MATCH(R$6,'Restaurant Base (Hidden)'!$A$1:$Z$1,0)),"")</f>
        <v>5</v>
      </c>
      <c r="S13" s="2" t="str">
        <f>+IFERROR(INDEX('Restaurant Base (Hidden)'!$A$2:$Z$1048576,MATCH($C13,'Restaurant Base (Hidden)'!$C$2:$C$1048576,0),MATCH(S$6,'Restaurant Base (Hidden)'!$A$1:$Z$1,0)),"")</f>
        <v/>
      </c>
      <c r="T13" s="62">
        <f>+IFERROR(INDEX('Restaurant Base (Hidden)'!$A$2:$Z$1048576,MATCH($C13,'Restaurant Base (Hidden)'!$C$2:$C$1048576,0),MATCH(T$6,'Restaurant Base (Hidden)'!$A$1:$Z$1,0)),"")</f>
        <v>73.599999999999994</v>
      </c>
      <c r="U13" s="1">
        <f>+IFERROR(INDEX('Restaurant Base (Hidden)'!$A$2:$Z$1048576,MATCH($C13,'Restaurant Base (Hidden)'!$C$2:$C$1048576,0),MATCH(U$6,'Restaurant Base (Hidden)'!$A$1:$Z$1,0)),"")</f>
        <v>5</v>
      </c>
      <c r="V13" s="2" t="str">
        <f>+IFERROR(INDEX('Restaurant Base (Hidden)'!$A$2:$Z$1048576,MATCH($C13,'Restaurant Base (Hidden)'!$C$2:$C$1048576,0),MATCH(V$6,'Restaurant Base (Hidden)'!$A$1:$Z$1,0)),"")</f>
        <v/>
      </c>
      <c r="W13" s="65" t="str">
        <f>+IFERROR(INDEX('Restaurant Base (Hidden)'!$A$2:$Z$1048576,MATCH($C13,'Restaurant Base (Hidden)'!$C$2:$C$1048576,0),MATCH(W$6,'Restaurant Base (Hidden)'!$A$1:$Z$1,0)),"")</f>
        <v>55,30 %</v>
      </c>
      <c r="X13" s="1">
        <f>+IFERROR(INDEX('Restaurant Base (Hidden)'!$A$2:$Z$1048576,MATCH($C13,'Restaurant Base (Hidden)'!$C$2:$C$1048576,0),MATCH(X$6,'Restaurant Base (Hidden)'!$A$1:$Z$1,0)),"")</f>
        <v>1</v>
      </c>
      <c r="Y13" s="65" t="str">
        <f>+IFERROR(INDEX('Restaurant Base (Hidden)'!$A$2:$Z$1048576,MATCH($C13,'Restaurant Base (Hidden)'!$C$2:$C$1048576,0),MATCH(Y$6,'Restaurant Base (Hidden)'!$A$1:$Z$1,0)),"")</f>
        <v>90,80 %</v>
      </c>
      <c r="Z13" s="106">
        <f>+IFERROR(INDEX('Restaurant Base (Hidden)'!$A$2:$Z$1048576,MATCH($C13,'Restaurant Base (Hidden)'!$C$2:$C$1048576,0),MATCH(Z$6,'Restaurant Base (Hidden)'!$A$1:$Z$1,0)),"")</f>
        <v>3</v>
      </c>
      <c r="AA13" s="65" t="str">
        <f>+IFERROR(INDEX('Restaurant Base (Hidden)'!$A$2:$Z$1048576,MATCH($C13,'Restaurant Base (Hidden)'!$C$2:$C$1048576,0),MATCH(AA$6,'Restaurant Base (Hidden)'!$A$1:$Z$1,0)),"")</f>
        <v>98,30 %</v>
      </c>
      <c r="AB13" s="1">
        <f>+IFERROR(INDEX('Restaurant Base (Hidden)'!$A$2:$Z$1048576,MATCH($C13,'Restaurant Base (Hidden)'!$C$2:$C$1048576,0),MATCH(AB$6,'Restaurant Base (Hidden)'!$A$1:$Z$1,0)),"")</f>
        <v>4</v>
      </c>
      <c r="AC13" s="20" t="str">
        <f>+IFERROR(INDEX('Restaurant Base (Hidden)'!$A$2:$Z$1048576,MATCH($C13,'Restaurant Base (Hidden)'!$C$2:$C$1048576,0),MATCH(AC$6,'Restaurant Base (Hidden)'!$A$1:$Z$1,0)),"")</f>
        <v/>
      </c>
      <c r="AD13" s="65" t="str">
        <f>+IFERROR(INDEX('Restaurant Base (Hidden)'!$A$2:$Z$1048576,MATCH($C13,'Restaurant Base (Hidden)'!$C$2:$C$1048576,0),MATCH(AD$6,'Restaurant Base (Hidden)'!$A$1:$Z$1,0)),"")</f>
        <v>82,00 %</v>
      </c>
      <c r="AE13" s="1">
        <f>+IFERROR(INDEX('Restaurant Base (Hidden)'!$A$2:$Z$1048576,MATCH($C13,'Restaurant Base (Hidden)'!$C$2:$C$1048576,0),MATCH(AE$6,'Restaurant Base (Hidden)'!$A$1:$Z$1,0)),"")</f>
        <v>3</v>
      </c>
      <c r="AF13" s="65" t="str">
        <f>+IFERROR(INDEX('Restaurant Base (Hidden)'!$A$2:$Z$1048576,MATCH($C13,'Restaurant Base (Hidden)'!$C$2:$C$1048576,0),MATCH(AF$6,'Restaurant Base (Hidden)'!$A$1:$Z$1,0)),"")</f>
        <v>97,70 %</v>
      </c>
      <c r="AG13" s="1">
        <f>+IFERROR(INDEX('Restaurant Base (Hidden)'!$A$2:$Z$1048576,MATCH($C13,'Restaurant Base (Hidden)'!$C$2:$C$1048576,0),MATCH(AG$6,'Restaurant Base (Hidden)'!$A$1:$Z$1,0)),"")</f>
        <v>4</v>
      </c>
    </row>
    <row r="14" spans="1:33" x14ac:dyDescent="0.4">
      <c r="A14" s="163" t="str">
        <f>IF('Restaurant Base (Hidden)'!A362=0,"", 'Restaurant Base (Hidden)'!A362)</f>
        <v>Logan Redford</v>
      </c>
      <c r="B14" s="163" t="str">
        <f>IF('Restaurant Base (Hidden)'!B362=0,"", 'Restaurant Base (Hidden)'!B362)</f>
        <v>Northstar Dining Group</v>
      </c>
      <c r="C14" s="163" t="str">
        <f>IF('Restaurant Base (Hidden)'!C362=0,"", 'Restaurant Base (Hidden)'!C362)</f>
        <v>Liberty Commons</v>
      </c>
      <c r="D14" s="104">
        <f t="shared" si="0"/>
        <v>8</v>
      </c>
      <c r="E14" s="105">
        <f>+IFERROR(INDEX('Restaurant Base (Hidden)'!$A$2:$Z$1048576,MATCH($C14,'Restaurant Base (Hidden)'!$C$2:$C$1048576,0),MATCH(E$6,'Restaurant Base (Hidden)'!$A$1:$Z$1,0)),"")</f>
        <v>3.84</v>
      </c>
      <c r="F14" s="2" t="str">
        <f>+IFERROR(INDEX('Restaurant Base (Hidden)'!$A$2:$Z$1048576,MATCH($C14,'Restaurant Base (Hidden)'!$C$2:$C$1048576,0),MATCH(F$6,'Restaurant Base (Hidden)'!$A$1:$Z$1,0)),"")</f>
        <v/>
      </c>
      <c r="G14" s="20" t="str">
        <f>+IFERROR(INDEX('Restaurant Base (Hidden)'!$A$2:$Z$1048576,MATCH($C14,'Restaurant Base (Hidden)'!$C$2:$C$1048576,0),MATCH(G$6,'Restaurant Base (Hidden)'!$A$1:$Z$1,0)),"")</f>
        <v>4,571</v>
      </c>
      <c r="H14" s="50">
        <f>+IFERROR(INDEX('Restaurant Base (Hidden)'!$A$2:$Z$1048576,MATCH($C14,'Restaurant Base (Hidden)'!$C$2:$C$1048576,0),MATCH(H$6,'Restaurant Base (Hidden)'!$A$1:$Z$1,0)),"")</f>
        <v>5</v>
      </c>
      <c r="I14" s="20" t="str">
        <f>+IFERROR(INDEX('Restaurant Base (Hidden)'!$A$2:$Z$1048576,MATCH($C14,'Restaurant Base (Hidden)'!$C$2:$C$1048576,0),MATCH(I$6,'Restaurant Base (Hidden)'!$A$1:$Z$1,0)),"")</f>
        <v>97,00 %</v>
      </c>
      <c r="J14" s="49">
        <f>+IFERROR(INDEX('Restaurant Base (Hidden)'!$A$2:$Z$1048576,MATCH($C14,'Restaurant Base (Hidden)'!$C$2:$C$1048576,0),MATCH(J$6,'Restaurant Base (Hidden)'!$A$1:$Z$1,0)),"")</f>
        <v>5</v>
      </c>
      <c r="K14" s="20" t="str">
        <f>+IFERROR(INDEX('Restaurant Base (Hidden)'!$A$2:$Z$1048576,MATCH($C14,'Restaurant Base (Hidden)'!$C$2:$C$1048576,0),MATCH(K$6,'Restaurant Base (Hidden)'!$A$1:$Z$1,0)),"")</f>
        <v>0,150</v>
      </c>
      <c r="L14" s="51">
        <f>+IFERROR(INDEX('Restaurant Base (Hidden)'!$A$2:$Z$1048576,MATCH($C14,'Restaurant Base (Hidden)'!$C$2:$C$1048576,0),MATCH(L$6,'Restaurant Base (Hidden)'!$A$1:$Z$1,0)),"")</f>
        <v>2</v>
      </c>
      <c r="M14" s="2" t="str">
        <f>+IFERROR(INDEX('Restaurant Base (Hidden)'!$A$2:$Z$1048576,MATCH($C14,'Restaurant Base (Hidden)'!$C$2:$C$1048576,0),MATCH(M$6,'Restaurant Base (Hidden)'!$A$1:$Z$1,0)),"")</f>
        <v/>
      </c>
      <c r="N14" s="234" t="str">
        <f>+IFERROR(INDEX('Restaurant Base (Hidden)'!$A$2:$Z$1048576,MATCH($C14,'Restaurant Base (Hidden)'!$C$2:$C$1048576,0),MATCH(N$6,'Restaurant Base (Hidden)'!$A$1:$Z$1,0)),"")</f>
        <v>93,80 %</v>
      </c>
      <c r="O14" s="1">
        <f>+IFERROR(INDEX('Restaurant Base (Hidden)'!$A$2:$Z$1048576,MATCH($C14,'Restaurant Base (Hidden)'!$C$2:$C$1048576,0),MATCH(O$6,'Restaurant Base (Hidden)'!$A$1:$Z$1,0)),"")</f>
        <v>5</v>
      </c>
      <c r="P14" s="2" t="str">
        <f>+IFERROR(INDEX('Restaurant Base (Hidden)'!$A$2:$Z$1048576,MATCH($C14,'Restaurant Base (Hidden)'!$C$2:$C$1048576,0),MATCH(P$6,'Restaurant Base (Hidden)'!$A$1:$Z$1,0)),"")</f>
        <v/>
      </c>
      <c r="Q14" s="234" t="str">
        <f>+IFERROR(INDEX('Restaurant Base (Hidden)'!$A$2:$Z$1048576,MATCH($C14,'Restaurant Base (Hidden)'!$C$2:$C$1048576,0),MATCH(Q$6,'Restaurant Base (Hidden)'!$A$1:$Z$1,0)),"")</f>
        <v>90,00 %</v>
      </c>
      <c r="R14" s="1">
        <f>+IFERROR(INDEX('Restaurant Base (Hidden)'!$A$2:$Z$1048576,MATCH($C14,'Restaurant Base (Hidden)'!$C$2:$C$1048576,0),MATCH(R$6,'Restaurant Base (Hidden)'!$A$1:$Z$1,0)),"")</f>
        <v>5</v>
      </c>
      <c r="S14" s="2" t="str">
        <f>+IFERROR(INDEX('Restaurant Base (Hidden)'!$A$2:$Z$1048576,MATCH($C14,'Restaurant Base (Hidden)'!$C$2:$C$1048576,0),MATCH(S$6,'Restaurant Base (Hidden)'!$A$1:$Z$1,0)),"")</f>
        <v/>
      </c>
      <c r="T14" s="62">
        <f>+IFERROR(INDEX('Restaurant Base (Hidden)'!$A$2:$Z$1048576,MATCH($C14,'Restaurant Base (Hidden)'!$C$2:$C$1048576,0),MATCH(T$6,'Restaurant Base (Hidden)'!$A$1:$Z$1,0)),"")</f>
        <v>76.400000000000006</v>
      </c>
      <c r="U14" s="1">
        <f>+IFERROR(INDEX('Restaurant Base (Hidden)'!$A$2:$Z$1048576,MATCH($C14,'Restaurant Base (Hidden)'!$C$2:$C$1048576,0),MATCH(U$6,'Restaurant Base (Hidden)'!$A$1:$Z$1,0)),"")</f>
        <v>5</v>
      </c>
      <c r="V14" s="2" t="str">
        <f>+IFERROR(INDEX('Restaurant Base (Hidden)'!$A$2:$Z$1048576,MATCH($C14,'Restaurant Base (Hidden)'!$C$2:$C$1048576,0),MATCH(V$6,'Restaurant Base (Hidden)'!$A$1:$Z$1,0)),"")</f>
        <v/>
      </c>
      <c r="W14" s="65" t="str">
        <f>+IFERROR(INDEX('Restaurant Base (Hidden)'!$A$2:$Z$1048576,MATCH($C14,'Restaurant Base (Hidden)'!$C$2:$C$1048576,0),MATCH(W$6,'Restaurant Base (Hidden)'!$A$1:$Z$1,0)),"")</f>
        <v>68,60 %</v>
      </c>
      <c r="X14" s="1">
        <f>+IFERROR(INDEX('Restaurant Base (Hidden)'!$A$2:$Z$1048576,MATCH($C14,'Restaurant Base (Hidden)'!$C$2:$C$1048576,0),MATCH(X$6,'Restaurant Base (Hidden)'!$A$1:$Z$1,0)),"")</f>
        <v>2</v>
      </c>
      <c r="Y14" s="65" t="str">
        <f>+IFERROR(INDEX('Restaurant Base (Hidden)'!$A$2:$Z$1048576,MATCH($C14,'Restaurant Base (Hidden)'!$C$2:$C$1048576,0),MATCH(Y$6,'Restaurant Base (Hidden)'!$A$1:$Z$1,0)),"")</f>
        <v>83,70 %</v>
      </c>
      <c r="Z14" s="106">
        <f>+IFERROR(INDEX('Restaurant Base (Hidden)'!$A$2:$Z$1048576,MATCH($C14,'Restaurant Base (Hidden)'!$C$2:$C$1048576,0),MATCH(Z$6,'Restaurant Base (Hidden)'!$A$1:$Z$1,0)),"")</f>
        <v>3</v>
      </c>
      <c r="AA14" s="65" t="str">
        <f>+IFERROR(INDEX('Restaurant Base (Hidden)'!$A$2:$Z$1048576,MATCH($C14,'Restaurant Base (Hidden)'!$C$2:$C$1048576,0),MATCH(AA$6,'Restaurant Base (Hidden)'!$A$1:$Z$1,0)),"")</f>
        <v>96,10 %</v>
      </c>
      <c r="AB14" s="1">
        <f>+IFERROR(INDEX('Restaurant Base (Hidden)'!$A$2:$Z$1048576,MATCH($C14,'Restaurant Base (Hidden)'!$C$2:$C$1048576,0),MATCH(AB$6,'Restaurant Base (Hidden)'!$A$1:$Z$1,0)),"")</f>
        <v>4</v>
      </c>
      <c r="AC14" s="20" t="str">
        <f>+IFERROR(INDEX('Restaurant Base (Hidden)'!$A$2:$Z$1048576,MATCH($C14,'Restaurant Base (Hidden)'!$C$2:$C$1048576,0),MATCH(AC$6,'Restaurant Base (Hidden)'!$A$1:$Z$1,0)),"")</f>
        <v/>
      </c>
      <c r="AD14" s="65" t="str">
        <f>+IFERROR(INDEX('Restaurant Base (Hidden)'!$A$2:$Z$1048576,MATCH($C14,'Restaurant Base (Hidden)'!$C$2:$C$1048576,0),MATCH(AD$6,'Restaurant Base (Hidden)'!$A$1:$Z$1,0)),"")</f>
        <v>81,70 %</v>
      </c>
      <c r="AE14" s="1">
        <f>+IFERROR(INDEX('Restaurant Base (Hidden)'!$A$2:$Z$1048576,MATCH($C14,'Restaurant Base (Hidden)'!$C$2:$C$1048576,0),MATCH(AE$6,'Restaurant Base (Hidden)'!$A$1:$Z$1,0)),"")</f>
        <v>2</v>
      </c>
      <c r="AF14" s="65" t="str">
        <f>+IFERROR(INDEX('Restaurant Base (Hidden)'!$A$2:$Z$1048576,MATCH($C14,'Restaurant Base (Hidden)'!$C$2:$C$1048576,0),MATCH(AF$6,'Restaurant Base (Hidden)'!$A$1:$Z$1,0)),"")</f>
        <v>68,50 %</v>
      </c>
      <c r="AG14" s="1">
        <f>+IFERROR(INDEX('Restaurant Base (Hidden)'!$A$2:$Z$1048576,MATCH($C14,'Restaurant Base (Hidden)'!$C$2:$C$1048576,0),MATCH(AG$6,'Restaurant Base (Hidden)'!$A$1:$Z$1,0)),"")</f>
        <v>1</v>
      </c>
    </row>
    <row r="15" spans="1:33" x14ac:dyDescent="0.4">
      <c r="A15" s="163" t="str">
        <f>IF('Restaurant Base (Hidden)'!A72=0,"", 'Restaurant Base (Hidden)'!A72)</f>
        <v>Logan Redford</v>
      </c>
      <c r="B15" s="163" t="str">
        <f>IF('Restaurant Base (Hidden)'!B72=0,"", 'Restaurant Base (Hidden)'!B72)</f>
        <v>Oakmont Dining Partners</v>
      </c>
      <c r="C15" s="163" t="str">
        <f>IF('Restaurant Base (Hidden)'!C72=0,"", 'Restaurant Base (Hidden)'!C72)</f>
        <v>Eastwood Way</v>
      </c>
      <c r="D15" s="104">
        <f t="shared" si="0"/>
        <v>9</v>
      </c>
      <c r="E15" s="105">
        <f>+IFERROR(INDEX('Restaurant Base (Hidden)'!$A$2:$Z$1048576,MATCH($C15,'Restaurant Base (Hidden)'!$C$2:$C$1048576,0),MATCH(E$6,'Restaurant Base (Hidden)'!$A$1:$Z$1,0)),"")</f>
        <v>3.83</v>
      </c>
      <c r="F15" s="64" t="str">
        <f>+IFERROR(INDEX('Restaurant Base (Hidden)'!$A$2:$Z$1048576,MATCH($C15,'Restaurant Base (Hidden)'!$C$2:$C$1048576,0),MATCH(F$6,'Restaurant Base (Hidden)'!$A$1:$Z$1,0)),"")</f>
        <v/>
      </c>
      <c r="G15" s="20" t="str">
        <f>+IFERROR(INDEX('Restaurant Base (Hidden)'!$A$2:$Z$1048576,MATCH($C15,'Restaurant Base (Hidden)'!$C$2:$C$1048576,0),MATCH(G$6,'Restaurant Base (Hidden)'!$A$1:$Z$1,0)),"")</f>
        <v>4,580</v>
      </c>
      <c r="H15" s="50">
        <f>+IFERROR(INDEX('Restaurant Base (Hidden)'!$A$2:$Z$1048576,MATCH($C15,'Restaurant Base (Hidden)'!$C$2:$C$1048576,0),MATCH(H$6,'Restaurant Base (Hidden)'!$A$1:$Z$1,0)),"")</f>
        <v>5</v>
      </c>
      <c r="I15" s="20" t="str">
        <f>+IFERROR(INDEX('Restaurant Base (Hidden)'!$A$2:$Z$1048576,MATCH($C15,'Restaurant Base (Hidden)'!$C$2:$C$1048576,0),MATCH(I$6,'Restaurant Base (Hidden)'!$A$1:$Z$1,0)),"")</f>
        <v>59,30 %</v>
      </c>
      <c r="J15" s="49">
        <f>+IFERROR(INDEX('Restaurant Base (Hidden)'!$A$2:$Z$1048576,MATCH($C15,'Restaurant Base (Hidden)'!$C$2:$C$1048576,0),MATCH(J$6,'Restaurant Base (Hidden)'!$A$1:$Z$1,0)),"")</f>
        <v>1</v>
      </c>
      <c r="K15" s="20" t="str">
        <f>+IFERROR(INDEX('Restaurant Base (Hidden)'!$A$2:$Z$1048576,MATCH($C15,'Restaurant Base (Hidden)'!$C$2:$C$1048576,0),MATCH(K$6,'Restaurant Base (Hidden)'!$A$1:$Z$1,0)),"")</f>
        <v>0,201</v>
      </c>
      <c r="L15" s="51">
        <f>+IFERROR(INDEX('Restaurant Base (Hidden)'!$A$2:$Z$1048576,MATCH($C15,'Restaurant Base (Hidden)'!$C$2:$C$1048576,0),MATCH(L$6,'Restaurant Base (Hidden)'!$A$1:$Z$1,0)),"")</f>
        <v>1</v>
      </c>
      <c r="M15" s="2" t="str">
        <f>+IFERROR(INDEX('Restaurant Base (Hidden)'!$A$2:$Z$1048576,MATCH($C15,'Restaurant Base (Hidden)'!$C$2:$C$1048576,0),MATCH(M$6,'Restaurant Base (Hidden)'!$A$1:$Z$1,0)),"")</f>
        <v/>
      </c>
      <c r="N15" s="234" t="str">
        <f>+IFERROR(INDEX('Restaurant Base (Hidden)'!$A$2:$Z$1048576,MATCH($C15,'Restaurant Base (Hidden)'!$C$2:$C$1048576,0),MATCH(N$6,'Restaurant Base (Hidden)'!$A$1:$Z$1,0)),"")</f>
        <v>81,40 %</v>
      </c>
      <c r="O15" s="1">
        <f>+IFERROR(INDEX('Restaurant Base (Hidden)'!$A$2:$Z$1048576,MATCH($C15,'Restaurant Base (Hidden)'!$C$2:$C$1048576,0),MATCH(O$6,'Restaurant Base (Hidden)'!$A$1:$Z$1,0)),"")</f>
        <v>5</v>
      </c>
      <c r="P15" s="2" t="str">
        <f>+IFERROR(INDEX('Restaurant Base (Hidden)'!$A$2:$Z$1048576,MATCH($C15,'Restaurant Base (Hidden)'!$C$2:$C$1048576,0),MATCH(P$6,'Restaurant Base (Hidden)'!$A$1:$Z$1,0)),"")</f>
        <v/>
      </c>
      <c r="Q15" s="234" t="str">
        <f>+IFERROR(INDEX('Restaurant Base (Hidden)'!$A$2:$Z$1048576,MATCH($C15,'Restaurant Base (Hidden)'!$C$2:$C$1048576,0),MATCH(Q$6,'Restaurant Base (Hidden)'!$A$1:$Z$1,0)),"")</f>
        <v>95,40 %</v>
      </c>
      <c r="R15" s="1">
        <f>+IFERROR(INDEX('Restaurant Base (Hidden)'!$A$2:$Z$1048576,MATCH($C15,'Restaurant Base (Hidden)'!$C$2:$C$1048576,0),MATCH(R$6,'Restaurant Base (Hidden)'!$A$1:$Z$1,0)),"")</f>
        <v>5</v>
      </c>
      <c r="S15" s="2" t="str">
        <f>+IFERROR(INDEX('Restaurant Base (Hidden)'!$A$2:$Z$1048576,MATCH($C15,'Restaurant Base (Hidden)'!$C$2:$C$1048576,0),MATCH(S$6,'Restaurant Base (Hidden)'!$A$1:$Z$1,0)),"")</f>
        <v/>
      </c>
      <c r="T15" s="62">
        <f>+IFERROR(INDEX('Restaurant Base (Hidden)'!$A$2:$Z$1048576,MATCH($C15,'Restaurant Base (Hidden)'!$C$2:$C$1048576,0),MATCH(T$6,'Restaurant Base (Hidden)'!$A$1:$Z$1,0)),"")</f>
        <v>70</v>
      </c>
      <c r="U15" s="1">
        <f>+IFERROR(INDEX('Restaurant Base (Hidden)'!$A$2:$Z$1048576,MATCH($C15,'Restaurant Base (Hidden)'!$C$2:$C$1048576,0),MATCH(U$6,'Restaurant Base (Hidden)'!$A$1:$Z$1,0)),"")</f>
        <v>5</v>
      </c>
      <c r="V15" s="2" t="str">
        <f>+IFERROR(INDEX('Restaurant Base (Hidden)'!$A$2:$Z$1048576,MATCH($C15,'Restaurant Base (Hidden)'!$C$2:$C$1048576,0),MATCH(V$6,'Restaurant Base (Hidden)'!$A$1:$Z$1,0)),"")</f>
        <v/>
      </c>
      <c r="W15" s="65" t="str">
        <f>+IFERROR(INDEX('Restaurant Base (Hidden)'!$A$2:$Z$1048576,MATCH($C15,'Restaurant Base (Hidden)'!$C$2:$C$1048576,0),MATCH(W$6,'Restaurant Base (Hidden)'!$A$1:$Z$1,0)),"")</f>
        <v>70,60 %</v>
      </c>
      <c r="X15" s="1">
        <f>+IFERROR(INDEX('Restaurant Base (Hidden)'!$A$2:$Z$1048576,MATCH($C15,'Restaurant Base (Hidden)'!$C$2:$C$1048576,0),MATCH(X$6,'Restaurant Base (Hidden)'!$A$1:$Z$1,0)),"")</f>
        <v>2</v>
      </c>
      <c r="Y15" s="65" t="str">
        <f>+IFERROR(INDEX('Restaurant Base (Hidden)'!$A$2:$Z$1048576,MATCH($C15,'Restaurant Base (Hidden)'!$C$2:$C$1048576,0),MATCH(Y$6,'Restaurant Base (Hidden)'!$A$1:$Z$1,0)),"")</f>
        <v>98,70 %</v>
      </c>
      <c r="Z15" s="106">
        <f>+IFERROR(INDEX('Restaurant Base (Hidden)'!$A$2:$Z$1048576,MATCH($C15,'Restaurant Base (Hidden)'!$C$2:$C$1048576,0),MATCH(Z$6,'Restaurant Base (Hidden)'!$A$1:$Z$1,0)),"")</f>
        <v>5</v>
      </c>
      <c r="AA15" s="65" t="str">
        <f>+IFERROR(INDEX('Restaurant Base (Hidden)'!$A$2:$Z$1048576,MATCH($C15,'Restaurant Base (Hidden)'!$C$2:$C$1048576,0),MATCH(AA$6,'Restaurant Base (Hidden)'!$A$1:$Z$1,0)),"")</f>
        <v>99,20 %</v>
      </c>
      <c r="AB15" s="1">
        <f>+IFERROR(INDEX('Restaurant Base (Hidden)'!$A$2:$Z$1048576,MATCH($C15,'Restaurant Base (Hidden)'!$C$2:$C$1048576,0),MATCH(AB$6,'Restaurant Base (Hidden)'!$A$1:$Z$1,0)),"")</f>
        <v>5</v>
      </c>
      <c r="AC15" s="20" t="str">
        <f>+IFERROR(INDEX('Restaurant Base (Hidden)'!$A$2:$Z$1048576,MATCH($C15,'Restaurant Base (Hidden)'!$C$2:$C$1048576,0),MATCH(AC$6,'Restaurant Base (Hidden)'!$A$1:$Z$1,0)),"")</f>
        <v/>
      </c>
      <c r="AD15" s="65" t="str">
        <f>+IFERROR(INDEX('Restaurant Base (Hidden)'!$A$2:$Z$1048576,MATCH($C15,'Restaurant Base (Hidden)'!$C$2:$C$1048576,0),MATCH(AD$6,'Restaurant Base (Hidden)'!$A$1:$Z$1,0)),"")</f>
        <v>97,80 %</v>
      </c>
      <c r="AE15" s="1">
        <f>+IFERROR(INDEX('Restaurant Base (Hidden)'!$A$2:$Z$1048576,MATCH($C15,'Restaurant Base (Hidden)'!$C$2:$C$1048576,0),MATCH(AE$6,'Restaurant Base (Hidden)'!$A$1:$Z$1,0)),"")</f>
        <v>5</v>
      </c>
      <c r="AF15" s="65" t="str">
        <f>+IFERROR(INDEX('Restaurant Base (Hidden)'!$A$2:$Z$1048576,MATCH($C15,'Restaurant Base (Hidden)'!$C$2:$C$1048576,0),MATCH(AF$6,'Restaurant Base (Hidden)'!$A$1:$Z$1,0)),"")</f>
        <v>82,00 %</v>
      </c>
      <c r="AG15" s="1">
        <f>+IFERROR(INDEX('Restaurant Base (Hidden)'!$A$2:$Z$1048576,MATCH($C15,'Restaurant Base (Hidden)'!$C$2:$C$1048576,0),MATCH(AG$6,'Restaurant Base (Hidden)'!$A$1:$Z$1,0)),"")</f>
        <v>2</v>
      </c>
    </row>
    <row r="16" spans="1:33" x14ac:dyDescent="0.4">
      <c r="A16" s="163" t="str">
        <f>IF('Restaurant Base (Hidden)'!A341=0,"", 'Restaurant Base (Hidden)'!A341)</f>
        <v>Taylor Hartwell</v>
      </c>
      <c r="B16" s="163" t="str">
        <f>IF('Restaurant Base (Hidden)'!B341=0,"", 'Restaurant Base (Hidden)'!B341)</f>
        <v>Parkstone Restaurant Group</v>
      </c>
      <c r="C16" s="163" t="str">
        <f>IF('Restaurant Base (Hidden)'!C341=0,"", 'Restaurant Base (Hidden)'!C341)</f>
        <v>Golden Place</v>
      </c>
      <c r="D16" s="104">
        <f t="shared" si="0"/>
        <v>9</v>
      </c>
      <c r="E16" s="105">
        <f>+IFERROR(INDEX('Restaurant Base (Hidden)'!$A$2:$Z$1048576,MATCH($C16,'Restaurant Base (Hidden)'!$C$2:$C$1048576,0),MATCH(E$6,'Restaurant Base (Hidden)'!$A$1:$Z$1,0)),"")</f>
        <v>3.83</v>
      </c>
      <c r="F16" s="2" t="str">
        <f>+IFERROR(INDEX('Restaurant Base (Hidden)'!$A$2:$Z$1048576,MATCH($C16,'Restaurant Base (Hidden)'!$C$2:$C$1048576,0),MATCH(F$6,'Restaurant Base (Hidden)'!$A$1:$Z$1,0)),"")</f>
        <v/>
      </c>
      <c r="G16" s="20" t="str">
        <f>+IFERROR(INDEX('Restaurant Base (Hidden)'!$A$2:$Z$1048576,MATCH($C16,'Restaurant Base (Hidden)'!$C$2:$C$1048576,0),MATCH(G$6,'Restaurant Base (Hidden)'!$A$1:$Z$1,0)),"")</f>
        <v>4,667</v>
      </c>
      <c r="H16" s="50">
        <f>+IFERROR(INDEX('Restaurant Base (Hidden)'!$A$2:$Z$1048576,MATCH($C16,'Restaurant Base (Hidden)'!$C$2:$C$1048576,0),MATCH(H$6,'Restaurant Base (Hidden)'!$A$1:$Z$1,0)),"")</f>
        <v>5</v>
      </c>
      <c r="I16" s="20" t="str">
        <f>+IFERROR(INDEX('Restaurant Base (Hidden)'!$A$2:$Z$1048576,MATCH($C16,'Restaurant Base (Hidden)'!$C$2:$C$1048576,0),MATCH(I$6,'Restaurant Base (Hidden)'!$A$1:$Z$1,0)),"")</f>
        <v>91,10 %</v>
      </c>
      <c r="J16" s="49">
        <f>+IFERROR(INDEX('Restaurant Base (Hidden)'!$A$2:$Z$1048576,MATCH($C16,'Restaurant Base (Hidden)'!$C$2:$C$1048576,0),MATCH(J$6,'Restaurant Base (Hidden)'!$A$1:$Z$1,0)),"")</f>
        <v>4</v>
      </c>
      <c r="K16" s="20" t="str">
        <f>+IFERROR(INDEX('Restaurant Base (Hidden)'!$A$2:$Z$1048576,MATCH($C16,'Restaurant Base (Hidden)'!$C$2:$C$1048576,0),MATCH(K$6,'Restaurant Base (Hidden)'!$A$1:$Z$1,0)),"")</f>
        <v>0,053</v>
      </c>
      <c r="L16" s="51">
        <f>+IFERROR(INDEX('Restaurant Base (Hidden)'!$A$2:$Z$1048576,MATCH($C16,'Restaurant Base (Hidden)'!$C$2:$C$1048576,0),MATCH(L$6,'Restaurant Base (Hidden)'!$A$1:$Z$1,0)),"")</f>
        <v>5</v>
      </c>
      <c r="M16" s="2" t="str">
        <f>+IFERROR(INDEX('Restaurant Base (Hidden)'!$A$2:$Z$1048576,MATCH($C16,'Restaurant Base (Hidden)'!$C$2:$C$1048576,0),MATCH(M$6,'Restaurant Base (Hidden)'!$A$1:$Z$1,0)),"")</f>
        <v/>
      </c>
      <c r="N16" s="234" t="str">
        <f>+IFERROR(INDEX('Restaurant Base (Hidden)'!$A$2:$Z$1048576,MATCH($C16,'Restaurant Base (Hidden)'!$C$2:$C$1048576,0),MATCH(N$6,'Restaurant Base (Hidden)'!$A$1:$Z$1,0)),"")</f>
        <v>79,70 %</v>
      </c>
      <c r="O16" s="1">
        <f>+IFERROR(INDEX('Restaurant Base (Hidden)'!$A$2:$Z$1048576,MATCH($C16,'Restaurant Base (Hidden)'!$C$2:$C$1048576,0),MATCH(O$6,'Restaurant Base (Hidden)'!$A$1:$Z$1,0)),"")</f>
        <v>5</v>
      </c>
      <c r="P16" s="2" t="str">
        <f>+IFERROR(INDEX('Restaurant Base (Hidden)'!$A$2:$Z$1048576,MATCH($C16,'Restaurant Base (Hidden)'!$C$2:$C$1048576,0),MATCH(P$6,'Restaurant Base (Hidden)'!$A$1:$Z$1,0)),"")</f>
        <v/>
      </c>
      <c r="Q16" s="234" t="str">
        <f>+IFERROR(INDEX('Restaurant Base (Hidden)'!$A$2:$Z$1048576,MATCH($C16,'Restaurant Base (Hidden)'!$C$2:$C$1048576,0),MATCH(Q$6,'Restaurant Base (Hidden)'!$A$1:$Z$1,0)),"")</f>
        <v>69,40 %</v>
      </c>
      <c r="R16" s="1">
        <f>+IFERROR(INDEX('Restaurant Base (Hidden)'!$A$2:$Z$1048576,MATCH($C16,'Restaurant Base (Hidden)'!$C$2:$C$1048576,0),MATCH(R$6,'Restaurant Base (Hidden)'!$A$1:$Z$1,0)),"")</f>
        <v>4</v>
      </c>
      <c r="S16" s="2" t="str">
        <f>+IFERROR(INDEX('Restaurant Base (Hidden)'!$A$2:$Z$1048576,MATCH($C16,'Restaurant Base (Hidden)'!$C$2:$C$1048576,0),MATCH(S$6,'Restaurant Base (Hidden)'!$A$1:$Z$1,0)),"")</f>
        <v/>
      </c>
      <c r="T16" s="62">
        <f>+IFERROR(INDEX('Restaurant Base (Hidden)'!$A$2:$Z$1048576,MATCH($C16,'Restaurant Base (Hidden)'!$C$2:$C$1048576,0),MATCH(T$6,'Restaurant Base (Hidden)'!$A$1:$Z$1,0)),"")</f>
        <v>64.099999999999994</v>
      </c>
      <c r="U16" s="1">
        <f>+IFERROR(INDEX('Restaurant Base (Hidden)'!$A$2:$Z$1048576,MATCH($C16,'Restaurant Base (Hidden)'!$C$2:$C$1048576,0),MATCH(U$6,'Restaurant Base (Hidden)'!$A$1:$Z$1,0)),"")</f>
        <v>4</v>
      </c>
      <c r="V16" s="2" t="str">
        <f>+IFERROR(INDEX('Restaurant Base (Hidden)'!$A$2:$Z$1048576,MATCH($C16,'Restaurant Base (Hidden)'!$C$2:$C$1048576,0),MATCH(V$6,'Restaurant Base (Hidden)'!$A$1:$Z$1,0)),"")</f>
        <v/>
      </c>
      <c r="W16" s="65" t="str">
        <f>+IFERROR(INDEX('Restaurant Base (Hidden)'!$A$2:$Z$1048576,MATCH($C16,'Restaurant Base (Hidden)'!$C$2:$C$1048576,0),MATCH(W$6,'Restaurant Base (Hidden)'!$A$1:$Z$1,0)),"")</f>
        <v>67,50 %</v>
      </c>
      <c r="X16" s="1">
        <f>+IFERROR(INDEX('Restaurant Base (Hidden)'!$A$2:$Z$1048576,MATCH($C16,'Restaurant Base (Hidden)'!$C$2:$C$1048576,0),MATCH(X$6,'Restaurant Base (Hidden)'!$A$1:$Z$1,0)),"")</f>
        <v>2</v>
      </c>
      <c r="Y16" s="65" t="str">
        <f>+IFERROR(INDEX('Restaurant Base (Hidden)'!$A$2:$Z$1048576,MATCH($C16,'Restaurant Base (Hidden)'!$C$2:$C$1048576,0),MATCH(Y$6,'Restaurant Base (Hidden)'!$A$1:$Z$1,0)),"")</f>
        <v>85,90 %</v>
      </c>
      <c r="Z16" s="106">
        <f>+IFERROR(INDEX('Restaurant Base (Hidden)'!$A$2:$Z$1048576,MATCH($C16,'Restaurant Base (Hidden)'!$C$2:$C$1048576,0),MATCH(Z$6,'Restaurant Base (Hidden)'!$A$1:$Z$1,0)),"")</f>
        <v>3</v>
      </c>
      <c r="AA16" s="65" t="str">
        <f>+IFERROR(INDEX('Restaurant Base (Hidden)'!$A$2:$Z$1048576,MATCH($C16,'Restaurant Base (Hidden)'!$C$2:$C$1048576,0),MATCH(AA$6,'Restaurant Base (Hidden)'!$A$1:$Z$1,0)),"")</f>
        <v>96,50 %</v>
      </c>
      <c r="AB16" s="1">
        <f>+IFERROR(INDEX('Restaurant Base (Hidden)'!$A$2:$Z$1048576,MATCH($C16,'Restaurant Base (Hidden)'!$C$2:$C$1048576,0),MATCH(AB$6,'Restaurant Base (Hidden)'!$A$1:$Z$1,0)),"")</f>
        <v>4</v>
      </c>
      <c r="AC16" s="20" t="str">
        <f>+IFERROR(INDEX('Restaurant Base (Hidden)'!$A$2:$Z$1048576,MATCH($C16,'Restaurant Base (Hidden)'!$C$2:$C$1048576,0),MATCH(AC$6,'Restaurant Base (Hidden)'!$A$1:$Z$1,0)),"")</f>
        <v/>
      </c>
      <c r="AD16" s="65" t="str">
        <f>+IFERROR(INDEX('Restaurant Base (Hidden)'!$A$2:$Z$1048576,MATCH($C16,'Restaurant Base (Hidden)'!$C$2:$C$1048576,0),MATCH(AD$6,'Restaurant Base (Hidden)'!$A$1:$Z$1,0)),"")</f>
        <v>89,60 %</v>
      </c>
      <c r="AE16" s="1">
        <f>+IFERROR(INDEX('Restaurant Base (Hidden)'!$A$2:$Z$1048576,MATCH($C16,'Restaurant Base (Hidden)'!$C$2:$C$1048576,0),MATCH(AE$6,'Restaurant Base (Hidden)'!$A$1:$Z$1,0)),"")</f>
        <v>4</v>
      </c>
      <c r="AF16" s="65" t="str">
        <f>+IFERROR(INDEX('Restaurant Base (Hidden)'!$A$2:$Z$1048576,MATCH($C16,'Restaurant Base (Hidden)'!$C$2:$C$1048576,0),MATCH(AF$6,'Restaurant Base (Hidden)'!$A$1:$Z$1,0)),"")</f>
        <v>73,30 %</v>
      </c>
      <c r="AG16" s="1">
        <f>+IFERROR(INDEX('Restaurant Base (Hidden)'!$A$2:$Z$1048576,MATCH($C16,'Restaurant Base (Hidden)'!$C$2:$C$1048576,0),MATCH(AG$6,'Restaurant Base (Hidden)'!$A$1:$Z$1,0)),"")</f>
        <v>1</v>
      </c>
    </row>
    <row r="17" spans="1:33" x14ac:dyDescent="0.4">
      <c r="A17" s="163" t="str">
        <f>IF('Restaurant Base (Hidden)'!A129=0,"", 'Restaurant Base (Hidden)'!A129)</f>
        <v>Kendall Prescott</v>
      </c>
      <c r="B17" s="163" t="str">
        <f>IF('Restaurant Base (Hidden)'!B129=0,"", 'Restaurant Base (Hidden)'!B129)</f>
        <v>Rivermark Food Group</v>
      </c>
      <c r="C17" s="163" t="str">
        <f>IF('Restaurant Base (Hidden)'!C129=0,"", 'Restaurant Base (Hidden)'!C129)</f>
        <v>Lunar Park</v>
      </c>
      <c r="D17" s="104">
        <f t="shared" si="0"/>
        <v>11</v>
      </c>
      <c r="E17" s="105">
        <f>+IFERROR(INDEX('Restaurant Base (Hidden)'!$A$2:$Z$1048576,MATCH($C17,'Restaurant Base (Hidden)'!$C$2:$C$1048576,0),MATCH(E$6,'Restaurant Base (Hidden)'!$A$1:$Z$1,0)),"")</f>
        <v>3.82</v>
      </c>
      <c r="F17" s="2" t="str">
        <f>+IFERROR(INDEX('Restaurant Base (Hidden)'!$A$2:$Z$1048576,MATCH($C17,'Restaurant Base (Hidden)'!$C$2:$C$1048576,0),MATCH(F$6,'Restaurant Base (Hidden)'!$A$1:$Z$1,0)),"")</f>
        <v/>
      </c>
      <c r="G17" s="20" t="str">
        <f>+IFERROR(INDEX('Restaurant Base (Hidden)'!$A$2:$Z$1048576,MATCH($C17,'Restaurant Base (Hidden)'!$C$2:$C$1048576,0),MATCH(G$6,'Restaurant Base (Hidden)'!$A$1:$Z$1,0)),"")</f>
        <v>4,764</v>
      </c>
      <c r="H17" s="50">
        <f>+IFERROR(INDEX('Restaurant Base (Hidden)'!$A$2:$Z$1048576,MATCH($C17,'Restaurant Base (Hidden)'!$C$2:$C$1048576,0),MATCH(H$6,'Restaurant Base (Hidden)'!$A$1:$Z$1,0)),"")</f>
        <v>5</v>
      </c>
      <c r="I17" s="20" t="str">
        <f>+IFERROR(INDEX('Restaurant Base (Hidden)'!$A$2:$Z$1048576,MATCH($C17,'Restaurant Base (Hidden)'!$C$2:$C$1048576,0),MATCH(I$6,'Restaurant Base (Hidden)'!$A$1:$Z$1,0)),"")</f>
        <v>96,50 %</v>
      </c>
      <c r="J17" s="49">
        <f>+IFERROR(INDEX('Restaurant Base (Hidden)'!$A$2:$Z$1048576,MATCH($C17,'Restaurant Base (Hidden)'!$C$2:$C$1048576,0),MATCH(J$6,'Restaurant Base (Hidden)'!$A$1:$Z$1,0)),"")</f>
        <v>5</v>
      </c>
      <c r="K17" s="20" t="str">
        <f>+IFERROR(INDEX('Restaurant Base (Hidden)'!$A$2:$Z$1048576,MATCH($C17,'Restaurant Base (Hidden)'!$C$2:$C$1048576,0),MATCH(K$6,'Restaurant Base (Hidden)'!$A$1:$Z$1,0)),"")</f>
        <v>0,144</v>
      </c>
      <c r="L17" s="51">
        <f>+IFERROR(INDEX('Restaurant Base (Hidden)'!$A$2:$Z$1048576,MATCH($C17,'Restaurant Base (Hidden)'!$C$2:$C$1048576,0),MATCH(L$6,'Restaurant Base (Hidden)'!$A$1:$Z$1,0)),"")</f>
        <v>2</v>
      </c>
      <c r="M17" s="2" t="str">
        <f>+IFERROR(INDEX('Restaurant Base (Hidden)'!$A$2:$Z$1048576,MATCH($C17,'Restaurant Base (Hidden)'!$C$2:$C$1048576,0),MATCH(M$6,'Restaurant Base (Hidden)'!$A$1:$Z$1,0)),"")</f>
        <v/>
      </c>
      <c r="N17" s="234" t="str">
        <f>+IFERROR(INDEX('Restaurant Base (Hidden)'!$A$2:$Z$1048576,MATCH($C17,'Restaurant Base (Hidden)'!$C$2:$C$1048576,0),MATCH(N$6,'Restaurant Base (Hidden)'!$A$1:$Z$1,0)),"")</f>
        <v>94,90 %</v>
      </c>
      <c r="O17" s="1">
        <f>+IFERROR(INDEX('Restaurant Base (Hidden)'!$A$2:$Z$1048576,MATCH($C17,'Restaurant Base (Hidden)'!$C$2:$C$1048576,0),MATCH(O$6,'Restaurant Base (Hidden)'!$A$1:$Z$1,0)),"")</f>
        <v>5</v>
      </c>
      <c r="P17" s="2" t="str">
        <f>+IFERROR(INDEX('Restaurant Base (Hidden)'!$A$2:$Z$1048576,MATCH($C17,'Restaurant Base (Hidden)'!$C$2:$C$1048576,0),MATCH(P$6,'Restaurant Base (Hidden)'!$A$1:$Z$1,0)),"")</f>
        <v/>
      </c>
      <c r="Q17" s="234" t="str">
        <f>+IFERROR(INDEX('Restaurant Base (Hidden)'!$A$2:$Z$1048576,MATCH($C17,'Restaurant Base (Hidden)'!$C$2:$C$1048576,0),MATCH(Q$6,'Restaurant Base (Hidden)'!$A$1:$Z$1,0)),"")</f>
        <v>65,70 %</v>
      </c>
      <c r="R17" s="1">
        <f>+IFERROR(INDEX('Restaurant Base (Hidden)'!$A$2:$Z$1048576,MATCH($C17,'Restaurant Base (Hidden)'!$C$2:$C$1048576,0),MATCH(R$6,'Restaurant Base (Hidden)'!$A$1:$Z$1,0)),"")</f>
        <v>3</v>
      </c>
      <c r="S17" s="2" t="str">
        <f>+IFERROR(INDEX('Restaurant Base (Hidden)'!$A$2:$Z$1048576,MATCH($C17,'Restaurant Base (Hidden)'!$C$2:$C$1048576,0),MATCH(S$6,'Restaurant Base (Hidden)'!$A$1:$Z$1,0)),"")</f>
        <v/>
      </c>
      <c r="T17" s="62">
        <f>+IFERROR(INDEX('Restaurant Base (Hidden)'!$A$2:$Z$1048576,MATCH($C17,'Restaurant Base (Hidden)'!$C$2:$C$1048576,0),MATCH(T$6,'Restaurant Base (Hidden)'!$A$1:$Z$1,0)),"")</f>
        <v>70.3</v>
      </c>
      <c r="U17" s="1">
        <f>+IFERROR(INDEX('Restaurant Base (Hidden)'!$A$2:$Z$1048576,MATCH($C17,'Restaurant Base (Hidden)'!$C$2:$C$1048576,0),MATCH(U$6,'Restaurant Base (Hidden)'!$A$1:$Z$1,0)),"")</f>
        <v>5</v>
      </c>
      <c r="V17" s="2" t="str">
        <f>+IFERROR(INDEX('Restaurant Base (Hidden)'!$A$2:$Z$1048576,MATCH($C17,'Restaurant Base (Hidden)'!$C$2:$C$1048576,0),MATCH(V$6,'Restaurant Base (Hidden)'!$A$1:$Z$1,0)),"")</f>
        <v/>
      </c>
      <c r="W17" s="65" t="str">
        <f>+IFERROR(INDEX('Restaurant Base (Hidden)'!$A$2:$Z$1048576,MATCH($C17,'Restaurant Base (Hidden)'!$C$2:$C$1048576,0),MATCH(W$6,'Restaurant Base (Hidden)'!$A$1:$Z$1,0)),"")</f>
        <v>95,30 %</v>
      </c>
      <c r="X17" s="1">
        <f>+IFERROR(INDEX('Restaurant Base (Hidden)'!$A$2:$Z$1048576,MATCH($C17,'Restaurant Base (Hidden)'!$C$2:$C$1048576,0),MATCH(X$6,'Restaurant Base (Hidden)'!$A$1:$Z$1,0)),"")</f>
        <v>4</v>
      </c>
      <c r="Y17" s="65" t="str">
        <f>+IFERROR(INDEX('Restaurant Base (Hidden)'!$A$2:$Z$1048576,MATCH($C17,'Restaurant Base (Hidden)'!$C$2:$C$1048576,0),MATCH(Y$6,'Restaurant Base (Hidden)'!$A$1:$Z$1,0)),"")</f>
        <v>63,40 %</v>
      </c>
      <c r="Z17" s="106">
        <f>+IFERROR(INDEX('Restaurant Base (Hidden)'!$A$2:$Z$1048576,MATCH($C17,'Restaurant Base (Hidden)'!$C$2:$C$1048576,0),MATCH(Z$6,'Restaurant Base (Hidden)'!$A$1:$Z$1,0)),"")</f>
        <v>2</v>
      </c>
      <c r="AA17" s="65" t="str">
        <f>+IFERROR(INDEX('Restaurant Base (Hidden)'!$A$2:$Z$1048576,MATCH($C17,'Restaurant Base (Hidden)'!$C$2:$C$1048576,0),MATCH(AA$6,'Restaurant Base (Hidden)'!$A$1:$Z$1,0)),"")</f>
        <v>85,90 %</v>
      </c>
      <c r="AB17" s="1">
        <f>+IFERROR(INDEX('Restaurant Base (Hidden)'!$A$2:$Z$1048576,MATCH($C17,'Restaurant Base (Hidden)'!$C$2:$C$1048576,0),MATCH(AB$6,'Restaurant Base (Hidden)'!$A$1:$Z$1,0)),"")</f>
        <v>3</v>
      </c>
      <c r="AC17" s="20" t="str">
        <f>+IFERROR(INDEX('Restaurant Base (Hidden)'!$A$2:$Z$1048576,MATCH($C17,'Restaurant Base (Hidden)'!$C$2:$C$1048576,0),MATCH(AC$6,'Restaurant Base (Hidden)'!$A$1:$Z$1,0)),"")</f>
        <v/>
      </c>
      <c r="AD17" s="65" t="str">
        <f>+IFERROR(INDEX('Restaurant Base (Hidden)'!$A$2:$Z$1048576,MATCH($C17,'Restaurant Base (Hidden)'!$C$2:$C$1048576,0),MATCH(AD$6,'Restaurant Base (Hidden)'!$A$1:$Z$1,0)),"")</f>
        <v>96,60 %</v>
      </c>
      <c r="AE17" s="1">
        <f>+IFERROR(INDEX('Restaurant Base (Hidden)'!$A$2:$Z$1048576,MATCH($C17,'Restaurant Base (Hidden)'!$C$2:$C$1048576,0),MATCH(AE$6,'Restaurant Base (Hidden)'!$A$1:$Z$1,0)),"")</f>
        <v>5</v>
      </c>
      <c r="AF17" s="65" t="str">
        <f>+IFERROR(INDEX('Restaurant Base (Hidden)'!$A$2:$Z$1048576,MATCH($C17,'Restaurant Base (Hidden)'!$C$2:$C$1048576,0),MATCH(AF$6,'Restaurant Base (Hidden)'!$A$1:$Z$1,0)),"")</f>
        <v>70,20 %</v>
      </c>
      <c r="AG17" s="1">
        <f>+IFERROR(INDEX('Restaurant Base (Hidden)'!$A$2:$Z$1048576,MATCH($C17,'Restaurant Base (Hidden)'!$C$2:$C$1048576,0),MATCH(AG$6,'Restaurant Base (Hidden)'!$A$1:$Z$1,0)),"")</f>
        <v>1</v>
      </c>
    </row>
    <row r="18" spans="1:33" x14ac:dyDescent="0.4">
      <c r="A18" s="163" t="str">
        <f>IF('Restaurant Base (Hidden)'!A360=0,"", 'Restaurant Base (Hidden)'!A360)</f>
        <v>Jordan Oakley</v>
      </c>
      <c r="B18" s="163" t="str">
        <f>IF('Restaurant Base (Hidden)'!B360=0,"", 'Restaurant Base (Hidden)'!B360)</f>
        <v>Elmwood Dining Group</v>
      </c>
      <c r="C18" s="163" t="str">
        <f>IF('Restaurant Base (Hidden)'!C360=0,"", 'Restaurant Base (Hidden)'!C360)</f>
        <v>Northern Place</v>
      </c>
      <c r="D18" s="104">
        <f t="shared" si="0"/>
        <v>11</v>
      </c>
      <c r="E18" s="105">
        <f>+IFERROR(INDEX('Restaurant Base (Hidden)'!$A$2:$Z$1048576,MATCH($C18,'Restaurant Base (Hidden)'!$C$2:$C$1048576,0),MATCH(E$6,'Restaurant Base (Hidden)'!$A$1:$Z$1,0)),"")</f>
        <v>3.82</v>
      </c>
      <c r="F18" s="2" t="str">
        <f>+IFERROR(INDEX('Restaurant Base (Hidden)'!$A$2:$Z$1048576,MATCH($C18,'Restaurant Base (Hidden)'!$C$2:$C$1048576,0),MATCH(F$6,'Restaurant Base (Hidden)'!$A$1:$Z$1,0)),"")</f>
        <v/>
      </c>
      <c r="G18" s="20" t="str">
        <f>+IFERROR(INDEX('Restaurant Base (Hidden)'!$A$2:$Z$1048576,MATCH($C18,'Restaurant Base (Hidden)'!$C$2:$C$1048576,0),MATCH(G$6,'Restaurant Base (Hidden)'!$A$1:$Z$1,0)),"")</f>
        <v>4,464</v>
      </c>
      <c r="H18" s="50">
        <f>+IFERROR(INDEX('Restaurant Base (Hidden)'!$A$2:$Z$1048576,MATCH($C18,'Restaurant Base (Hidden)'!$C$2:$C$1048576,0),MATCH(H$6,'Restaurant Base (Hidden)'!$A$1:$Z$1,0)),"")</f>
        <v>4</v>
      </c>
      <c r="I18" s="20" t="str">
        <f>+IFERROR(INDEX('Restaurant Base (Hidden)'!$A$2:$Z$1048576,MATCH($C18,'Restaurant Base (Hidden)'!$C$2:$C$1048576,0),MATCH(I$6,'Restaurant Base (Hidden)'!$A$1:$Z$1,0)),"")</f>
        <v>80,90 %</v>
      </c>
      <c r="J18" s="49">
        <f>+IFERROR(INDEX('Restaurant Base (Hidden)'!$A$2:$Z$1048576,MATCH($C18,'Restaurant Base (Hidden)'!$C$2:$C$1048576,0),MATCH(J$6,'Restaurant Base (Hidden)'!$A$1:$Z$1,0)),"")</f>
        <v>2</v>
      </c>
      <c r="K18" s="20" t="str">
        <f>+IFERROR(INDEX('Restaurant Base (Hidden)'!$A$2:$Z$1048576,MATCH($C18,'Restaurant Base (Hidden)'!$C$2:$C$1048576,0),MATCH(K$6,'Restaurant Base (Hidden)'!$A$1:$Z$1,0)),"")</f>
        <v>0,099</v>
      </c>
      <c r="L18" s="51">
        <f>+IFERROR(INDEX('Restaurant Base (Hidden)'!$A$2:$Z$1048576,MATCH($C18,'Restaurant Base (Hidden)'!$C$2:$C$1048576,0),MATCH(L$6,'Restaurant Base (Hidden)'!$A$1:$Z$1,0)),"")</f>
        <v>4</v>
      </c>
      <c r="M18" s="2" t="str">
        <f>+IFERROR(INDEX('Restaurant Base (Hidden)'!$A$2:$Z$1048576,MATCH($C18,'Restaurant Base (Hidden)'!$C$2:$C$1048576,0),MATCH(M$6,'Restaurant Base (Hidden)'!$A$1:$Z$1,0)),"")</f>
        <v/>
      </c>
      <c r="N18" s="234" t="str">
        <f>+IFERROR(INDEX('Restaurant Base (Hidden)'!$A$2:$Z$1048576,MATCH($C18,'Restaurant Base (Hidden)'!$C$2:$C$1048576,0),MATCH(N$6,'Restaurant Base (Hidden)'!$A$1:$Z$1,0)),"")</f>
        <v>76,40 %</v>
      </c>
      <c r="O18" s="1">
        <f>+IFERROR(INDEX('Restaurant Base (Hidden)'!$A$2:$Z$1048576,MATCH($C18,'Restaurant Base (Hidden)'!$C$2:$C$1048576,0),MATCH(O$6,'Restaurant Base (Hidden)'!$A$1:$Z$1,0)),"")</f>
        <v>5</v>
      </c>
      <c r="P18" s="2" t="str">
        <f>+IFERROR(INDEX('Restaurant Base (Hidden)'!$A$2:$Z$1048576,MATCH($C18,'Restaurant Base (Hidden)'!$C$2:$C$1048576,0),MATCH(P$6,'Restaurant Base (Hidden)'!$A$1:$Z$1,0)),"")</f>
        <v/>
      </c>
      <c r="Q18" s="234" t="str">
        <f>+IFERROR(INDEX('Restaurant Base (Hidden)'!$A$2:$Z$1048576,MATCH($C18,'Restaurant Base (Hidden)'!$C$2:$C$1048576,0),MATCH(Q$6,'Restaurant Base (Hidden)'!$A$1:$Z$1,0)),"")</f>
        <v>74,20 %</v>
      </c>
      <c r="R18" s="1">
        <f>+IFERROR(INDEX('Restaurant Base (Hidden)'!$A$2:$Z$1048576,MATCH($C18,'Restaurant Base (Hidden)'!$C$2:$C$1048576,0),MATCH(R$6,'Restaurant Base (Hidden)'!$A$1:$Z$1,0)),"")</f>
        <v>5</v>
      </c>
      <c r="S18" s="2" t="str">
        <f>+IFERROR(INDEX('Restaurant Base (Hidden)'!$A$2:$Z$1048576,MATCH($C18,'Restaurant Base (Hidden)'!$C$2:$C$1048576,0),MATCH(S$6,'Restaurant Base (Hidden)'!$A$1:$Z$1,0)),"")</f>
        <v/>
      </c>
      <c r="T18" s="62">
        <f>+IFERROR(INDEX('Restaurant Base (Hidden)'!$A$2:$Z$1048576,MATCH($C18,'Restaurant Base (Hidden)'!$C$2:$C$1048576,0),MATCH(T$6,'Restaurant Base (Hidden)'!$A$1:$Z$1,0)),"")</f>
        <v>69.599999999999994</v>
      </c>
      <c r="U18" s="1">
        <f>+IFERROR(INDEX('Restaurant Base (Hidden)'!$A$2:$Z$1048576,MATCH($C18,'Restaurant Base (Hidden)'!$C$2:$C$1048576,0),MATCH(U$6,'Restaurant Base (Hidden)'!$A$1:$Z$1,0)),"")</f>
        <v>5</v>
      </c>
      <c r="V18" s="2" t="str">
        <f>+IFERROR(INDEX('Restaurant Base (Hidden)'!$A$2:$Z$1048576,MATCH($C18,'Restaurant Base (Hidden)'!$C$2:$C$1048576,0),MATCH(V$6,'Restaurant Base (Hidden)'!$A$1:$Z$1,0)),"")</f>
        <v/>
      </c>
      <c r="W18" s="65" t="str">
        <f>+IFERROR(INDEX('Restaurant Base (Hidden)'!$A$2:$Z$1048576,MATCH($C18,'Restaurant Base (Hidden)'!$C$2:$C$1048576,0),MATCH(W$6,'Restaurant Base (Hidden)'!$A$1:$Z$1,0)),"")</f>
        <v>98,90 %</v>
      </c>
      <c r="X18" s="1">
        <f>+IFERROR(INDEX('Restaurant Base (Hidden)'!$A$2:$Z$1048576,MATCH($C18,'Restaurant Base (Hidden)'!$C$2:$C$1048576,0),MATCH(X$6,'Restaurant Base (Hidden)'!$A$1:$Z$1,0)),"")</f>
        <v>5</v>
      </c>
      <c r="Y18" s="65" t="str">
        <f>+IFERROR(INDEX('Restaurant Base (Hidden)'!$A$2:$Z$1048576,MATCH($C18,'Restaurant Base (Hidden)'!$C$2:$C$1048576,0),MATCH(Y$6,'Restaurant Base (Hidden)'!$A$1:$Z$1,0)),"")</f>
        <v>84,90 %</v>
      </c>
      <c r="Z18" s="106">
        <f>+IFERROR(INDEX('Restaurant Base (Hidden)'!$A$2:$Z$1048576,MATCH($C18,'Restaurant Base (Hidden)'!$C$2:$C$1048576,0),MATCH(Z$6,'Restaurant Base (Hidden)'!$A$1:$Z$1,0)),"")</f>
        <v>3</v>
      </c>
      <c r="AA18" s="65" t="str">
        <f>+IFERROR(INDEX('Restaurant Base (Hidden)'!$A$2:$Z$1048576,MATCH($C18,'Restaurant Base (Hidden)'!$C$2:$C$1048576,0),MATCH(AA$6,'Restaurant Base (Hidden)'!$A$1:$Z$1,0)),"")</f>
        <v>90,10 %</v>
      </c>
      <c r="AB18" s="1">
        <f>+IFERROR(INDEX('Restaurant Base (Hidden)'!$A$2:$Z$1048576,MATCH($C18,'Restaurant Base (Hidden)'!$C$2:$C$1048576,0),MATCH(AB$6,'Restaurant Base (Hidden)'!$A$1:$Z$1,0)),"")</f>
        <v>3</v>
      </c>
      <c r="AC18" s="20" t="str">
        <f>+IFERROR(INDEX('Restaurant Base (Hidden)'!$A$2:$Z$1048576,MATCH($C18,'Restaurant Base (Hidden)'!$C$2:$C$1048576,0),MATCH(AC$6,'Restaurant Base (Hidden)'!$A$1:$Z$1,0)),"")</f>
        <v/>
      </c>
      <c r="AD18" s="65" t="str">
        <f>+IFERROR(INDEX('Restaurant Base (Hidden)'!$A$2:$Z$1048576,MATCH($C18,'Restaurant Base (Hidden)'!$C$2:$C$1048576,0),MATCH(AD$6,'Restaurant Base (Hidden)'!$A$1:$Z$1,0)),"")</f>
        <v>70,60 %</v>
      </c>
      <c r="AE18" s="1">
        <f>+IFERROR(INDEX('Restaurant Base (Hidden)'!$A$2:$Z$1048576,MATCH($C18,'Restaurant Base (Hidden)'!$C$2:$C$1048576,0),MATCH(AE$6,'Restaurant Base (Hidden)'!$A$1:$Z$1,0)),"")</f>
        <v>1</v>
      </c>
      <c r="AF18" s="65" t="str">
        <f>+IFERROR(INDEX('Restaurant Base (Hidden)'!$A$2:$Z$1048576,MATCH($C18,'Restaurant Base (Hidden)'!$C$2:$C$1048576,0),MATCH(AF$6,'Restaurant Base (Hidden)'!$A$1:$Z$1,0)),"")</f>
        <v>97,20 %</v>
      </c>
      <c r="AG18" s="1">
        <f>+IFERROR(INDEX('Restaurant Base (Hidden)'!$A$2:$Z$1048576,MATCH($C18,'Restaurant Base (Hidden)'!$C$2:$C$1048576,0),MATCH(AG$6,'Restaurant Base (Hidden)'!$A$1:$Z$1,0)),"")</f>
        <v>4</v>
      </c>
    </row>
    <row r="19" spans="1:33" x14ac:dyDescent="0.4">
      <c r="A19" s="163" t="str">
        <f>IF('Restaurant Base (Hidden)'!A162=0,"", 'Restaurant Base (Hidden)'!A162)</f>
        <v>Quinn Westbrook</v>
      </c>
      <c r="B19" s="163" t="str">
        <f>IF('Restaurant Base (Hidden)'!B162=0,"", 'Restaurant Base (Hidden)'!B162)</f>
        <v>Northstar Dining Group</v>
      </c>
      <c r="C19" s="163" t="str">
        <f>IF('Restaurant Base (Hidden)'!C162=0,"", 'Restaurant Base (Hidden)'!C162)</f>
        <v>Emerald Quay</v>
      </c>
      <c r="D19" s="104">
        <f t="shared" si="0"/>
        <v>13</v>
      </c>
      <c r="E19" s="105">
        <f>+IFERROR(INDEX('Restaurant Base (Hidden)'!$A$2:$Z$1048576,MATCH($C19,'Restaurant Base (Hidden)'!$C$2:$C$1048576,0),MATCH(E$6,'Restaurant Base (Hidden)'!$A$1:$Z$1,0)),"")</f>
        <v>3.81</v>
      </c>
      <c r="F19" s="2" t="str">
        <f>+IFERROR(INDEX('Restaurant Base (Hidden)'!$A$2:$Z$1048576,MATCH($C19,'Restaurant Base (Hidden)'!$C$2:$C$1048576,0),MATCH(F$6,'Restaurant Base (Hidden)'!$A$1:$Z$1,0)),"")</f>
        <v/>
      </c>
      <c r="G19" s="20" t="str">
        <f>+IFERROR(INDEX('Restaurant Base (Hidden)'!$A$2:$Z$1048576,MATCH($C19,'Restaurant Base (Hidden)'!$C$2:$C$1048576,0),MATCH(G$6,'Restaurant Base (Hidden)'!$A$1:$Z$1,0)),"")</f>
        <v>4,020</v>
      </c>
      <c r="H19" s="50">
        <f>+IFERROR(INDEX('Restaurant Base (Hidden)'!$A$2:$Z$1048576,MATCH($C19,'Restaurant Base (Hidden)'!$C$2:$C$1048576,0),MATCH(H$6,'Restaurant Base (Hidden)'!$A$1:$Z$1,0)),"")</f>
        <v>1</v>
      </c>
      <c r="I19" s="20" t="str">
        <f>+IFERROR(INDEX('Restaurant Base (Hidden)'!$A$2:$Z$1048576,MATCH($C19,'Restaurant Base (Hidden)'!$C$2:$C$1048576,0),MATCH(I$6,'Restaurant Base (Hidden)'!$A$1:$Z$1,0)),"")</f>
        <v>99,20 %</v>
      </c>
      <c r="J19" s="49">
        <f>+IFERROR(INDEX('Restaurant Base (Hidden)'!$A$2:$Z$1048576,MATCH($C19,'Restaurant Base (Hidden)'!$C$2:$C$1048576,0),MATCH(J$6,'Restaurant Base (Hidden)'!$A$1:$Z$1,0)),"")</f>
        <v>5</v>
      </c>
      <c r="K19" s="20" t="str">
        <f>+IFERROR(INDEX('Restaurant Base (Hidden)'!$A$2:$Z$1048576,MATCH($C19,'Restaurant Base (Hidden)'!$C$2:$C$1048576,0),MATCH(K$6,'Restaurant Base (Hidden)'!$A$1:$Z$1,0)),"")</f>
        <v>0,119</v>
      </c>
      <c r="L19" s="51">
        <f>+IFERROR(INDEX('Restaurant Base (Hidden)'!$A$2:$Z$1048576,MATCH($C19,'Restaurant Base (Hidden)'!$C$2:$C$1048576,0),MATCH(L$6,'Restaurant Base (Hidden)'!$A$1:$Z$1,0)),"")</f>
        <v>3</v>
      </c>
      <c r="M19" s="2" t="str">
        <f>+IFERROR(INDEX('Restaurant Base (Hidden)'!$A$2:$Z$1048576,MATCH($C19,'Restaurant Base (Hidden)'!$C$2:$C$1048576,0),MATCH(M$6,'Restaurant Base (Hidden)'!$A$1:$Z$1,0)),"")</f>
        <v/>
      </c>
      <c r="N19" s="234" t="str">
        <f>+IFERROR(INDEX('Restaurant Base (Hidden)'!$A$2:$Z$1048576,MATCH($C19,'Restaurant Base (Hidden)'!$C$2:$C$1048576,0),MATCH(N$6,'Restaurant Base (Hidden)'!$A$1:$Z$1,0)),"")</f>
        <v>87,70 %</v>
      </c>
      <c r="O19" s="1">
        <f>+IFERROR(INDEX('Restaurant Base (Hidden)'!$A$2:$Z$1048576,MATCH($C19,'Restaurant Base (Hidden)'!$C$2:$C$1048576,0),MATCH(O$6,'Restaurant Base (Hidden)'!$A$1:$Z$1,0)),"")</f>
        <v>5</v>
      </c>
      <c r="P19" s="2" t="str">
        <f>+IFERROR(INDEX('Restaurant Base (Hidden)'!$A$2:$Z$1048576,MATCH($C19,'Restaurant Base (Hidden)'!$C$2:$C$1048576,0),MATCH(P$6,'Restaurant Base (Hidden)'!$A$1:$Z$1,0)),"")</f>
        <v/>
      </c>
      <c r="Q19" s="234" t="str">
        <f>+IFERROR(INDEX('Restaurant Base (Hidden)'!$A$2:$Z$1048576,MATCH($C19,'Restaurant Base (Hidden)'!$C$2:$C$1048576,0),MATCH(Q$6,'Restaurant Base (Hidden)'!$A$1:$Z$1,0)),"")</f>
        <v>78,50 %</v>
      </c>
      <c r="R19" s="1">
        <f>+IFERROR(INDEX('Restaurant Base (Hidden)'!$A$2:$Z$1048576,MATCH($C19,'Restaurant Base (Hidden)'!$C$2:$C$1048576,0),MATCH(R$6,'Restaurant Base (Hidden)'!$A$1:$Z$1,0)),"")</f>
        <v>5</v>
      </c>
      <c r="S19" s="2" t="str">
        <f>+IFERROR(INDEX('Restaurant Base (Hidden)'!$A$2:$Z$1048576,MATCH($C19,'Restaurant Base (Hidden)'!$C$2:$C$1048576,0),MATCH(S$6,'Restaurant Base (Hidden)'!$A$1:$Z$1,0)),"")</f>
        <v/>
      </c>
      <c r="T19" s="62">
        <f>+IFERROR(INDEX('Restaurant Base (Hidden)'!$A$2:$Z$1048576,MATCH($C19,'Restaurant Base (Hidden)'!$C$2:$C$1048576,0),MATCH(T$6,'Restaurant Base (Hidden)'!$A$1:$Z$1,0)),"")</f>
        <v>74.3</v>
      </c>
      <c r="U19" s="1">
        <f>+IFERROR(INDEX('Restaurant Base (Hidden)'!$A$2:$Z$1048576,MATCH($C19,'Restaurant Base (Hidden)'!$C$2:$C$1048576,0),MATCH(U$6,'Restaurant Base (Hidden)'!$A$1:$Z$1,0)),"")</f>
        <v>5</v>
      </c>
      <c r="V19" s="2" t="str">
        <f>+IFERROR(INDEX('Restaurant Base (Hidden)'!$A$2:$Z$1048576,MATCH($C19,'Restaurant Base (Hidden)'!$C$2:$C$1048576,0),MATCH(V$6,'Restaurant Base (Hidden)'!$A$1:$Z$1,0)),"")</f>
        <v/>
      </c>
      <c r="W19" s="65" t="str">
        <f>+IFERROR(INDEX('Restaurant Base (Hidden)'!$A$2:$Z$1048576,MATCH($C19,'Restaurant Base (Hidden)'!$C$2:$C$1048576,0),MATCH(W$6,'Restaurant Base (Hidden)'!$A$1:$Z$1,0)),"")</f>
        <v>97,80 %</v>
      </c>
      <c r="X19" s="1">
        <f>+IFERROR(INDEX('Restaurant Base (Hidden)'!$A$2:$Z$1048576,MATCH($C19,'Restaurant Base (Hidden)'!$C$2:$C$1048576,0),MATCH(X$6,'Restaurant Base (Hidden)'!$A$1:$Z$1,0)),"")</f>
        <v>5</v>
      </c>
      <c r="Y19" s="65" t="str">
        <f>+IFERROR(INDEX('Restaurant Base (Hidden)'!$A$2:$Z$1048576,MATCH($C19,'Restaurant Base (Hidden)'!$C$2:$C$1048576,0),MATCH(Y$6,'Restaurant Base (Hidden)'!$A$1:$Z$1,0)),"")</f>
        <v>86,80 %</v>
      </c>
      <c r="Z19" s="106">
        <f>+IFERROR(INDEX('Restaurant Base (Hidden)'!$A$2:$Z$1048576,MATCH($C19,'Restaurant Base (Hidden)'!$C$2:$C$1048576,0),MATCH(Z$6,'Restaurant Base (Hidden)'!$A$1:$Z$1,0)),"")</f>
        <v>3</v>
      </c>
      <c r="AA19" s="65" t="str">
        <f>+IFERROR(INDEX('Restaurant Base (Hidden)'!$A$2:$Z$1048576,MATCH($C19,'Restaurant Base (Hidden)'!$C$2:$C$1048576,0),MATCH(AA$6,'Restaurant Base (Hidden)'!$A$1:$Z$1,0)),"")</f>
        <v>80,50 %</v>
      </c>
      <c r="AB19" s="1">
        <f>+IFERROR(INDEX('Restaurant Base (Hidden)'!$A$2:$Z$1048576,MATCH($C19,'Restaurant Base (Hidden)'!$C$2:$C$1048576,0),MATCH(AB$6,'Restaurant Base (Hidden)'!$A$1:$Z$1,0)),"")</f>
        <v>2</v>
      </c>
      <c r="AC19" s="20" t="str">
        <f>+IFERROR(INDEX('Restaurant Base (Hidden)'!$A$2:$Z$1048576,MATCH($C19,'Restaurant Base (Hidden)'!$C$2:$C$1048576,0),MATCH(AC$6,'Restaurant Base (Hidden)'!$A$1:$Z$1,0)),"")</f>
        <v/>
      </c>
      <c r="AD19" s="65" t="str">
        <f>+IFERROR(INDEX('Restaurant Base (Hidden)'!$A$2:$Z$1048576,MATCH($C19,'Restaurant Base (Hidden)'!$C$2:$C$1048576,0),MATCH(AD$6,'Restaurant Base (Hidden)'!$A$1:$Z$1,0)),"")</f>
        <v>79,60 %</v>
      </c>
      <c r="AE19" s="1">
        <f>+IFERROR(INDEX('Restaurant Base (Hidden)'!$A$2:$Z$1048576,MATCH($C19,'Restaurant Base (Hidden)'!$C$2:$C$1048576,0),MATCH(AE$6,'Restaurant Base (Hidden)'!$A$1:$Z$1,0)),"")</f>
        <v>2</v>
      </c>
      <c r="AF19" s="65" t="str">
        <f>+IFERROR(INDEX('Restaurant Base (Hidden)'!$A$2:$Z$1048576,MATCH($C19,'Restaurant Base (Hidden)'!$C$2:$C$1048576,0),MATCH(AF$6,'Restaurant Base (Hidden)'!$A$1:$Z$1,0)),"")</f>
        <v>92,10 %</v>
      </c>
      <c r="AG19" s="1">
        <f>+IFERROR(INDEX('Restaurant Base (Hidden)'!$A$2:$Z$1048576,MATCH($C19,'Restaurant Base (Hidden)'!$C$2:$C$1048576,0),MATCH(AG$6,'Restaurant Base (Hidden)'!$A$1:$Z$1,0)),"")</f>
        <v>3</v>
      </c>
    </row>
    <row r="20" spans="1:33" x14ac:dyDescent="0.4">
      <c r="A20" s="163" t="str">
        <f>IF('Restaurant Base (Hidden)'!A265=0,"", 'Restaurant Base (Hidden)'!A265)</f>
        <v>Casey Briarwood</v>
      </c>
      <c r="B20" s="163" t="str">
        <f>IF('Restaurant Base (Hidden)'!B265=0,"", 'Restaurant Base (Hidden)'!B265)</f>
        <v>Lakeshore Food Partners</v>
      </c>
      <c r="C20" s="163" t="str">
        <f>IF('Restaurant Base (Hidden)'!C265=0,"", 'Restaurant Base (Hidden)'!C265)</f>
        <v>Meadow Heights</v>
      </c>
      <c r="D20" s="104">
        <f t="shared" si="0"/>
        <v>14</v>
      </c>
      <c r="E20" s="105">
        <f>+IFERROR(INDEX('Restaurant Base (Hidden)'!$A$2:$Z$1048576,MATCH($C20,'Restaurant Base (Hidden)'!$C$2:$C$1048576,0),MATCH(E$6,'Restaurant Base (Hidden)'!$A$1:$Z$1,0)),"")</f>
        <v>3.78</v>
      </c>
      <c r="F20" s="2" t="str">
        <f>+IFERROR(INDEX('Restaurant Base (Hidden)'!$A$2:$Z$1048576,MATCH($C20,'Restaurant Base (Hidden)'!$C$2:$C$1048576,0),MATCH(F$6,'Restaurant Base (Hidden)'!$A$1:$Z$1,0)),"")</f>
        <v/>
      </c>
      <c r="G20" s="20" t="str">
        <f>+IFERROR(INDEX('Restaurant Base (Hidden)'!$A$2:$Z$1048576,MATCH($C20,'Restaurant Base (Hidden)'!$C$2:$C$1048576,0),MATCH(G$6,'Restaurant Base (Hidden)'!$A$1:$Z$1,0)),"")</f>
        <v>4,203</v>
      </c>
      <c r="H20" s="50">
        <f>+IFERROR(INDEX('Restaurant Base (Hidden)'!$A$2:$Z$1048576,MATCH($C20,'Restaurant Base (Hidden)'!$C$2:$C$1048576,0),MATCH(H$6,'Restaurant Base (Hidden)'!$A$1:$Z$1,0)),"")</f>
        <v>3</v>
      </c>
      <c r="I20" s="20" t="str">
        <f>+IFERROR(INDEX('Restaurant Base (Hidden)'!$A$2:$Z$1048576,MATCH($C20,'Restaurant Base (Hidden)'!$C$2:$C$1048576,0),MATCH(I$6,'Restaurant Base (Hidden)'!$A$1:$Z$1,0)),"")</f>
        <v>88,00 %</v>
      </c>
      <c r="J20" s="49">
        <f>+IFERROR(INDEX('Restaurant Base (Hidden)'!$A$2:$Z$1048576,MATCH($C20,'Restaurant Base (Hidden)'!$C$2:$C$1048576,0),MATCH(J$6,'Restaurant Base (Hidden)'!$A$1:$Z$1,0)),"")</f>
        <v>4</v>
      </c>
      <c r="K20" s="20" t="str">
        <f>+IFERROR(INDEX('Restaurant Base (Hidden)'!$A$2:$Z$1048576,MATCH($C20,'Restaurant Base (Hidden)'!$C$2:$C$1048576,0),MATCH(K$6,'Restaurant Base (Hidden)'!$A$1:$Z$1,0)),"")</f>
        <v>0,099</v>
      </c>
      <c r="L20" s="51">
        <f>+IFERROR(INDEX('Restaurant Base (Hidden)'!$A$2:$Z$1048576,MATCH($C20,'Restaurant Base (Hidden)'!$C$2:$C$1048576,0),MATCH(L$6,'Restaurant Base (Hidden)'!$A$1:$Z$1,0)),"")</f>
        <v>4</v>
      </c>
      <c r="M20" s="2" t="str">
        <f>+IFERROR(INDEX('Restaurant Base (Hidden)'!$A$2:$Z$1048576,MATCH($C20,'Restaurant Base (Hidden)'!$C$2:$C$1048576,0),MATCH(M$6,'Restaurant Base (Hidden)'!$A$1:$Z$1,0)),"")</f>
        <v/>
      </c>
      <c r="N20" s="234" t="str">
        <f>+IFERROR(INDEX('Restaurant Base (Hidden)'!$A$2:$Z$1048576,MATCH($C20,'Restaurant Base (Hidden)'!$C$2:$C$1048576,0),MATCH(N$6,'Restaurant Base (Hidden)'!$A$1:$Z$1,0)),"")</f>
        <v>94,00 %</v>
      </c>
      <c r="O20" s="1">
        <f>+IFERROR(INDEX('Restaurant Base (Hidden)'!$A$2:$Z$1048576,MATCH($C20,'Restaurant Base (Hidden)'!$C$2:$C$1048576,0),MATCH(O$6,'Restaurant Base (Hidden)'!$A$1:$Z$1,0)),"")</f>
        <v>5</v>
      </c>
      <c r="P20" s="2" t="str">
        <f>+IFERROR(INDEX('Restaurant Base (Hidden)'!$A$2:$Z$1048576,MATCH($C20,'Restaurant Base (Hidden)'!$C$2:$C$1048576,0),MATCH(P$6,'Restaurant Base (Hidden)'!$A$1:$Z$1,0)),"")</f>
        <v/>
      </c>
      <c r="Q20" s="234" t="str">
        <f>+IFERROR(INDEX('Restaurant Base (Hidden)'!$A$2:$Z$1048576,MATCH($C20,'Restaurant Base (Hidden)'!$C$2:$C$1048576,0),MATCH(Q$6,'Restaurant Base (Hidden)'!$A$1:$Z$1,0)),"")</f>
        <v>75,20 %</v>
      </c>
      <c r="R20" s="1">
        <f>+IFERROR(INDEX('Restaurant Base (Hidden)'!$A$2:$Z$1048576,MATCH($C20,'Restaurant Base (Hidden)'!$C$2:$C$1048576,0),MATCH(R$6,'Restaurant Base (Hidden)'!$A$1:$Z$1,0)),"")</f>
        <v>5</v>
      </c>
      <c r="S20" s="2" t="str">
        <f>+IFERROR(INDEX('Restaurant Base (Hidden)'!$A$2:$Z$1048576,MATCH($C20,'Restaurant Base (Hidden)'!$C$2:$C$1048576,0),MATCH(S$6,'Restaurant Base (Hidden)'!$A$1:$Z$1,0)),"")</f>
        <v/>
      </c>
      <c r="T20" s="62">
        <f>+IFERROR(INDEX('Restaurant Base (Hidden)'!$A$2:$Z$1048576,MATCH($C20,'Restaurant Base (Hidden)'!$C$2:$C$1048576,0),MATCH(T$6,'Restaurant Base (Hidden)'!$A$1:$Z$1,0)),"")</f>
        <v>61.7</v>
      </c>
      <c r="U20" s="1">
        <f>+IFERROR(INDEX('Restaurant Base (Hidden)'!$A$2:$Z$1048576,MATCH($C20,'Restaurant Base (Hidden)'!$C$2:$C$1048576,0),MATCH(U$6,'Restaurant Base (Hidden)'!$A$1:$Z$1,0)),"")</f>
        <v>3</v>
      </c>
      <c r="V20" s="2" t="str">
        <f>+IFERROR(INDEX('Restaurant Base (Hidden)'!$A$2:$Z$1048576,MATCH($C20,'Restaurant Base (Hidden)'!$C$2:$C$1048576,0),MATCH(V$6,'Restaurant Base (Hidden)'!$A$1:$Z$1,0)),"")</f>
        <v/>
      </c>
      <c r="W20" s="65" t="str">
        <f>+IFERROR(INDEX('Restaurant Base (Hidden)'!$A$2:$Z$1048576,MATCH($C20,'Restaurant Base (Hidden)'!$C$2:$C$1048576,0),MATCH(W$6,'Restaurant Base (Hidden)'!$A$1:$Z$1,0)),"")</f>
        <v>98,90 %</v>
      </c>
      <c r="X20" s="1">
        <f>+IFERROR(INDEX('Restaurant Base (Hidden)'!$A$2:$Z$1048576,MATCH($C20,'Restaurant Base (Hidden)'!$C$2:$C$1048576,0),MATCH(X$6,'Restaurant Base (Hidden)'!$A$1:$Z$1,0)),"")</f>
        <v>5</v>
      </c>
      <c r="Y20" s="65" t="str">
        <f>+IFERROR(INDEX('Restaurant Base (Hidden)'!$A$2:$Z$1048576,MATCH($C20,'Restaurant Base (Hidden)'!$C$2:$C$1048576,0),MATCH(Y$6,'Restaurant Base (Hidden)'!$A$1:$Z$1,0)),"")</f>
        <v>82,70 %</v>
      </c>
      <c r="Z20" s="106">
        <f>+IFERROR(INDEX('Restaurant Base (Hidden)'!$A$2:$Z$1048576,MATCH($C20,'Restaurant Base (Hidden)'!$C$2:$C$1048576,0),MATCH(Z$6,'Restaurant Base (Hidden)'!$A$1:$Z$1,0)),"")</f>
        <v>3</v>
      </c>
      <c r="AA20" s="65" t="str">
        <f>+IFERROR(INDEX('Restaurant Base (Hidden)'!$A$2:$Z$1048576,MATCH($C20,'Restaurant Base (Hidden)'!$C$2:$C$1048576,0),MATCH(AA$6,'Restaurant Base (Hidden)'!$A$1:$Z$1,0)),"")</f>
        <v>60,50 %</v>
      </c>
      <c r="AB20" s="1">
        <f>+IFERROR(INDEX('Restaurant Base (Hidden)'!$A$2:$Z$1048576,MATCH($C20,'Restaurant Base (Hidden)'!$C$2:$C$1048576,0),MATCH(AB$6,'Restaurant Base (Hidden)'!$A$1:$Z$1,0)),"")</f>
        <v>2</v>
      </c>
      <c r="AC20" s="20" t="str">
        <f>+IFERROR(INDEX('Restaurant Base (Hidden)'!$A$2:$Z$1048576,MATCH($C20,'Restaurant Base (Hidden)'!$C$2:$C$1048576,0),MATCH(AC$6,'Restaurant Base (Hidden)'!$A$1:$Z$1,0)),"")</f>
        <v/>
      </c>
      <c r="AD20" s="65" t="str">
        <f>+IFERROR(INDEX('Restaurant Base (Hidden)'!$A$2:$Z$1048576,MATCH($C20,'Restaurant Base (Hidden)'!$C$2:$C$1048576,0),MATCH(AD$6,'Restaurant Base (Hidden)'!$A$1:$Z$1,0)),"")</f>
        <v>87,40 %</v>
      </c>
      <c r="AE20" s="1">
        <f>+IFERROR(INDEX('Restaurant Base (Hidden)'!$A$2:$Z$1048576,MATCH($C20,'Restaurant Base (Hidden)'!$C$2:$C$1048576,0),MATCH(AE$6,'Restaurant Base (Hidden)'!$A$1:$Z$1,0)),"")</f>
        <v>3</v>
      </c>
      <c r="AF20" s="65" t="str">
        <f>+IFERROR(INDEX('Restaurant Base (Hidden)'!$A$2:$Z$1048576,MATCH($C20,'Restaurant Base (Hidden)'!$C$2:$C$1048576,0),MATCH(AF$6,'Restaurant Base (Hidden)'!$A$1:$Z$1,0)),"")</f>
        <v>84,90 %</v>
      </c>
      <c r="AG20" s="1">
        <f>+IFERROR(INDEX('Restaurant Base (Hidden)'!$A$2:$Z$1048576,MATCH($C20,'Restaurant Base (Hidden)'!$C$2:$C$1048576,0),MATCH(AG$6,'Restaurant Base (Hidden)'!$A$1:$Z$1,0)),"")</f>
        <v>3</v>
      </c>
    </row>
    <row r="21" spans="1:33" x14ac:dyDescent="0.4">
      <c r="A21" s="163" t="str">
        <f>IF('Restaurant Base (Hidden)'!A269=0,"", 'Restaurant Base (Hidden)'!A269)</f>
        <v>Finley Kensington</v>
      </c>
      <c r="B21" s="163" t="str">
        <f>IF('Restaurant Base (Hidden)'!B269=0,"", 'Restaurant Base (Hidden)'!B269)</f>
        <v>Westfield Food Group</v>
      </c>
      <c r="C21" s="163" t="str">
        <f>IF('Restaurant Base (Hidden)'!C269=0,"", 'Restaurant Base (Hidden)'!C269)</f>
        <v>Glen Heath</v>
      </c>
      <c r="D21" s="104">
        <f t="shared" si="0"/>
        <v>14</v>
      </c>
      <c r="E21" s="105">
        <f>+IFERROR(INDEX('Restaurant Base (Hidden)'!$A$2:$Z$1048576,MATCH($C21,'Restaurant Base (Hidden)'!$C$2:$C$1048576,0),MATCH(E$6,'Restaurant Base (Hidden)'!$A$1:$Z$1,0)),"")</f>
        <v>3.78</v>
      </c>
      <c r="F21" s="2" t="str">
        <f>+IFERROR(INDEX('Restaurant Base (Hidden)'!$A$2:$Z$1048576,MATCH($C21,'Restaurant Base (Hidden)'!$C$2:$C$1048576,0),MATCH(F$6,'Restaurant Base (Hidden)'!$A$1:$Z$1,0)),"")</f>
        <v/>
      </c>
      <c r="G21" s="20" t="str">
        <f>+IFERROR(INDEX('Restaurant Base (Hidden)'!$A$2:$Z$1048576,MATCH($C21,'Restaurant Base (Hidden)'!$C$2:$C$1048576,0),MATCH(G$6,'Restaurant Base (Hidden)'!$A$1:$Z$1,0)),"")</f>
        <v>4,263</v>
      </c>
      <c r="H21" s="50">
        <f>+IFERROR(INDEX('Restaurant Base (Hidden)'!$A$2:$Z$1048576,MATCH($C21,'Restaurant Base (Hidden)'!$C$2:$C$1048576,0),MATCH(H$6,'Restaurant Base (Hidden)'!$A$1:$Z$1,0)),"")</f>
        <v>3</v>
      </c>
      <c r="I21" s="20" t="str">
        <f>+IFERROR(INDEX('Restaurant Base (Hidden)'!$A$2:$Z$1048576,MATCH($C21,'Restaurant Base (Hidden)'!$C$2:$C$1048576,0),MATCH(I$6,'Restaurant Base (Hidden)'!$A$1:$Z$1,0)),"")</f>
        <v>86,30 %</v>
      </c>
      <c r="J21" s="49">
        <f>+IFERROR(INDEX('Restaurant Base (Hidden)'!$A$2:$Z$1048576,MATCH($C21,'Restaurant Base (Hidden)'!$C$2:$C$1048576,0),MATCH(J$6,'Restaurant Base (Hidden)'!$A$1:$Z$1,0)),"")</f>
        <v>3</v>
      </c>
      <c r="K21" s="20" t="str">
        <f>+IFERROR(INDEX('Restaurant Base (Hidden)'!$A$2:$Z$1048576,MATCH($C21,'Restaurant Base (Hidden)'!$C$2:$C$1048576,0),MATCH(K$6,'Restaurant Base (Hidden)'!$A$1:$Z$1,0)),"")</f>
        <v>0,104</v>
      </c>
      <c r="L21" s="51">
        <f>+IFERROR(INDEX('Restaurant Base (Hidden)'!$A$2:$Z$1048576,MATCH($C21,'Restaurant Base (Hidden)'!$C$2:$C$1048576,0),MATCH(L$6,'Restaurant Base (Hidden)'!$A$1:$Z$1,0)),"")</f>
        <v>3</v>
      </c>
      <c r="M21" s="2" t="str">
        <f>+IFERROR(INDEX('Restaurant Base (Hidden)'!$A$2:$Z$1048576,MATCH($C21,'Restaurant Base (Hidden)'!$C$2:$C$1048576,0),MATCH(M$6,'Restaurant Base (Hidden)'!$A$1:$Z$1,0)),"")</f>
        <v/>
      </c>
      <c r="N21" s="234" t="str">
        <f>+IFERROR(INDEX('Restaurant Base (Hidden)'!$A$2:$Z$1048576,MATCH($C21,'Restaurant Base (Hidden)'!$C$2:$C$1048576,0),MATCH(N$6,'Restaurant Base (Hidden)'!$A$1:$Z$1,0)),"")</f>
        <v>89,00 %</v>
      </c>
      <c r="O21" s="1">
        <f>+IFERROR(INDEX('Restaurant Base (Hidden)'!$A$2:$Z$1048576,MATCH($C21,'Restaurant Base (Hidden)'!$C$2:$C$1048576,0),MATCH(O$6,'Restaurant Base (Hidden)'!$A$1:$Z$1,0)),"")</f>
        <v>5</v>
      </c>
      <c r="P21" s="2" t="str">
        <f>+IFERROR(INDEX('Restaurant Base (Hidden)'!$A$2:$Z$1048576,MATCH($C21,'Restaurant Base (Hidden)'!$C$2:$C$1048576,0),MATCH(P$6,'Restaurant Base (Hidden)'!$A$1:$Z$1,0)),"")</f>
        <v/>
      </c>
      <c r="Q21" s="234" t="str">
        <f>+IFERROR(INDEX('Restaurant Base (Hidden)'!$A$2:$Z$1048576,MATCH($C21,'Restaurant Base (Hidden)'!$C$2:$C$1048576,0),MATCH(Q$6,'Restaurant Base (Hidden)'!$A$1:$Z$1,0)),"")</f>
        <v>81,10 %</v>
      </c>
      <c r="R21" s="1">
        <f>+IFERROR(INDEX('Restaurant Base (Hidden)'!$A$2:$Z$1048576,MATCH($C21,'Restaurant Base (Hidden)'!$C$2:$C$1048576,0),MATCH(R$6,'Restaurant Base (Hidden)'!$A$1:$Z$1,0)),"")</f>
        <v>5</v>
      </c>
      <c r="S21" s="2" t="str">
        <f>+IFERROR(INDEX('Restaurant Base (Hidden)'!$A$2:$Z$1048576,MATCH($C21,'Restaurant Base (Hidden)'!$C$2:$C$1048576,0),MATCH(S$6,'Restaurant Base (Hidden)'!$A$1:$Z$1,0)),"")</f>
        <v/>
      </c>
      <c r="T21" s="62">
        <f>+IFERROR(INDEX('Restaurant Base (Hidden)'!$A$2:$Z$1048576,MATCH($C21,'Restaurant Base (Hidden)'!$C$2:$C$1048576,0),MATCH(T$6,'Restaurant Base (Hidden)'!$A$1:$Z$1,0)),"")</f>
        <v>72.3</v>
      </c>
      <c r="U21" s="1">
        <f>+IFERROR(INDEX('Restaurant Base (Hidden)'!$A$2:$Z$1048576,MATCH($C21,'Restaurant Base (Hidden)'!$C$2:$C$1048576,0),MATCH(U$6,'Restaurant Base (Hidden)'!$A$1:$Z$1,0)),"")</f>
        <v>5</v>
      </c>
      <c r="V21" s="2" t="str">
        <f>+IFERROR(INDEX('Restaurant Base (Hidden)'!$A$2:$Z$1048576,MATCH($C21,'Restaurant Base (Hidden)'!$C$2:$C$1048576,0),MATCH(V$6,'Restaurant Base (Hidden)'!$A$1:$Z$1,0)),"")</f>
        <v/>
      </c>
      <c r="W21" s="65" t="str">
        <f>+IFERROR(INDEX('Restaurant Base (Hidden)'!$A$2:$Z$1048576,MATCH($C21,'Restaurant Base (Hidden)'!$C$2:$C$1048576,0),MATCH(W$6,'Restaurant Base (Hidden)'!$A$1:$Z$1,0)),"")</f>
        <v>85,00 %</v>
      </c>
      <c r="X21" s="1">
        <f>+IFERROR(INDEX('Restaurant Base (Hidden)'!$A$2:$Z$1048576,MATCH($C21,'Restaurant Base (Hidden)'!$C$2:$C$1048576,0),MATCH(X$6,'Restaurant Base (Hidden)'!$A$1:$Z$1,0)),"")</f>
        <v>3</v>
      </c>
      <c r="Y21" s="65" t="str">
        <f>+IFERROR(INDEX('Restaurant Base (Hidden)'!$A$2:$Z$1048576,MATCH($C21,'Restaurant Base (Hidden)'!$C$2:$C$1048576,0),MATCH(Y$6,'Restaurant Base (Hidden)'!$A$1:$Z$1,0)),"")</f>
        <v>64,70 %</v>
      </c>
      <c r="Z21" s="106">
        <f>+IFERROR(INDEX('Restaurant Base (Hidden)'!$A$2:$Z$1048576,MATCH($C21,'Restaurant Base (Hidden)'!$C$2:$C$1048576,0),MATCH(Z$6,'Restaurant Base (Hidden)'!$A$1:$Z$1,0)),"")</f>
        <v>2</v>
      </c>
      <c r="AA21" s="65" t="str">
        <f>+IFERROR(INDEX('Restaurant Base (Hidden)'!$A$2:$Z$1048576,MATCH($C21,'Restaurant Base (Hidden)'!$C$2:$C$1048576,0),MATCH(AA$6,'Restaurant Base (Hidden)'!$A$1:$Z$1,0)),"")</f>
        <v>61,40 %</v>
      </c>
      <c r="AB21" s="1">
        <f>+IFERROR(INDEX('Restaurant Base (Hidden)'!$A$2:$Z$1048576,MATCH($C21,'Restaurant Base (Hidden)'!$C$2:$C$1048576,0),MATCH(AB$6,'Restaurant Base (Hidden)'!$A$1:$Z$1,0)),"")</f>
        <v>2</v>
      </c>
      <c r="AC21" s="20" t="str">
        <f>+IFERROR(INDEX('Restaurant Base (Hidden)'!$A$2:$Z$1048576,MATCH($C21,'Restaurant Base (Hidden)'!$C$2:$C$1048576,0),MATCH(AC$6,'Restaurant Base (Hidden)'!$A$1:$Z$1,0)),"")</f>
        <v/>
      </c>
      <c r="AD21" s="65" t="str">
        <f>+IFERROR(INDEX('Restaurant Base (Hidden)'!$A$2:$Z$1048576,MATCH($C21,'Restaurant Base (Hidden)'!$C$2:$C$1048576,0),MATCH(AD$6,'Restaurant Base (Hidden)'!$A$1:$Z$1,0)),"")</f>
        <v>74,80 %</v>
      </c>
      <c r="AE21" s="1">
        <f>+IFERROR(INDEX('Restaurant Base (Hidden)'!$A$2:$Z$1048576,MATCH($C21,'Restaurant Base (Hidden)'!$C$2:$C$1048576,0),MATCH(AE$6,'Restaurant Base (Hidden)'!$A$1:$Z$1,0)),"")</f>
        <v>2</v>
      </c>
      <c r="AF21" s="65" t="str">
        <f>+IFERROR(INDEX('Restaurant Base (Hidden)'!$A$2:$Z$1048576,MATCH($C21,'Restaurant Base (Hidden)'!$C$2:$C$1048576,0),MATCH(AF$6,'Restaurant Base (Hidden)'!$A$1:$Z$1,0)),"")</f>
        <v>99,50 %</v>
      </c>
      <c r="AG21" s="1">
        <f>+IFERROR(INDEX('Restaurant Base (Hidden)'!$A$2:$Z$1048576,MATCH($C21,'Restaurant Base (Hidden)'!$C$2:$C$1048576,0),MATCH(AG$6,'Restaurant Base (Hidden)'!$A$1:$Z$1,0)),"")</f>
        <v>5</v>
      </c>
    </row>
    <row r="22" spans="1:33" x14ac:dyDescent="0.4">
      <c r="A22" s="163" t="str">
        <f>IF('Restaurant Base (Hidden)'!A311=0,"", 'Restaurant Base (Hidden)'!A311)</f>
        <v>Skyler Everhart</v>
      </c>
      <c r="B22" s="163" t="str">
        <f>IF('Restaurant Base (Hidden)'!B311=0,"", 'Restaurant Base (Hidden)'!B311)</f>
        <v>Rosebridge Hospitality</v>
      </c>
      <c r="C22" s="163" t="str">
        <f>IF('Restaurant Base (Hidden)'!C311=0,"", 'Restaurant Base (Hidden)'!C311)</f>
        <v>Crown Court</v>
      </c>
      <c r="D22" s="104">
        <f t="shared" si="0"/>
        <v>14</v>
      </c>
      <c r="E22" s="105">
        <f>+IFERROR(INDEX('Restaurant Base (Hidden)'!$A$2:$Z$1048576,MATCH($C22,'Restaurant Base (Hidden)'!$C$2:$C$1048576,0),MATCH(E$6,'Restaurant Base (Hidden)'!$A$1:$Z$1,0)),"")</f>
        <v>3.78</v>
      </c>
      <c r="F22" s="2" t="str">
        <f>+IFERROR(INDEX('Restaurant Base (Hidden)'!$A$2:$Z$1048576,MATCH($C22,'Restaurant Base (Hidden)'!$C$2:$C$1048576,0),MATCH(F$6,'Restaurant Base (Hidden)'!$A$1:$Z$1,0)),"")</f>
        <v/>
      </c>
      <c r="G22" s="20" t="str">
        <f>+IFERROR(INDEX('Restaurant Base (Hidden)'!$A$2:$Z$1048576,MATCH($C22,'Restaurant Base (Hidden)'!$C$2:$C$1048576,0),MATCH(G$6,'Restaurant Base (Hidden)'!$A$1:$Z$1,0)),"")</f>
        <v>4,455</v>
      </c>
      <c r="H22" s="50">
        <f>+IFERROR(INDEX('Restaurant Base (Hidden)'!$A$2:$Z$1048576,MATCH($C22,'Restaurant Base (Hidden)'!$C$2:$C$1048576,0),MATCH(H$6,'Restaurant Base (Hidden)'!$A$1:$Z$1,0)),"")</f>
        <v>4</v>
      </c>
      <c r="I22" s="20" t="str">
        <f>+IFERROR(INDEX('Restaurant Base (Hidden)'!$A$2:$Z$1048576,MATCH($C22,'Restaurant Base (Hidden)'!$C$2:$C$1048576,0),MATCH(I$6,'Restaurant Base (Hidden)'!$A$1:$Z$1,0)),"")</f>
        <v>97,60 %</v>
      </c>
      <c r="J22" s="49">
        <f>+IFERROR(INDEX('Restaurant Base (Hidden)'!$A$2:$Z$1048576,MATCH($C22,'Restaurant Base (Hidden)'!$C$2:$C$1048576,0),MATCH(J$6,'Restaurant Base (Hidden)'!$A$1:$Z$1,0)),"")</f>
        <v>5</v>
      </c>
      <c r="K22" s="20" t="str">
        <f>+IFERROR(INDEX('Restaurant Base (Hidden)'!$A$2:$Z$1048576,MATCH($C22,'Restaurant Base (Hidden)'!$C$2:$C$1048576,0),MATCH(K$6,'Restaurant Base (Hidden)'!$A$1:$Z$1,0)),"")</f>
        <v>0,072</v>
      </c>
      <c r="L22" s="51">
        <f>+IFERROR(INDEX('Restaurant Base (Hidden)'!$A$2:$Z$1048576,MATCH($C22,'Restaurant Base (Hidden)'!$C$2:$C$1048576,0),MATCH(L$6,'Restaurant Base (Hidden)'!$A$1:$Z$1,0)),"")</f>
        <v>4</v>
      </c>
      <c r="M22" s="2" t="str">
        <f>+IFERROR(INDEX('Restaurant Base (Hidden)'!$A$2:$Z$1048576,MATCH($C22,'Restaurant Base (Hidden)'!$C$2:$C$1048576,0),MATCH(M$6,'Restaurant Base (Hidden)'!$A$1:$Z$1,0)),"")</f>
        <v/>
      </c>
      <c r="N22" s="234" t="str">
        <f>+IFERROR(INDEX('Restaurant Base (Hidden)'!$A$2:$Z$1048576,MATCH($C22,'Restaurant Base (Hidden)'!$C$2:$C$1048576,0),MATCH(N$6,'Restaurant Base (Hidden)'!$A$1:$Z$1,0)),"")</f>
        <v>80,90 %</v>
      </c>
      <c r="O22" s="1">
        <f>+IFERROR(INDEX('Restaurant Base (Hidden)'!$A$2:$Z$1048576,MATCH($C22,'Restaurant Base (Hidden)'!$C$2:$C$1048576,0),MATCH(O$6,'Restaurant Base (Hidden)'!$A$1:$Z$1,0)),"")</f>
        <v>5</v>
      </c>
      <c r="P22" s="2" t="str">
        <f>+IFERROR(INDEX('Restaurant Base (Hidden)'!$A$2:$Z$1048576,MATCH($C22,'Restaurant Base (Hidden)'!$C$2:$C$1048576,0),MATCH(P$6,'Restaurant Base (Hidden)'!$A$1:$Z$1,0)),"")</f>
        <v/>
      </c>
      <c r="Q22" s="234" t="str">
        <f>+IFERROR(INDEX('Restaurant Base (Hidden)'!$A$2:$Z$1048576,MATCH($C22,'Restaurant Base (Hidden)'!$C$2:$C$1048576,0),MATCH(Q$6,'Restaurant Base (Hidden)'!$A$1:$Z$1,0)),"")</f>
        <v>85,30 %</v>
      </c>
      <c r="R22" s="1">
        <f>+IFERROR(INDEX('Restaurant Base (Hidden)'!$A$2:$Z$1048576,MATCH($C22,'Restaurant Base (Hidden)'!$C$2:$C$1048576,0),MATCH(R$6,'Restaurant Base (Hidden)'!$A$1:$Z$1,0)),"")</f>
        <v>5</v>
      </c>
      <c r="S22" s="2" t="str">
        <f>+IFERROR(INDEX('Restaurant Base (Hidden)'!$A$2:$Z$1048576,MATCH($C22,'Restaurant Base (Hidden)'!$C$2:$C$1048576,0),MATCH(S$6,'Restaurant Base (Hidden)'!$A$1:$Z$1,0)),"")</f>
        <v/>
      </c>
      <c r="T22" s="62">
        <f>+IFERROR(INDEX('Restaurant Base (Hidden)'!$A$2:$Z$1048576,MATCH($C22,'Restaurant Base (Hidden)'!$C$2:$C$1048576,0),MATCH(T$6,'Restaurant Base (Hidden)'!$A$1:$Z$1,0)),"")</f>
        <v>68.599999999999994</v>
      </c>
      <c r="U22" s="1">
        <f>+IFERROR(INDEX('Restaurant Base (Hidden)'!$A$2:$Z$1048576,MATCH($C22,'Restaurant Base (Hidden)'!$C$2:$C$1048576,0),MATCH(U$6,'Restaurant Base (Hidden)'!$A$1:$Z$1,0)),"")</f>
        <v>4</v>
      </c>
      <c r="V22" s="2" t="str">
        <f>+IFERROR(INDEX('Restaurant Base (Hidden)'!$A$2:$Z$1048576,MATCH($C22,'Restaurant Base (Hidden)'!$C$2:$C$1048576,0),MATCH(V$6,'Restaurant Base (Hidden)'!$A$1:$Z$1,0)),"")</f>
        <v/>
      </c>
      <c r="W22" s="65" t="str">
        <f>+IFERROR(INDEX('Restaurant Base (Hidden)'!$A$2:$Z$1048576,MATCH($C22,'Restaurant Base (Hidden)'!$C$2:$C$1048576,0),MATCH(W$6,'Restaurant Base (Hidden)'!$A$1:$Z$1,0)),"")</f>
        <v>88,20 %</v>
      </c>
      <c r="X22" s="1">
        <f>+IFERROR(INDEX('Restaurant Base (Hidden)'!$A$2:$Z$1048576,MATCH($C22,'Restaurant Base (Hidden)'!$C$2:$C$1048576,0),MATCH(X$6,'Restaurant Base (Hidden)'!$A$1:$Z$1,0)),"")</f>
        <v>3</v>
      </c>
      <c r="Y22" s="65" t="str">
        <f>+IFERROR(INDEX('Restaurant Base (Hidden)'!$A$2:$Z$1048576,MATCH($C22,'Restaurant Base (Hidden)'!$C$2:$C$1048576,0),MATCH(Y$6,'Restaurant Base (Hidden)'!$A$1:$Z$1,0)),"")</f>
        <v>58,40 %</v>
      </c>
      <c r="Z22" s="106">
        <f>+IFERROR(INDEX('Restaurant Base (Hidden)'!$A$2:$Z$1048576,MATCH($C22,'Restaurant Base (Hidden)'!$C$2:$C$1048576,0),MATCH(Z$6,'Restaurant Base (Hidden)'!$A$1:$Z$1,0)),"")</f>
        <v>1</v>
      </c>
      <c r="AA22" s="65" t="str">
        <f>+IFERROR(INDEX('Restaurant Base (Hidden)'!$A$2:$Z$1048576,MATCH($C22,'Restaurant Base (Hidden)'!$C$2:$C$1048576,0),MATCH(AA$6,'Restaurant Base (Hidden)'!$A$1:$Z$1,0)),"")</f>
        <v>70,70 %</v>
      </c>
      <c r="AB22" s="1">
        <f>+IFERROR(INDEX('Restaurant Base (Hidden)'!$A$2:$Z$1048576,MATCH($C22,'Restaurant Base (Hidden)'!$C$2:$C$1048576,0),MATCH(AB$6,'Restaurant Base (Hidden)'!$A$1:$Z$1,0)),"")</f>
        <v>2</v>
      </c>
      <c r="AC22" s="20" t="str">
        <f>+IFERROR(INDEX('Restaurant Base (Hidden)'!$A$2:$Z$1048576,MATCH($C22,'Restaurant Base (Hidden)'!$C$2:$C$1048576,0),MATCH(AC$6,'Restaurant Base (Hidden)'!$A$1:$Z$1,0)),"")</f>
        <v/>
      </c>
      <c r="AD22" s="65" t="str">
        <f>+IFERROR(INDEX('Restaurant Base (Hidden)'!$A$2:$Z$1048576,MATCH($C22,'Restaurant Base (Hidden)'!$C$2:$C$1048576,0),MATCH(AD$6,'Restaurant Base (Hidden)'!$A$1:$Z$1,0)),"")</f>
        <v>93,40 %</v>
      </c>
      <c r="AE22" s="1">
        <f>+IFERROR(INDEX('Restaurant Base (Hidden)'!$A$2:$Z$1048576,MATCH($C22,'Restaurant Base (Hidden)'!$C$2:$C$1048576,0),MATCH(AE$6,'Restaurant Base (Hidden)'!$A$1:$Z$1,0)),"")</f>
        <v>4</v>
      </c>
      <c r="AF22" s="65" t="str">
        <f>+IFERROR(INDEX('Restaurant Base (Hidden)'!$A$2:$Z$1048576,MATCH($C22,'Restaurant Base (Hidden)'!$C$2:$C$1048576,0),MATCH(AF$6,'Restaurant Base (Hidden)'!$A$1:$Z$1,0)),"")</f>
        <v>74,80 %</v>
      </c>
      <c r="AG22" s="1">
        <f>+IFERROR(INDEX('Restaurant Base (Hidden)'!$A$2:$Z$1048576,MATCH($C22,'Restaurant Base (Hidden)'!$C$2:$C$1048576,0),MATCH(AG$6,'Restaurant Base (Hidden)'!$A$1:$Z$1,0)),"")</f>
        <v>1</v>
      </c>
    </row>
    <row r="23" spans="1:33" x14ac:dyDescent="0.4">
      <c r="A23" s="163" t="str">
        <f>IF('Restaurant Base (Hidden)'!A136=0,"", 'Restaurant Base (Hidden)'!A136)</f>
        <v>Rowan Kingsley</v>
      </c>
      <c r="B23" s="163" t="str">
        <f>IF('Restaurant Base (Hidden)'!B136=0,"", 'Restaurant Base (Hidden)'!B136)</f>
        <v>Redwood Food Partners</v>
      </c>
      <c r="C23" s="163" t="str">
        <f>IF('Restaurant Base (Hidden)'!C136=0,"", 'Restaurant Base (Hidden)'!C136)</f>
        <v>River Place</v>
      </c>
      <c r="D23" s="104">
        <f t="shared" si="0"/>
        <v>17</v>
      </c>
      <c r="E23" s="105">
        <f>+IFERROR(INDEX('Restaurant Base (Hidden)'!$A$2:$Z$1048576,MATCH($C23,'Restaurant Base (Hidden)'!$C$2:$C$1048576,0),MATCH(E$6,'Restaurant Base (Hidden)'!$A$1:$Z$1,0)),"")</f>
        <v>3.77</v>
      </c>
      <c r="F23" s="2" t="str">
        <f>+IFERROR(INDEX('Restaurant Base (Hidden)'!$A$2:$Z$1048576,MATCH($C23,'Restaurant Base (Hidden)'!$C$2:$C$1048576,0),MATCH(F$6,'Restaurant Base (Hidden)'!$A$1:$Z$1,0)),"")</f>
        <v/>
      </c>
      <c r="G23" s="20" t="str">
        <f>+IFERROR(INDEX('Restaurant Base (Hidden)'!$A$2:$Z$1048576,MATCH($C23,'Restaurant Base (Hidden)'!$C$2:$C$1048576,0),MATCH(G$6,'Restaurant Base (Hidden)'!$A$1:$Z$1,0)),"")</f>
        <v>4,582</v>
      </c>
      <c r="H23" s="50">
        <f>+IFERROR(INDEX('Restaurant Base (Hidden)'!$A$2:$Z$1048576,MATCH($C23,'Restaurant Base (Hidden)'!$C$2:$C$1048576,0),MATCH(H$6,'Restaurant Base (Hidden)'!$A$1:$Z$1,0)),"")</f>
        <v>5</v>
      </c>
      <c r="I23" s="20" t="str">
        <f>+IFERROR(INDEX('Restaurant Base (Hidden)'!$A$2:$Z$1048576,MATCH($C23,'Restaurant Base (Hidden)'!$C$2:$C$1048576,0),MATCH(I$6,'Restaurant Base (Hidden)'!$A$1:$Z$1,0)),"")</f>
        <v>96,00 %</v>
      </c>
      <c r="J23" s="49">
        <f>+IFERROR(INDEX('Restaurant Base (Hidden)'!$A$2:$Z$1048576,MATCH($C23,'Restaurant Base (Hidden)'!$C$2:$C$1048576,0),MATCH(J$6,'Restaurant Base (Hidden)'!$A$1:$Z$1,0)),"")</f>
        <v>5</v>
      </c>
      <c r="K23" s="20" t="str">
        <f>+IFERROR(INDEX('Restaurant Base (Hidden)'!$A$2:$Z$1048576,MATCH($C23,'Restaurant Base (Hidden)'!$C$2:$C$1048576,0),MATCH(K$6,'Restaurant Base (Hidden)'!$A$1:$Z$1,0)),"")</f>
        <v>0,109</v>
      </c>
      <c r="L23" s="51">
        <f>+IFERROR(INDEX('Restaurant Base (Hidden)'!$A$2:$Z$1048576,MATCH($C23,'Restaurant Base (Hidden)'!$C$2:$C$1048576,0),MATCH(L$6,'Restaurant Base (Hidden)'!$A$1:$Z$1,0)),"")</f>
        <v>3</v>
      </c>
      <c r="M23" s="2" t="str">
        <f>+IFERROR(INDEX('Restaurant Base (Hidden)'!$A$2:$Z$1048576,MATCH($C23,'Restaurant Base (Hidden)'!$C$2:$C$1048576,0),MATCH(M$6,'Restaurant Base (Hidden)'!$A$1:$Z$1,0)),"")</f>
        <v/>
      </c>
      <c r="N23" s="234" t="str">
        <f>+IFERROR(INDEX('Restaurant Base (Hidden)'!$A$2:$Z$1048576,MATCH($C23,'Restaurant Base (Hidden)'!$C$2:$C$1048576,0),MATCH(N$6,'Restaurant Base (Hidden)'!$A$1:$Z$1,0)),"")</f>
        <v>88,70 %</v>
      </c>
      <c r="O23" s="1">
        <f>+IFERROR(INDEX('Restaurant Base (Hidden)'!$A$2:$Z$1048576,MATCH($C23,'Restaurant Base (Hidden)'!$C$2:$C$1048576,0),MATCH(O$6,'Restaurant Base (Hidden)'!$A$1:$Z$1,0)),"")</f>
        <v>5</v>
      </c>
      <c r="P23" s="2" t="str">
        <f>+IFERROR(INDEX('Restaurant Base (Hidden)'!$A$2:$Z$1048576,MATCH($C23,'Restaurant Base (Hidden)'!$C$2:$C$1048576,0),MATCH(P$6,'Restaurant Base (Hidden)'!$A$1:$Z$1,0)),"")</f>
        <v/>
      </c>
      <c r="Q23" s="234" t="str">
        <f>+IFERROR(INDEX('Restaurant Base (Hidden)'!$A$2:$Z$1048576,MATCH($C23,'Restaurant Base (Hidden)'!$C$2:$C$1048576,0),MATCH(Q$6,'Restaurant Base (Hidden)'!$A$1:$Z$1,0)),"")</f>
        <v>88,00 %</v>
      </c>
      <c r="R23" s="1">
        <f>+IFERROR(INDEX('Restaurant Base (Hidden)'!$A$2:$Z$1048576,MATCH($C23,'Restaurant Base (Hidden)'!$C$2:$C$1048576,0),MATCH(R$6,'Restaurant Base (Hidden)'!$A$1:$Z$1,0)),"")</f>
        <v>5</v>
      </c>
      <c r="S23" s="2" t="str">
        <f>+IFERROR(INDEX('Restaurant Base (Hidden)'!$A$2:$Z$1048576,MATCH($C23,'Restaurant Base (Hidden)'!$C$2:$C$1048576,0),MATCH(S$6,'Restaurant Base (Hidden)'!$A$1:$Z$1,0)),"")</f>
        <v/>
      </c>
      <c r="T23" s="62">
        <f>+IFERROR(INDEX('Restaurant Base (Hidden)'!$A$2:$Z$1048576,MATCH($C23,'Restaurant Base (Hidden)'!$C$2:$C$1048576,0),MATCH(T$6,'Restaurant Base (Hidden)'!$A$1:$Z$1,0)),"")</f>
        <v>59</v>
      </c>
      <c r="U23" s="1">
        <f>+IFERROR(INDEX('Restaurant Base (Hidden)'!$A$2:$Z$1048576,MATCH($C23,'Restaurant Base (Hidden)'!$C$2:$C$1048576,0),MATCH(U$6,'Restaurant Base (Hidden)'!$A$1:$Z$1,0)),"")</f>
        <v>2</v>
      </c>
      <c r="V23" s="2" t="str">
        <f>+IFERROR(INDEX('Restaurant Base (Hidden)'!$A$2:$Z$1048576,MATCH($C23,'Restaurant Base (Hidden)'!$C$2:$C$1048576,0),MATCH(V$6,'Restaurant Base (Hidden)'!$A$1:$Z$1,0)),"")</f>
        <v/>
      </c>
      <c r="W23" s="65" t="str">
        <f>+IFERROR(INDEX('Restaurant Base (Hidden)'!$A$2:$Z$1048576,MATCH($C23,'Restaurant Base (Hidden)'!$C$2:$C$1048576,0),MATCH(W$6,'Restaurant Base (Hidden)'!$A$1:$Z$1,0)),"")</f>
        <v>59,90 %</v>
      </c>
      <c r="X23" s="1">
        <f>+IFERROR(INDEX('Restaurant Base (Hidden)'!$A$2:$Z$1048576,MATCH($C23,'Restaurant Base (Hidden)'!$C$2:$C$1048576,0),MATCH(X$6,'Restaurant Base (Hidden)'!$A$1:$Z$1,0)),"")</f>
        <v>1</v>
      </c>
      <c r="Y23" s="65" t="str">
        <f>+IFERROR(INDEX('Restaurant Base (Hidden)'!$A$2:$Z$1048576,MATCH($C23,'Restaurant Base (Hidden)'!$C$2:$C$1048576,0),MATCH(Y$6,'Restaurant Base (Hidden)'!$A$1:$Z$1,0)),"")</f>
        <v>95,30 %</v>
      </c>
      <c r="Z23" s="106">
        <f>+IFERROR(INDEX('Restaurant Base (Hidden)'!$A$2:$Z$1048576,MATCH($C23,'Restaurant Base (Hidden)'!$C$2:$C$1048576,0),MATCH(Z$6,'Restaurant Base (Hidden)'!$A$1:$Z$1,0)),"")</f>
        <v>4</v>
      </c>
      <c r="AA23" s="65" t="str">
        <f>+IFERROR(INDEX('Restaurant Base (Hidden)'!$A$2:$Z$1048576,MATCH($C23,'Restaurant Base (Hidden)'!$C$2:$C$1048576,0),MATCH(AA$6,'Restaurant Base (Hidden)'!$A$1:$Z$1,0)),"")</f>
        <v>97,60 %</v>
      </c>
      <c r="AB23" s="1">
        <f>+IFERROR(INDEX('Restaurant Base (Hidden)'!$A$2:$Z$1048576,MATCH($C23,'Restaurant Base (Hidden)'!$C$2:$C$1048576,0),MATCH(AB$6,'Restaurant Base (Hidden)'!$A$1:$Z$1,0)),"")</f>
        <v>4</v>
      </c>
      <c r="AC23" s="20" t="str">
        <f>+IFERROR(INDEX('Restaurant Base (Hidden)'!$A$2:$Z$1048576,MATCH($C23,'Restaurant Base (Hidden)'!$C$2:$C$1048576,0),MATCH(AC$6,'Restaurant Base (Hidden)'!$A$1:$Z$1,0)),"")</f>
        <v/>
      </c>
      <c r="AD23" s="65" t="str">
        <f>+IFERROR(INDEX('Restaurant Base (Hidden)'!$A$2:$Z$1048576,MATCH($C23,'Restaurant Base (Hidden)'!$C$2:$C$1048576,0),MATCH(AD$6,'Restaurant Base (Hidden)'!$A$1:$Z$1,0)),"")</f>
        <v>75,30 %</v>
      </c>
      <c r="AE23" s="1">
        <f>+IFERROR(INDEX('Restaurant Base (Hidden)'!$A$2:$Z$1048576,MATCH($C23,'Restaurant Base (Hidden)'!$C$2:$C$1048576,0),MATCH(AE$6,'Restaurant Base (Hidden)'!$A$1:$Z$1,0)),"")</f>
        <v>2</v>
      </c>
      <c r="AF23" s="65" t="str">
        <f>+IFERROR(INDEX('Restaurant Base (Hidden)'!$A$2:$Z$1048576,MATCH($C23,'Restaurant Base (Hidden)'!$C$2:$C$1048576,0),MATCH(AF$6,'Restaurant Base (Hidden)'!$A$1:$Z$1,0)),"")</f>
        <v>87,50 %</v>
      </c>
      <c r="AG23" s="1">
        <f>+IFERROR(INDEX('Restaurant Base (Hidden)'!$A$2:$Z$1048576,MATCH($C23,'Restaurant Base (Hidden)'!$C$2:$C$1048576,0),MATCH(AG$6,'Restaurant Base (Hidden)'!$A$1:$Z$1,0)),"")</f>
        <v>3</v>
      </c>
    </row>
    <row r="24" spans="1:33" x14ac:dyDescent="0.4">
      <c r="A24" s="163" t="str">
        <f>IF('Restaurant Base (Hidden)'!A226=0,"", 'Restaurant Base (Hidden)'!A226)</f>
        <v>Arden Brookstone</v>
      </c>
      <c r="B24" s="163" t="str">
        <f>IF('Restaurant Base (Hidden)'!B226=0,"", 'Restaurant Base (Hidden)'!B226)</f>
        <v>Highland Crest Restaurants</v>
      </c>
      <c r="C24" s="163" t="str">
        <f>IF('Restaurant Base (Hidden)'!C226=0,"", 'Restaurant Base (Hidden)'!C226)</f>
        <v>Highland Crescent</v>
      </c>
      <c r="D24" s="104">
        <f t="shared" si="0"/>
        <v>17</v>
      </c>
      <c r="E24" s="105">
        <f>+IFERROR(INDEX('Restaurant Base (Hidden)'!$A$2:$Z$1048576,MATCH($C24,'Restaurant Base (Hidden)'!$C$2:$C$1048576,0),MATCH(E$6,'Restaurant Base (Hidden)'!$A$1:$Z$1,0)),"")</f>
        <v>3.77</v>
      </c>
      <c r="F24" s="2" t="str">
        <f>+IFERROR(INDEX('Restaurant Base (Hidden)'!$A$2:$Z$1048576,MATCH($C24,'Restaurant Base (Hidden)'!$C$2:$C$1048576,0),MATCH(F$6,'Restaurant Base (Hidden)'!$A$1:$Z$1,0)),"")</f>
        <v/>
      </c>
      <c r="G24" s="20" t="str">
        <f>+IFERROR(INDEX('Restaurant Base (Hidden)'!$A$2:$Z$1048576,MATCH($C24,'Restaurant Base (Hidden)'!$C$2:$C$1048576,0),MATCH(G$6,'Restaurant Base (Hidden)'!$A$1:$Z$1,0)),"")</f>
        <v>4,481</v>
      </c>
      <c r="H24" s="50">
        <f>+IFERROR(INDEX('Restaurant Base (Hidden)'!$A$2:$Z$1048576,MATCH($C24,'Restaurant Base (Hidden)'!$C$2:$C$1048576,0),MATCH(H$6,'Restaurant Base (Hidden)'!$A$1:$Z$1,0)),"")</f>
        <v>4</v>
      </c>
      <c r="I24" s="20" t="str">
        <f>+IFERROR(INDEX('Restaurant Base (Hidden)'!$A$2:$Z$1048576,MATCH($C24,'Restaurant Base (Hidden)'!$C$2:$C$1048576,0),MATCH(I$6,'Restaurant Base (Hidden)'!$A$1:$Z$1,0)),"")</f>
        <v>55,70 %</v>
      </c>
      <c r="J24" s="49">
        <f>+IFERROR(INDEX('Restaurant Base (Hidden)'!$A$2:$Z$1048576,MATCH($C24,'Restaurant Base (Hidden)'!$C$2:$C$1048576,0),MATCH(J$6,'Restaurant Base (Hidden)'!$A$1:$Z$1,0)),"")</f>
        <v>1</v>
      </c>
      <c r="K24" s="20" t="str">
        <f>+IFERROR(INDEX('Restaurant Base (Hidden)'!$A$2:$Z$1048576,MATCH($C24,'Restaurant Base (Hidden)'!$C$2:$C$1048576,0),MATCH(K$6,'Restaurant Base (Hidden)'!$A$1:$Z$1,0)),"")</f>
        <v>0,068</v>
      </c>
      <c r="L24" s="51">
        <f>+IFERROR(INDEX('Restaurant Base (Hidden)'!$A$2:$Z$1048576,MATCH($C24,'Restaurant Base (Hidden)'!$C$2:$C$1048576,0),MATCH(L$6,'Restaurant Base (Hidden)'!$A$1:$Z$1,0)),"")</f>
        <v>4</v>
      </c>
      <c r="M24" s="2" t="str">
        <f>+IFERROR(INDEX('Restaurant Base (Hidden)'!$A$2:$Z$1048576,MATCH($C24,'Restaurant Base (Hidden)'!$C$2:$C$1048576,0),MATCH(M$6,'Restaurant Base (Hidden)'!$A$1:$Z$1,0)),"")</f>
        <v/>
      </c>
      <c r="N24" s="234" t="str">
        <f>+IFERROR(INDEX('Restaurant Base (Hidden)'!$A$2:$Z$1048576,MATCH($C24,'Restaurant Base (Hidden)'!$C$2:$C$1048576,0),MATCH(N$6,'Restaurant Base (Hidden)'!$A$1:$Z$1,0)),"")</f>
        <v>76,90 %</v>
      </c>
      <c r="O24" s="1">
        <f>+IFERROR(INDEX('Restaurant Base (Hidden)'!$A$2:$Z$1048576,MATCH($C24,'Restaurant Base (Hidden)'!$C$2:$C$1048576,0),MATCH(O$6,'Restaurant Base (Hidden)'!$A$1:$Z$1,0)),"")</f>
        <v>5</v>
      </c>
      <c r="P24" s="2" t="str">
        <f>+IFERROR(INDEX('Restaurant Base (Hidden)'!$A$2:$Z$1048576,MATCH($C24,'Restaurant Base (Hidden)'!$C$2:$C$1048576,0),MATCH(P$6,'Restaurant Base (Hidden)'!$A$1:$Z$1,0)),"")</f>
        <v/>
      </c>
      <c r="Q24" s="234" t="str">
        <f>+IFERROR(INDEX('Restaurant Base (Hidden)'!$A$2:$Z$1048576,MATCH($C24,'Restaurant Base (Hidden)'!$C$2:$C$1048576,0),MATCH(Q$6,'Restaurant Base (Hidden)'!$A$1:$Z$1,0)),"")</f>
        <v>90,40 %</v>
      </c>
      <c r="R24" s="1">
        <f>+IFERROR(INDEX('Restaurant Base (Hidden)'!$A$2:$Z$1048576,MATCH($C24,'Restaurant Base (Hidden)'!$C$2:$C$1048576,0),MATCH(R$6,'Restaurant Base (Hidden)'!$A$1:$Z$1,0)),"")</f>
        <v>5</v>
      </c>
      <c r="S24" s="2" t="str">
        <f>+IFERROR(INDEX('Restaurant Base (Hidden)'!$A$2:$Z$1048576,MATCH($C24,'Restaurant Base (Hidden)'!$C$2:$C$1048576,0),MATCH(S$6,'Restaurant Base (Hidden)'!$A$1:$Z$1,0)),"")</f>
        <v/>
      </c>
      <c r="T24" s="62">
        <f>+IFERROR(INDEX('Restaurant Base (Hidden)'!$A$2:$Z$1048576,MATCH($C24,'Restaurant Base (Hidden)'!$C$2:$C$1048576,0),MATCH(T$6,'Restaurant Base (Hidden)'!$A$1:$Z$1,0)),"")</f>
        <v>74.7</v>
      </c>
      <c r="U24" s="1">
        <f>+IFERROR(INDEX('Restaurant Base (Hidden)'!$A$2:$Z$1048576,MATCH($C24,'Restaurant Base (Hidden)'!$C$2:$C$1048576,0),MATCH(U$6,'Restaurant Base (Hidden)'!$A$1:$Z$1,0)),"")</f>
        <v>5</v>
      </c>
      <c r="V24" s="2" t="str">
        <f>+IFERROR(INDEX('Restaurant Base (Hidden)'!$A$2:$Z$1048576,MATCH($C24,'Restaurant Base (Hidden)'!$C$2:$C$1048576,0),MATCH(V$6,'Restaurant Base (Hidden)'!$A$1:$Z$1,0)),"")</f>
        <v/>
      </c>
      <c r="W24" s="65" t="str">
        <f>+IFERROR(INDEX('Restaurant Base (Hidden)'!$A$2:$Z$1048576,MATCH($C24,'Restaurant Base (Hidden)'!$C$2:$C$1048576,0),MATCH(W$6,'Restaurant Base (Hidden)'!$A$1:$Z$1,0)),"")</f>
        <v>71,00 %</v>
      </c>
      <c r="X24" s="1">
        <f>+IFERROR(INDEX('Restaurant Base (Hidden)'!$A$2:$Z$1048576,MATCH($C24,'Restaurant Base (Hidden)'!$C$2:$C$1048576,0),MATCH(X$6,'Restaurant Base (Hidden)'!$A$1:$Z$1,0)),"")</f>
        <v>2</v>
      </c>
      <c r="Y24" s="65" t="str">
        <f>+IFERROR(INDEX('Restaurant Base (Hidden)'!$A$2:$Z$1048576,MATCH($C24,'Restaurant Base (Hidden)'!$C$2:$C$1048576,0),MATCH(Y$6,'Restaurant Base (Hidden)'!$A$1:$Z$1,0)),"")</f>
        <v>73,00 %</v>
      </c>
      <c r="Z24" s="106">
        <f>+IFERROR(INDEX('Restaurant Base (Hidden)'!$A$2:$Z$1048576,MATCH($C24,'Restaurant Base (Hidden)'!$C$2:$C$1048576,0),MATCH(Z$6,'Restaurant Base (Hidden)'!$A$1:$Z$1,0)),"")</f>
        <v>2</v>
      </c>
      <c r="AA24" s="65" t="str">
        <f>+IFERROR(INDEX('Restaurant Base (Hidden)'!$A$2:$Z$1048576,MATCH($C24,'Restaurant Base (Hidden)'!$C$2:$C$1048576,0),MATCH(AA$6,'Restaurant Base (Hidden)'!$A$1:$Z$1,0)),"")</f>
        <v>93,40 %</v>
      </c>
      <c r="AB24" s="1">
        <f>+IFERROR(INDEX('Restaurant Base (Hidden)'!$A$2:$Z$1048576,MATCH($C24,'Restaurant Base (Hidden)'!$C$2:$C$1048576,0),MATCH(AB$6,'Restaurant Base (Hidden)'!$A$1:$Z$1,0)),"")</f>
        <v>3</v>
      </c>
      <c r="AC24" s="20" t="str">
        <f>+IFERROR(INDEX('Restaurant Base (Hidden)'!$A$2:$Z$1048576,MATCH($C24,'Restaurant Base (Hidden)'!$C$2:$C$1048576,0),MATCH(AC$6,'Restaurant Base (Hidden)'!$A$1:$Z$1,0)),"")</f>
        <v/>
      </c>
      <c r="AD24" s="65" t="str">
        <f>+IFERROR(INDEX('Restaurant Base (Hidden)'!$A$2:$Z$1048576,MATCH($C24,'Restaurant Base (Hidden)'!$C$2:$C$1048576,0),MATCH(AD$6,'Restaurant Base (Hidden)'!$A$1:$Z$1,0)),"")</f>
        <v>90,00 %</v>
      </c>
      <c r="AE24" s="1">
        <f>+IFERROR(INDEX('Restaurant Base (Hidden)'!$A$2:$Z$1048576,MATCH($C24,'Restaurant Base (Hidden)'!$C$2:$C$1048576,0),MATCH(AE$6,'Restaurant Base (Hidden)'!$A$1:$Z$1,0)),"")</f>
        <v>4</v>
      </c>
      <c r="AF24" s="65" t="str">
        <f>+IFERROR(INDEX('Restaurant Base (Hidden)'!$A$2:$Z$1048576,MATCH($C24,'Restaurant Base (Hidden)'!$C$2:$C$1048576,0),MATCH(AF$6,'Restaurant Base (Hidden)'!$A$1:$Z$1,0)),"")</f>
        <v>96,70 %</v>
      </c>
      <c r="AG24" s="1">
        <f>+IFERROR(INDEX('Restaurant Base (Hidden)'!$A$2:$Z$1048576,MATCH($C24,'Restaurant Base (Hidden)'!$C$2:$C$1048576,0),MATCH(AG$6,'Restaurant Base (Hidden)'!$A$1:$Z$1,0)),"")</f>
        <v>4</v>
      </c>
    </row>
    <row r="25" spans="1:33" x14ac:dyDescent="0.4">
      <c r="A25" s="163" t="str">
        <f>IF('Restaurant Base (Hidden)'!A240=0,"", 'Restaurant Base (Hidden)'!A240)</f>
        <v>Finley Kensington</v>
      </c>
      <c r="B25" s="163" t="str">
        <f>IF('Restaurant Base (Hidden)'!B240=0,"", 'Restaurant Base (Hidden)'!B240)</f>
        <v>Elmwood Dining Group</v>
      </c>
      <c r="C25" s="163" t="str">
        <f>IF('Restaurant Base (Hidden)'!C240=0,"", 'Restaurant Base (Hidden)'!C240)</f>
        <v>Silverbrook Commons</v>
      </c>
      <c r="D25" s="104">
        <f t="shared" si="0"/>
        <v>19</v>
      </c>
      <c r="E25" s="105">
        <f>+IFERROR(INDEX('Restaurant Base (Hidden)'!$A$2:$Z$1048576,MATCH($C25,'Restaurant Base (Hidden)'!$C$2:$C$1048576,0),MATCH(E$6,'Restaurant Base (Hidden)'!$A$1:$Z$1,0)),"")</f>
        <v>3.75</v>
      </c>
      <c r="F25" s="2" t="str">
        <f>+IFERROR(INDEX('Restaurant Base (Hidden)'!$A$2:$Z$1048576,MATCH($C25,'Restaurant Base (Hidden)'!$C$2:$C$1048576,0),MATCH(F$6,'Restaurant Base (Hidden)'!$A$1:$Z$1,0)),"")</f>
        <v/>
      </c>
      <c r="G25" s="20" t="str">
        <f>+IFERROR(INDEX('Restaurant Base (Hidden)'!$A$2:$Z$1048576,MATCH($C25,'Restaurant Base (Hidden)'!$C$2:$C$1048576,0),MATCH(G$6,'Restaurant Base (Hidden)'!$A$1:$Z$1,0)),"")</f>
        <v>4,360</v>
      </c>
      <c r="H25" s="50">
        <f>+IFERROR(INDEX('Restaurant Base (Hidden)'!$A$2:$Z$1048576,MATCH($C25,'Restaurant Base (Hidden)'!$C$2:$C$1048576,0),MATCH(H$6,'Restaurant Base (Hidden)'!$A$1:$Z$1,0)),"")</f>
        <v>4</v>
      </c>
      <c r="I25" s="20" t="str">
        <f>+IFERROR(INDEX('Restaurant Base (Hidden)'!$A$2:$Z$1048576,MATCH($C25,'Restaurant Base (Hidden)'!$C$2:$C$1048576,0),MATCH(I$6,'Restaurant Base (Hidden)'!$A$1:$Z$1,0)),"")</f>
        <v>94,40 %</v>
      </c>
      <c r="J25" s="49">
        <f>+IFERROR(INDEX('Restaurant Base (Hidden)'!$A$2:$Z$1048576,MATCH($C25,'Restaurant Base (Hidden)'!$C$2:$C$1048576,0),MATCH(J$6,'Restaurant Base (Hidden)'!$A$1:$Z$1,0)),"")</f>
        <v>5</v>
      </c>
      <c r="K25" s="20" t="str">
        <f>+IFERROR(INDEX('Restaurant Base (Hidden)'!$A$2:$Z$1048576,MATCH($C25,'Restaurant Base (Hidden)'!$C$2:$C$1048576,0),MATCH(K$6,'Restaurant Base (Hidden)'!$A$1:$Z$1,0)),"")</f>
        <v>0,110</v>
      </c>
      <c r="L25" s="51">
        <f>+IFERROR(INDEX('Restaurant Base (Hidden)'!$A$2:$Z$1048576,MATCH($C25,'Restaurant Base (Hidden)'!$C$2:$C$1048576,0),MATCH(L$6,'Restaurant Base (Hidden)'!$A$1:$Z$1,0)),"")</f>
        <v>3</v>
      </c>
      <c r="M25" s="2" t="str">
        <f>+IFERROR(INDEX('Restaurant Base (Hidden)'!$A$2:$Z$1048576,MATCH($C25,'Restaurant Base (Hidden)'!$C$2:$C$1048576,0),MATCH(M$6,'Restaurant Base (Hidden)'!$A$1:$Z$1,0)),"")</f>
        <v/>
      </c>
      <c r="N25" s="234" t="str">
        <f>+IFERROR(INDEX('Restaurant Base (Hidden)'!$A$2:$Z$1048576,MATCH($C25,'Restaurant Base (Hidden)'!$C$2:$C$1048576,0),MATCH(N$6,'Restaurant Base (Hidden)'!$A$1:$Z$1,0)),"")</f>
        <v>67,40 %</v>
      </c>
      <c r="O25" s="1">
        <f>+IFERROR(INDEX('Restaurant Base (Hidden)'!$A$2:$Z$1048576,MATCH($C25,'Restaurant Base (Hidden)'!$C$2:$C$1048576,0),MATCH(O$6,'Restaurant Base (Hidden)'!$A$1:$Z$1,0)),"")</f>
        <v>3</v>
      </c>
      <c r="P25" s="2" t="str">
        <f>+IFERROR(INDEX('Restaurant Base (Hidden)'!$A$2:$Z$1048576,MATCH($C25,'Restaurant Base (Hidden)'!$C$2:$C$1048576,0),MATCH(P$6,'Restaurant Base (Hidden)'!$A$1:$Z$1,0)),"")</f>
        <v/>
      </c>
      <c r="Q25" s="234" t="str">
        <f>+IFERROR(INDEX('Restaurant Base (Hidden)'!$A$2:$Z$1048576,MATCH($C25,'Restaurant Base (Hidden)'!$C$2:$C$1048576,0),MATCH(Q$6,'Restaurant Base (Hidden)'!$A$1:$Z$1,0)),"")</f>
        <v>95,80 %</v>
      </c>
      <c r="R25" s="1">
        <f>+IFERROR(INDEX('Restaurant Base (Hidden)'!$A$2:$Z$1048576,MATCH($C25,'Restaurant Base (Hidden)'!$C$2:$C$1048576,0),MATCH(R$6,'Restaurant Base (Hidden)'!$A$1:$Z$1,0)),"")</f>
        <v>5</v>
      </c>
      <c r="S25" s="2" t="str">
        <f>+IFERROR(INDEX('Restaurant Base (Hidden)'!$A$2:$Z$1048576,MATCH($C25,'Restaurant Base (Hidden)'!$C$2:$C$1048576,0),MATCH(S$6,'Restaurant Base (Hidden)'!$A$1:$Z$1,0)),"")</f>
        <v/>
      </c>
      <c r="T25" s="62">
        <f>+IFERROR(INDEX('Restaurant Base (Hidden)'!$A$2:$Z$1048576,MATCH($C25,'Restaurant Base (Hidden)'!$C$2:$C$1048576,0),MATCH(T$6,'Restaurant Base (Hidden)'!$A$1:$Z$1,0)),"")</f>
        <v>60.3</v>
      </c>
      <c r="U25" s="1">
        <f>+IFERROR(INDEX('Restaurant Base (Hidden)'!$A$2:$Z$1048576,MATCH($C25,'Restaurant Base (Hidden)'!$C$2:$C$1048576,0),MATCH(U$6,'Restaurant Base (Hidden)'!$A$1:$Z$1,0)),"")</f>
        <v>2</v>
      </c>
      <c r="V25" s="2" t="str">
        <f>+IFERROR(INDEX('Restaurant Base (Hidden)'!$A$2:$Z$1048576,MATCH($C25,'Restaurant Base (Hidden)'!$C$2:$C$1048576,0),MATCH(V$6,'Restaurant Base (Hidden)'!$A$1:$Z$1,0)),"")</f>
        <v/>
      </c>
      <c r="W25" s="65" t="str">
        <f>+IFERROR(INDEX('Restaurant Base (Hidden)'!$A$2:$Z$1048576,MATCH($C25,'Restaurant Base (Hidden)'!$C$2:$C$1048576,0),MATCH(W$6,'Restaurant Base (Hidden)'!$A$1:$Z$1,0)),"")</f>
        <v>94,80 %</v>
      </c>
      <c r="X25" s="1">
        <f>+IFERROR(INDEX('Restaurant Base (Hidden)'!$A$2:$Z$1048576,MATCH($C25,'Restaurant Base (Hidden)'!$C$2:$C$1048576,0),MATCH(X$6,'Restaurant Base (Hidden)'!$A$1:$Z$1,0)),"")</f>
        <v>4</v>
      </c>
      <c r="Y25" s="65" t="str">
        <f>+IFERROR(INDEX('Restaurant Base (Hidden)'!$A$2:$Z$1048576,MATCH($C25,'Restaurant Base (Hidden)'!$C$2:$C$1048576,0),MATCH(Y$6,'Restaurant Base (Hidden)'!$A$1:$Z$1,0)),"")</f>
        <v>98,20 %</v>
      </c>
      <c r="Z25" s="106">
        <f>+IFERROR(INDEX('Restaurant Base (Hidden)'!$A$2:$Z$1048576,MATCH($C25,'Restaurant Base (Hidden)'!$C$2:$C$1048576,0),MATCH(Z$6,'Restaurant Base (Hidden)'!$A$1:$Z$1,0)),"")</f>
        <v>5</v>
      </c>
      <c r="AA25" s="65" t="str">
        <f>+IFERROR(INDEX('Restaurant Base (Hidden)'!$A$2:$Z$1048576,MATCH($C25,'Restaurant Base (Hidden)'!$C$2:$C$1048576,0),MATCH(AA$6,'Restaurant Base (Hidden)'!$A$1:$Z$1,0)),"")</f>
        <v>89,20 %</v>
      </c>
      <c r="AB25" s="1">
        <f>+IFERROR(INDEX('Restaurant Base (Hidden)'!$A$2:$Z$1048576,MATCH($C25,'Restaurant Base (Hidden)'!$C$2:$C$1048576,0),MATCH(AB$6,'Restaurant Base (Hidden)'!$A$1:$Z$1,0)),"")</f>
        <v>3</v>
      </c>
      <c r="AC25" s="20" t="str">
        <f>+IFERROR(INDEX('Restaurant Base (Hidden)'!$A$2:$Z$1048576,MATCH($C25,'Restaurant Base (Hidden)'!$C$2:$C$1048576,0),MATCH(AC$6,'Restaurant Base (Hidden)'!$A$1:$Z$1,0)),"")</f>
        <v/>
      </c>
      <c r="AD25" s="65" t="str">
        <f>+IFERROR(INDEX('Restaurant Base (Hidden)'!$A$2:$Z$1048576,MATCH($C25,'Restaurant Base (Hidden)'!$C$2:$C$1048576,0),MATCH(AD$6,'Restaurant Base (Hidden)'!$A$1:$Z$1,0)),"")</f>
        <v>81,00 %</v>
      </c>
      <c r="AE25" s="1">
        <f>+IFERROR(INDEX('Restaurant Base (Hidden)'!$A$2:$Z$1048576,MATCH($C25,'Restaurant Base (Hidden)'!$C$2:$C$1048576,0),MATCH(AE$6,'Restaurant Base (Hidden)'!$A$1:$Z$1,0)),"")</f>
        <v>2</v>
      </c>
      <c r="AF25" s="65" t="str">
        <f>+IFERROR(INDEX('Restaurant Base (Hidden)'!$A$2:$Z$1048576,MATCH($C25,'Restaurant Base (Hidden)'!$C$2:$C$1048576,0),MATCH(AF$6,'Restaurant Base (Hidden)'!$A$1:$Z$1,0)),"")</f>
        <v>99,40 %</v>
      </c>
      <c r="AG25" s="1">
        <f>+IFERROR(INDEX('Restaurant Base (Hidden)'!$A$2:$Z$1048576,MATCH($C25,'Restaurant Base (Hidden)'!$C$2:$C$1048576,0),MATCH(AG$6,'Restaurant Base (Hidden)'!$A$1:$Z$1,0)),"")</f>
        <v>5</v>
      </c>
    </row>
    <row r="26" spans="1:33" x14ac:dyDescent="0.4">
      <c r="A26" s="163" t="str">
        <f>IF('Restaurant Base (Hidden)'!A62=0,"", 'Restaurant Base (Hidden)'!A62)</f>
        <v>Casey Briarwood</v>
      </c>
      <c r="B26" s="163" t="str">
        <f>IF('Restaurant Base (Hidden)'!B62=0,"", 'Restaurant Base (Hidden)'!B62)</f>
        <v>Eastmere Foods</v>
      </c>
      <c r="C26" s="163" t="str">
        <f>IF('Restaurant Base (Hidden)'!C62=0,"", 'Restaurant Base (Hidden)'!C62)</f>
        <v>Hilltop Quay</v>
      </c>
      <c r="D26" s="104">
        <f t="shared" si="0"/>
        <v>20</v>
      </c>
      <c r="E26" s="105">
        <f>+IFERROR(INDEX('Restaurant Base (Hidden)'!$A$2:$Z$1048576,MATCH($C26,'Restaurant Base (Hidden)'!$C$2:$C$1048576,0),MATCH(E$6,'Restaurant Base (Hidden)'!$A$1:$Z$1,0)),"")</f>
        <v>3.74</v>
      </c>
      <c r="F26" s="64" t="str">
        <f>+IFERROR(INDEX('Restaurant Base (Hidden)'!$A$2:$Z$1048576,MATCH($C26,'Restaurant Base (Hidden)'!$C$2:$C$1048576,0),MATCH(F$6,'Restaurant Base (Hidden)'!$A$1:$Z$1,0)),"")</f>
        <v/>
      </c>
      <c r="G26" s="20" t="str">
        <f>+IFERROR(INDEX('Restaurant Base (Hidden)'!$A$2:$Z$1048576,MATCH($C26,'Restaurant Base (Hidden)'!$C$2:$C$1048576,0),MATCH(G$6,'Restaurant Base (Hidden)'!$A$1:$Z$1,0)),"")</f>
        <v>4,574</v>
      </c>
      <c r="H26" s="50">
        <f>+IFERROR(INDEX('Restaurant Base (Hidden)'!$A$2:$Z$1048576,MATCH($C26,'Restaurant Base (Hidden)'!$C$2:$C$1048576,0),MATCH(H$6,'Restaurant Base (Hidden)'!$A$1:$Z$1,0)),"")</f>
        <v>5</v>
      </c>
      <c r="I26" s="20" t="str">
        <f>+IFERROR(INDEX('Restaurant Base (Hidden)'!$A$2:$Z$1048576,MATCH($C26,'Restaurant Base (Hidden)'!$C$2:$C$1048576,0),MATCH(I$6,'Restaurant Base (Hidden)'!$A$1:$Z$1,0)),"")</f>
        <v>93,10 %</v>
      </c>
      <c r="J26" s="49">
        <f>+IFERROR(INDEX('Restaurant Base (Hidden)'!$A$2:$Z$1048576,MATCH($C26,'Restaurant Base (Hidden)'!$C$2:$C$1048576,0),MATCH(J$6,'Restaurant Base (Hidden)'!$A$1:$Z$1,0)),"")</f>
        <v>4</v>
      </c>
      <c r="K26" s="20" t="str">
        <f>+IFERROR(INDEX('Restaurant Base (Hidden)'!$A$2:$Z$1048576,MATCH($C26,'Restaurant Base (Hidden)'!$C$2:$C$1048576,0),MATCH(K$6,'Restaurant Base (Hidden)'!$A$1:$Z$1,0)),"")</f>
        <v>0,116</v>
      </c>
      <c r="L26" s="51">
        <f>+IFERROR(INDEX('Restaurant Base (Hidden)'!$A$2:$Z$1048576,MATCH($C26,'Restaurant Base (Hidden)'!$C$2:$C$1048576,0),MATCH(L$6,'Restaurant Base (Hidden)'!$A$1:$Z$1,0)),"")</f>
        <v>3</v>
      </c>
      <c r="M26" s="2" t="str">
        <f>+IFERROR(INDEX('Restaurant Base (Hidden)'!$A$2:$Z$1048576,MATCH($C26,'Restaurant Base (Hidden)'!$C$2:$C$1048576,0),MATCH(M$6,'Restaurant Base (Hidden)'!$A$1:$Z$1,0)),"")</f>
        <v/>
      </c>
      <c r="N26" s="234" t="str">
        <f>+IFERROR(INDEX('Restaurant Base (Hidden)'!$A$2:$Z$1048576,MATCH($C26,'Restaurant Base (Hidden)'!$C$2:$C$1048576,0),MATCH(N$6,'Restaurant Base (Hidden)'!$A$1:$Z$1,0)),"")</f>
        <v>94,60 %</v>
      </c>
      <c r="O26" s="1">
        <f>+IFERROR(INDEX('Restaurant Base (Hidden)'!$A$2:$Z$1048576,MATCH($C26,'Restaurant Base (Hidden)'!$C$2:$C$1048576,0),MATCH(O$6,'Restaurant Base (Hidden)'!$A$1:$Z$1,0)),"")</f>
        <v>5</v>
      </c>
      <c r="P26" s="2" t="str">
        <f>+IFERROR(INDEX('Restaurant Base (Hidden)'!$A$2:$Z$1048576,MATCH($C26,'Restaurant Base (Hidden)'!$C$2:$C$1048576,0),MATCH(P$6,'Restaurant Base (Hidden)'!$A$1:$Z$1,0)),"")</f>
        <v/>
      </c>
      <c r="Q26" s="234" t="str">
        <f>+IFERROR(INDEX('Restaurant Base (Hidden)'!$A$2:$Z$1048576,MATCH($C26,'Restaurant Base (Hidden)'!$C$2:$C$1048576,0),MATCH(Q$6,'Restaurant Base (Hidden)'!$A$1:$Z$1,0)),"")</f>
        <v>83,00 %</v>
      </c>
      <c r="R26" s="1">
        <f>+IFERROR(INDEX('Restaurant Base (Hidden)'!$A$2:$Z$1048576,MATCH($C26,'Restaurant Base (Hidden)'!$C$2:$C$1048576,0),MATCH(R$6,'Restaurant Base (Hidden)'!$A$1:$Z$1,0)),"")</f>
        <v>5</v>
      </c>
      <c r="S26" s="2" t="str">
        <f>+IFERROR(INDEX('Restaurant Base (Hidden)'!$A$2:$Z$1048576,MATCH($C26,'Restaurant Base (Hidden)'!$C$2:$C$1048576,0),MATCH(S$6,'Restaurant Base (Hidden)'!$A$1:$Z$1,0)),"")</f>
        <v/>
      </c>
      <c r="T26" s="62">
        <f>+IFERROR(INDEX('Restaurant Base (Hidden)'!$A$2:$Z$1048576,MATCH($C26,'Restaurant Base (Hidden)'!$C$2:$C$1048576,0),MATCH(T$6,'Restaurant Base (Hidden)'!$A$1:$Z$1,0)),"")</f>
        <v>62.5</v>
      </c>
      <c r="U26" s="1">
        <f>+IFERROR(INDEX('Restaurant Base (Hidden)'!$A$2:$Z$1048576,MATCH($C26,'Restaurant Base (Hidden)'!$C$2:$C$1048576,0),MATCH(U$6,'Restaurant Base (Hidden)'!$A$1:$Z$1,0)),"")</f>
        <v>3</v>
      </c>
      <c r="V26" s="2" t="str">
        <f>+IFERROR(INDEX('Restaurant Base (Hidden)'!$A$2:$Z$1048576,MATCH($C26,'Restaurant Base (Hidden)'!$C$2:$C$1048576,0),MATCH(V$6,'Restaurant Base (Hidden)'!$A$1:$Z$1,0)),"")</f>
        <v/>
      </c>
      <c r="W26" s="65" t="str">
        <f>+IFERROR(INDEX('Restaurant Base (Hidden)'!$A$2:$Z$1048576,MATCH($C26,'Restaurant Base (Hidden)'!$C$2:$C$1048576,0),MATCH(W$6,'Restaurant Base (Hidden)'!$A$1:$Z$1,0)),"")</f>
        <v>76,40 %</v>
      </c>
      <c r="X26" s="1">
        <f>+IFERROR(INDEX('Restaurant Base (Hidden)'!$A$2:$Z$1048576,MATCH($C26,'Restaurant Base (Hidden)'!$C$2:$C$1048576,0),MATCH(X$6,'Restaurant Base (Hidden)'!$A$1:$Z$1,0)),"")</f>
        <v>2</v>
      </c>
      <c r="Y26" s="65" t="str">
        <f>+IFERROR(INDEX('Restaurant Base (Hidden)'!$A$2:$Z$1048576,MATCH($C26,'Restaurant Base (Hidden)'!$C$2:$C$1048576,0),MATCH(Y$6,'Restaurant Base (Hidden)'!$A$1:$Z$1,0)),"")</f>
        <v>60,30 %</v>
      </c>
      <c r="Z26" s="106">
        <f>+IFERROR(INDEX('Restaurant Base (Hidden)'!$A$2:$Z$1048576,MATCH($C26,'Restaurant Base (Hidden)'!$C$2:$C$1048576,0),MATCH(Z$6,'Restaurant Base (Hidden)'!$A$1:$Z$1,0)),"")</f>
        <v>2</v>
      </c>
      <c r="AA26" s="65" t="str">
        <f>+IFERROR(INDEX('Restaurant Base (Hidden)'!$A$2:$Z$1048576,MATCH($C26,'Restaurant Base (Hidden)'!$C$2:$C$1048576,0),MATCH(AA$6,'Restaurant Base (Hidden)'!$A$1:$Z$1,0)),"")</f>
        <v>90,10 %</v>
      </c>
      <c r="AB26" s="1">
        <f>+IFERROR(INDEX('Restaurant Base (Hidden)'!$A$2:$Z$1048576,MATCH($C26,'Restaurant Base (Hidden)'!$C$2:$C$1048576,0),MATCH(AB$6,'Restaurant Base (Hidden)'!$A$1:$Z$1,0)),"")</f>
        <v>3</v>
      </c>
      <c r="AC26" s="20" t="str">
        <f>+IFERROR(INDEX('Restaurant Base (Hidden)'!$A$2:$Z$1048576,MATCH($C26,'Restaurant Base (Hidden)'!$C$2:$C$1048576,0),MATCH(AC$6,'Restaurant Base (Hidden)'!$A$1:$Z$1,0)),"")</f>
        <v/>
      </c>
      <c r="AD26" s="65" t="str">
        <f>+IFERROR(INDEX('Restaurant Base (Hidden)'!$A$2:$Z$1048576,MATCH($C26,'Restaurant Base (Hidden)'!$C$2:$C$1048576,0),MATCH(AD$6,'Restaurant Base (Hidden)'!$A$1:$Z$1,0)),"")</f>
        <v>88,90 %</v>
      </c>
      <c r="AE26" s="1">
        <f>+IFERROR(INDEX('Restaurant Base (Hidden)'!$A$2:$Z$1048576,MATCH($C26,'Restaurant Base (Hidden)'!$C$2:$C$1048576,0),MATCH(AE$6,'Restaurant Base (Hidden)'!$A$1:$Z$1,0)),"")</f>
        <v>3</v>
      </c>
      <c r="AF26" s="65" t="str">
        <f>+IFERROR(INDEX('Restaurant Base (Hidden)'!$A$2:$Z$1048576,MATCH($C26,'Restaurant Base (Hidden)'!$C$2:$C$1048576,0),MATCH(AF$6,'Restaurant Base (Hidden)'!$A$1:$Z$1,0)),"")</f>
        <v>86,90 %</v>
      </c>
      <c r="AG26" s="1">
        <f>+IFERROR(INDEX('Restaurant Base (Hidden)'!$A$2:$Z$1048576,MATCH($C26,'Restaurant Base (Hidden)'!$C$2:$C$1048576,0),MATCH(AG$6,'Restaurant Base (Hidden)'!$A$1:$Z$1,0)),"")</f>
        <v>3</v>
      </c>
    </row>
    <row r="27" spans="1:33" x14ac:dyDescent="0.4">
      <c r="A27" s="163" t="str">
        <f>IF('Restaurant Base (Hidden)'!A330=0,"", 'Restaurant Base (Hidden)'!A330)</f>
        <v>Jamie Northcott</v>
      </c>
      <c r="B27" s="163" t="str">
        <f>IF('Restaurant Base (Hidden)'!B330=0,"", 'Restaurant Base (Hidden)'!B330)</f>
        <v>Evercrest Restaurants</v>
      </c>
      <c r="C27" s="163" t="str">
        <f>IF('Restaurant Base (Hidden)'!C330=0,"", 'Restaurant Base (Hidden)'!C330)</f>
        <v>Parkside Grove</v>
      </c>
      <c r="D27" s="104">
        <f t="shared" si="0"/>
        <v>20</v>
      </c>
      <c r="E27" s="105">
        <f>+IFERROR(INDEX('Restaurant Base (Hidden)'!$A$2:$Z$1048576,MATCH($C27,'Restaurant Base (Hidden)'!$C$2:$C$1048576,0),MATCH(E$6,'Restaurant Base (Hidden)'!$A$1:$Z$1,0)),"")</f>
        <v>3.74</v>
      </c>
      <c r="F27" s="2" t="str">
        <f>+IFERROR(INDEX('Restaurant Base (Hidden)'!$A$2:$Z$1048576,MATCH($C27,'Restaurant Base (Hidden)'!$C$2:$C$1048576,0),MATCH(F$6,'Restaurant Base (Hidden)'!$A$1:$Z$1,0)),"")</f>
        <v/>
      </c>
      <c r="G27" s="20" t="str">
        <f>+IFERROR(INDEX('Restaurant Base (Hidden)'!$A$2:$Z$1048576,MATCH($C27,'Restaurant Base (Hidden)'!$C$2:$C$1048576,0),MATCH(G$6,'Restaurant Base (Hidden)'!$A$1:$Z$1,0)),"")</f>
        <v>4,750</v>
      </c>
      <c r="H27" s="50">
        <f>+IFERROR(INDEX('Restaurant Base (Hidden)'!$A$2:$Z$1048576,MATCH($C27,'Restaurant Base (Hidden)'!$C$2:$C$1048576,0),MATCH(H$6,'Restaurant Base (Hidden)'!$A$1:$Z$1,0)),"")</f>
        <v>5</v>
      </c>
      <c r="I27" s="20" t="str">
        <f>+IFERROR(INDEX('Restaurant Base (Hidden)'!$A$2:$Z$1048576,MATCH($C27,'Restaurant Base (Hidden)'!$C$2:$C$1048576,0),MATCH(I$6,'Restaurant Base (Hidden)'!$A$1:$Z$1,0)),"")</f>
        <v>79,70 %</v>
      </c>
      <c r="J27" s="49">
        <f>+IFERROR(INDEX('Restaurant Base (Hidden)'!$A$2:$Z$1048576,MATCH($C27,'Restaurant Base (Hidden)'!$C$2:$C$1048576,0),MATCH(J$6,'Restaurant Base (Hidden)'!$A$1:$Z$1,0)),"")</f>
        <v>2</v>
      </c>
      <c r="K27" s="20" t="str">
        <f>+IFERROR(INDEX('Restaurant Base (Hidden)'!$A$2:$Z$1048576,MATCH($C27,'Restaurant Base (Hidden)'!$C$2:$C$1048576,0),MATCH(K$6,'Restaurant Base (Hidden)'!$A$1:$Z$1,0)),"")</f>
        <v>0,047</v>
      </c>
      <c r="L27" s="51">
        <f>+IFERROR(INDEX('Restaurant Base (Hidden)'!$A$2:$Z$1048576,MATCH($C27,'Restaurant Base (Hidden)'!$C$2:$C$1048576,0),MATCH(L$6,'Restaurant Base (Hidden)'!$A$1:$Z$1,0)),"")</f>
        <v>5</v>
      </c>
      <c r="M27" s="2" t="str">
        <f>+IFERROR(INDEX('Restaurant Base (Hidden)'!$A$2:$Z$1048576,MATCH($C27,'Restaurant Base (Hidden)'!$C$2:$C$1048576,0),MATCH(M$6,'Restaurant Base (Hidden)'!$A$1:$Z$1,0)),"")</f>
        <v/>
      </c>
      <c r="N27" s="234" t="str">
        <f>+IFERROR(INDEX('Restaurant Base (Hidden)'!$A$2:$Z$1048576,MATCH($C27,'Restaurant Base (Hidden)'!$C$2:$C$1048576,0),MATCH(N$6,'Restaurant Base (Hidden)'!$A$1:$Z$1,0)),"")</f>
        <v>65,50 %</v>
      </c>
      <c r="O27" s="1">
        <f>+IFERROR(INDEX('Restaurant Base (Hidden)'!$A$2:$Z$1048576,MATCH($C27,'Restaurant Base (Hidden)'!$C$2:$C$1048576,0),MATCH(O$6,'Restaurant Base (Hidden)'!$A$1:$Z$1,0)),"")</f>
        <v>3</v>
      </c>
      <c r="P27" s="2" t="str">
        <f>+IFERROR(INDEX('Restaurant Base (Hidden)'!$A$2:$Z$1048576,MATCH($C27,'Restaurant Base (Hidden)'!$C$2:$C$1048576,0),MATCH(P$6,'Restaurant Base (Hidden)'!$A$1:$Z$1,0)),"")</f>
        <v/>
      </c>
      <c r="Q27" s="234" t="str">
        <f>+IFERROR(INDEX('Restaurant Base (Hidden)'!$A$2:$Z$1048576,MATCH($C27,'Restaurant Base (Hidden)'!$C$2:$C$1048576,0),MATCH(Q$6,'Restaurant Base (Hidden)'!$A$1:$Z$1,0)),"")</f>
        <v>80,80 %</v>
      </c>
      <c r="R27" s="1">
        <f>+IFERROR(INDEX('Restaurant Base (Hidden)'!$A$2:$Z$1048576,MATCH($C27,'Restaurant Base (Hidden)'!$C$2:$C$1048576,0),MATCH(R$6,'Restaurant Base (Hidden)'!$A$1:$Z$1,0)),"")</f>
        <v>5</v>
      </c>
      <c r="S27" s="2" t="str">
        <f>+IFERROR(INDEX('Restaurant Base (Hidden)'!$A$2:$Z$1048576,MATCH($C27,'Restaurant Base (Hidden)'!$C$2:$C$1048576,0),MATCH(S$6,'Restaurant Base (Hidden)'!$A$1:$Z$1,0)),"")</f>
        <v/>
      </c>
      <c r="T27" s="62">
        <f>+IFERROR(INDEX('Restaurant Base (Hidden)'!$A$2:$Z$1048576,MATCH($C27,'Restaurant Base (Hidden)'!$C$2:$C$1048576,0),MATCH(T$6,'Restaurant Base (Hidden)'!$A$1:$Z$1,0)),"")</f>
        <v>68.8</v>
      </c>
      <c r="U27" s="1">
        <f>+IFERROR(INDEX('Restaurant Base (Hidden)'!$A$2:$Z$1048576,MATCH($C27,'Restaurant Base (Hidden)'!$C$2:$C$1048576,0),MATCH(U$6,'Restaurant Base (Hidden)'!$A$1:$Z$1,0)),"")</f>
        <v>4</v>
      </c>
      <c r="V27" s="2" t="str">
        <f>+IFERROR(INDEX('Restaurant Base (Hidden)'!$A$2:$Z$1048576,MATCH($C27,'Restaurant Base (Hidden)'!$C$2:$C$1048576,0),MATCH(V$6,'Restaurant Base (Hidden)'!$A$1:$Z$1,0)),"")</f>
        <v/>
      </c>
      <c r="W27" s="65" t="str">
        <f>+IFERROR(INDEX('Restaurant Base (Hidden)'!$A$2:$Z$1048576,MATCH($C27,'Restaurant Base (Hidden)'!$C$2:$C$1048576,0),MATCH(W$6,'Restaurant Base (Hidden)'!$A$1:$Z$1,0)),"")</f>
        <v>83,50 %</v>
      </c>
      <c r="X27" s="1">
        <f>+IFERROR(INDEX('Restaurant Base (Hidden)'!$A$2:$Z$1048576,MATCH($C27,'Restaurant Base (Hidden)'!$C$2:$C$1048576,0),MATCH(X$6,'Restaurant Base (Hidden)'!$A$1:$Z$1,0)),"")</f>
        <v>3</v>
      </c>
      <c r="Y27" s="65" t="str">
        <f>+IFERROR(INDEX('Restaurant Base (Hidden)'!$A$2:$Z$1048576,MATCH($C27,'Restaurant Base (Hidden)'!$C$2:$C$1048576,0),MATCH(Y$6,'Restaurant Base (Hidden)'!$A$1:$Z$1,0)),"")</f>
        <v>98,80 %</v>
      </c>
      <c r="Z27" s="106">
        <f>+IFERROR(INDEX('Restaurant Base (Hidden)'!$A$2:$Z$1048576,MATCH($C27,'Restaurant Base (Hidden)'!$C$2:$C$1048576,0),MATCH(Z$6,'Restaurant Base (Hidden)'!$A$1:$Z$1,0)),"")</f>
        <v>5</v>
      </c>
      <c r="AA27" s="65" t="str">
        <f>+IFERROR(INDEX('Restaurant Base (Hidden)'!$A$2:$Z$1048576,MATCH($C27,'Restaurant Base (Hidden)'!$C$2:$C$1048576,0),MATCH(AA$6,'Restaurant Base (Hidden)'!$A$1:$Z$1,0)),"")</f>
        <v>94,40 %</v>
      </c>
      <c r="AB27" s="1">
        <f>+IFERROR(INDEX('Restaurant Base (Hidden)'!$A$2:$Z$1048576,MATCH($C27,'Restaurant Base (Hidden)'!$C$2:$C$1048576,0),MATCH(AB$6,'Restaurant Base (Hidden)'!$A$1:$Z$1,0)),"")</f>
        <v>3</v>
      </c>
      <c r="AC27" s="20" t="str">
        <f>+IFERROR(INDEX('Restaurant Base (Hidden)'!$A$2:$Z$1048576,MATCH($C27,'Restaurant Base (Hidden)'!$C$2:$C$1048576,0),MATCH(AC$6,'Restaurant Base (Hidden)'!$A$1:$Z$1,0)),"")</f>
        <v/>
      </c>
      <c r="AD27" s="65" t="str">
        <f>+IFERROR(INDEX('Restaurant Base (Hidden)'!$A$2:$Z$1048576,MATCH($C27,'Restaurant Base (Hidden)'!$C$2:$C$1048576,0),MATCH(AD$6,'Restaurant Base (Hidden)'!$A$1:$Z$1,0)),"")</f>
        <v>92,70 %</v>
      </c>
      <c r="AE27" s="1">
        <f>+IFERROR(INDEX('Restaurant Base (Hidden)'!$A$2:$Z$1048576,MATCH($C27,'Restaurant Base (Hidden)'!$C$2:$C$1048576,0),MATCH(AE$6,'Restaurant Base (Hidden)'!$A$1:$Z$1,0)),"")</f>
        <v>4</v>
      </c>
      <c r="AF27" s="65" t="str">
        <f>+IFERROR(INDEX('Restaurant Base (Hidden)'!$A$2:$Z$1048576,MATCH($C27,'Restaurant Base (Hidden)'!$C$2:$C$1048576,0),MATCH(AF$6,'Restaurant Base (Hidden)'!$A$1:$Z$1,0)),"")</f>
        <v>84,10 %</v>
      </c>
      <c r="AG27" s="1">
        <f>+IFERROR(INDEX('Restaurant Base (Hidden)'!$A$2:$Z$1048576,MATCH($C27,'Restaurant Base (Hidden)'!$C$2:$C$1048576,0),MATCH(AG$6,'Restaurant Base (Hidden)'!$A$1:$Z$1,0)),"")</f>
        <v>3</v>
      </c>
    </row>
    <row r="28" spans="1:33" x14ac:dyDescent="0.4">
      <c r="A28" s="163" t="str">
        <f>IF('Restaurant Base (Hidden)'!A76=0,"", 'Restaurant Base (Hidden)'!A76)</f>
        <v>Reese Whitmore</v>
      </c>
      <c r="B28" s="163" t="str">
        <f>IF('Restaurant Base (Hidden)'!B76=0,"", 'Restaurant Base (Hidden)'!B76)</f>
        <v>Crestwood Dining</v>
      </c>
      <c r="C28" s="163" t="str">
        <f>IF('Restaurant Base (Hidden)'!C76=0,"", 'Restaurant Base (Hidden)'!C76)</f>
        <v>Highland Quay</v>
      </c>
      <c r="D28" s="104">
        <f t="shared" si="0"/>
        <v>22</v>
      </c>
      <c r="E28" s="105">
        <f>+IFERROR(INDEX('Restaurant Base (Hidden)'!$A$2:$Z$1048576,MATCH($C28,'Restaurant Base (Hidden)'!$C$2:$C$1048576,0),MATCH(E$6,'Restaurant Base (Hidden)'!$A$1:$Z$1,0)),"")</f>
        <v>3.72</v>
      </c>
      <c r="F28" s="64" t="str">
        <f>+IFERROR(INDEX('Restaurant Base (Hidden)'!$A$2:$Z$1048576,MATCH($C28,'Restaurant Base (Hidden)'!$C$2:$C$1048576,0),MATCH(F$6,'Restaurant Base (Hidden)'!$A$1:$Z$1,0)),"")</f>
        <v/>
      </c>
      <c r="G28" s="20" t="str">
        <f>+IFERROR(INDEX('Restaurant Base (Hidden)'!$A$2:$Z$1048576,MATCH($C28,'Restaurant Base (Hidden)'!$C$2:$C$1048576,0),MATCH(G$6,'Restaurant Base (Hidden)'!$A$1:$Z$1,0)),"")</f>
        <v>4,576</v>
      </c>
      <c r="H28" s="50">
        <f>+IFERROR(INDEX('Restaurant Base (Hidden)'!$A$2:$Z$1048576,MATCH($C28,'Restaurant Base (Hidden)'!$C$2:$C$1048576,0),MATCH(H$6,'Restaurant Base (Hidden)'!$A$1:$Z$1,0)),"")</f>
        <v>5</v>
      </c>
      <c r="I28" s="20" t="str">
        <f>+IFERROR(INDEX('Restaurant Base (Hidden)'!$A$2:$Z$1048576,MATCH($C28,'Restaurant Base (Hidden)'!$C$2:$C$1048576,0),MATCH(I$6,'Restaurant Base (Hidden)'!$A$1:$Z$1,0)),"")</f>
        <v>91,80 %</v>
      </c>
      <c r="J28" s="49">
        <f>+IFERROR(INDEX('Restaurant Base (Hidden)'!$A$2:$Z$1048576,MATCH($C28,'Restaurant Base (Hidden)'!$C$2:$C$1048576,0),MATCH(J$6,'Restaurant Base (Hidden)'!$A$1:$Z$1,0)),"")</f>
        <v>4</v>
      </c>
      <c r="K28" s="20" t="str">
        <f>+IFERROR(INDEX('Restaurant Base (Hidden)'!$A$2:$Z$1048576,MATCH($C28,'Restaurant Base (Hidden)'!$C$2:$C$1048576,0),MATCH(K$6,'Restaurant Base (Hidden)'!$A$1:$Z$1,0)),"")</f>
        <v>0,085</v>
      </c>
      <c r="L28" s="51">
        <f>+IFERROR(INDEX('Restaurant Base (Hidden)'!$A$2:$Z$1048576,MATCH($C28,'Restaurant Base (Hidden)'!$C$2:$C$1048576,0),MATCH(L$6,'Restaurant Base (Hidden)'!$A$1:$Z$1,0)),"")</f>
        <v>4</v>
      </c>
      <c r="M28" s="2" t="str">
        <f>+IFERROR(INDEX('Restaurant Base (Hidden)'!$A$2:$Z$1048576,MATCH($C28,'Restaurant Base (Hidden)'!$C$2:$C$1048576,0),MATCH(M$6,'Restaurant Base (Hidden)'!$A$1:$Z$1,0)),"")</f>
        <v/>
      </c>
      <c r="N28" s="234" t="str">
        <f>+IFERROR(INDEX('Restaurant Base (Hidden)'!$A$2:$Z$1048576,MATCH($C28,'Restaurant Base (Hidden)'!$C$2:$C$1048576,0),MATCH(N$6,'Restaurant Base (Hidden)'!$A$1:$Z$1,0)),"")</f>
        <v>71,50 %</v>
      </c>
      <c r="O28" s="1">
        <f>+IFERROR(INDEX('Restaurant Base (Hidden)'!$A$2:$Z$1048576,MATCH($C28,'Restaurant Base (Hidden)'!$C$2:$C$1048576,0),MATCH(O$6,'Restaurant Base (Hidden)'!$A$1:$Z$1,0)),"")</f>
        <v>4</v>
      </c>
      <c r="P28" s="2" t="str">
        <f>+IFERROR(INDEX('Restaurant Base (Hidden)'!$A$2:$Z$1048576,MATCH($C28,'Restaurant Base (Hidden)'!$C$2:$C$1048576,0),MATCH(P$6,'Restaurant Base (Hidden)'!$A$1:$Z$1,0)),"")</f>
        <v/>
      </c>
      <c r="Q28" s="234" t="str">
        <f>+IFERROR(INDEX('Restaurant Base (Hidden)'!$A$2:$Z$1048576,MATCH($C28,'Restaurant Base (Hidden)'!$C$2:$C$1048576,0),MATCH(Q$6,'Restaurant Base (Hidden)'!$A$1:$Z$1,0)),"")</f>
        <v>92,90 %</v>
      </c>
      <c r="R28" s="1">
        <f>+IFERROR(INDEX('Restaurant Base (Hidden)'!$A$2:$Z$1048576,MATCH($C28,'Restaurant Base (Hidden)'!$C$2:$C$1048576,0),MATCH(R$6,'Restaurant Base (Hidden)'!$A$1:$Z$1,0)),"")</f>
        <v>5</v>
      </c>
      <c r="S28" s="2" t="str">
        <f>+IFERROR(INDEX('Restaurant Base (Hidden)'!$A$2:$Z$1048576,MATCH($C28,'Restaurant Base (Hidden)'!$C$2:$C$1048576,0),MATCH(S$6,'Restaurant Base (Hidden)'!$A$1:$Z$1,0)),"")</f>
        <v/>
      </c>
      <c r="T28" s="62">
        <f>+IFERROR(INDEX('Restaurant Base (Hidden)'!$A$2:$Z$1048576,MATCH($C28,'Restaurant Base (Hidden)'!$C$2:$C$1048576,0),MATCH(T$6,'Restaurant Base (Hidden)'!$A$1:$Z$1,0)),"")</f>
        <v>63.9</v>
      </c>
      <c r="U28" s="1">
        <f>+IFERROR(INDEX('Restaurant Base (Hidden)'!$A$2:$Z$1048576,MATCH($C28,'Restaurant Base (Hidden)'!$C$2:$C$1048576,0),MATCH(U$6,'Restaurant Base (Hidden)'!$A$1:$Z$1,0)),"")</f>
        <v>3</v>
      </c>
      <c r="V28" s="2" t="str">
        <f>+IFERROR(INDEX('Restaurant Base (Hidden)'!$A$2:$Z$1048576,MATCH($C28,'Restaurant Base (Hidden)'!$C$2:$C$1048576,0),MATCH(V$6,'Restaurant Base (Hidden)'!$A$1:$Z$1,0)),"")</f>
        <v/>
      </c>
      <c r="W28" s="65" t="str">
        <f>+IFERROR(INDEX('Restaurant Base (Hidden)'!$A$2:$Z$1048576,MATCH($C28,'Restaurant Base (Hidden)'!$C$2:$C$1048576,0),MATCH(W$6,'Restaurant Base (Hidden)'!$A$1:$Z$1,0)),"")</f>
        <v>82,70 %</v>
      </c>
      <c r="X28" s="1">
        <f>+IFERROR(INDEX('Restaurant Base (Hidden)'!$A$2:$Z$1048576,MATCH($C28,'Restaurant Base (Hidden)'!$C$2:$C$1048576,0),MATCH(X$6,'Restaurant Base (Hidden)'!$A$1:$Z$1,0)),"")</f>
        <v>3</v>
      </c>
      <c r="Y28" s="65" t="str">
        <f>+IFERROR(INDEX('Restaurant Base (Hidden)'!$A$2:$Z$1048576,MATCH($C28,'Restaurant Base (Hidden)'!$C$2:$C$1048576,0),MATCH(Y$6,'Restaurant Base (Hidden)'!$A$1:$Z$1,0)),"")</f>
        <v>67,20 %</v>
      </c>
      <c r="Z28" s="106">
        <f>+IFERROR(INDEX('Restaurant Base (Hidden)'!$A$2:$Z$1048576,MATCH($C28,'Restaurant Base (Hidden)'!$C$2:$C$1048576,0),MATCH(Z$6,'Restaurant Base (Hidden)'!$A$1:$Z$1,0)),"")</f>
        <v>2</v>
      </c>
      <c r="AA28" s="65" t="str">
        <f>+IFERROR(INDEX('Restaurant Base (Hidden)'!$A$2:$Z$1048576,MATCH($C28,'Restaurant Base (Hidden)'!$C$2:$C$1048576,0),MATCH(AA$6,'Restaurant Base (Hidden)'!$A$1:$Z$1,0)),"")</f>
        <v>91,30 %</v>
      </c>
      <c r="AB28" s="1">
        <f>+IFERROR(INDEX('Restaurant Base (Hidden)'!$A$2:$Z$1048576,MATCH($C28,'Restaurant Base (Hidden)'!$C$2:$C$1048576,0),MATCH(AB$6,'Restaurant Base (Hidden)'!$A$1:$Z$1,0)),"")</f>
        <v>3</v>
      </c>
      <c r="AC28" s="20" t="str">
        <f>+IFERROR(INDEX('Restaurant Base (Hidden)'!$A$2:$Z$1048576,MATCH($C28,'Restaurant Base (Hidden)'!$C$2:$C$1048576,0),MATCH(AC$6,'Restaurant Base (Hidden)'!$A$1:$Z$1,0)),"")</f>
        <v/>
      </c>
      <c r="AD28" s="65" t="str">
        <f>+IFERROR(INDEX('Restaurant Base (Hidden)'!$A$2:$Z$1048576,MATCH($C28,'Restaurant Base (Hidden)'!$C$2:$C$1048576,0),MATCH(AD$6,'Restaurant Base (Hidden)'!$A$1:$Z$1,0)),"")</f>
        <v>74,10 %</v>
      </c>
      <c r="AE28" s="1">
        <f>+IFERROR(INDEX('Restaurant Base (Hidden)'!$A$2:$Z$1048576,MATCH($C28,'Restaurant Base (Hidden)'!$C$2:$C$1048576,0),MATCH(AE$6,'Restaurant Base (Hidden)'!$A$1:$Z$1,0)),"")</f>
        <v>2</v>
      </c>
      <c r="AF28" s="65" t="str">
        <f>+IFERROR(INDEX('Restaurant Base (Hidden)'!$A$2:$Z$1048576,MATCH($C28,'Restaurant Base (Hidden)'!$C$2:$C$1048576,0),MATCH(AF$6,'Restaurant Base (Hidden)'!$A$1:$Z$1,0)),"")</f>
        <v>97,00 %</v>
      </c>
      <c r="AG28" s="1">
        <f>+IFERROR(INDEX('Restaurant Base (Hidden)'!$A$2:$Z$1048576,MATCH($C28,'Restaurant Base (Hidden)'!$C$2:$C$1048576,0),MATCH(AG$6,'Restaurant Base (Hidden)'!$A$1:$Z$1,0)),"")</f>
        <v>4</v>
      </c>
    </row>
    <row r="29" spans="1:33" x14ac:dyDescent="0.4">
      <c r="A29" s="163" t="str">
        <f>IF('Restaurant Base (Hidden)'!A80=0,"", 'Restaurant Base (Hidden)'!A80)</f>
        <v>Taylor Hartwell</v>
      </c>
      <c r="B29" s="163" t="str">
        <f>IF('Restaurant Base (Hidden)'!B80=0,"", 'Restaurant Base (Hidden)'!B80)</f>
        <v>Elmwood Dining Group</v>
      </c>
      <c r="C29" s="163" t="str">
        <f>IF('Restaurant Base (Hidden)'!C80=0,"", 'Restaurant Base (Hidden)'!C80)</f>
        <v>Riverside Gardens</v>
      </c>
      <c r="D29" s="104">
        <f t="shared" si="0"/>
        <v>22</v>
      </c>
      <c r="E29" s="105">
        <f>+IFERROR(INDEX('Restaurant Base (Hidden)'!$A$2:$Z$1048576,MATCH($C29,'Restaurant Base (Hidden)'!$C$2:$C$1048576,0),MATCH(E$6,'Restaurant Base (Hidden)'!$A$1:$Z$1,0)),"")</f>
        <v>3.72</v>
      </c>
      <c r="F29" s="2" t="str">
        <f>+IFERROR(INDEX('Restaurant Base (Hidden)'!$A$2:$Z$1048576,MATCH($C29,'Restaurant Base (Hidden)'!$C$2:$C$1048576,0),MATCH(F$6,'Restaurant Base (Hidden)'!$A$1:$Z$1,0)),"")</f>
        <v/>
      </c>
      <c r="G29" s="20" t="str">
        <f>+IFERROR(INDEX('Restaurant Base (Hidden)'!$A$2:$Z$1048576,MATCH($C29,'Restaurant Base (Hidden)'!$C$2:$C$1048576,0),MATCH(G$6,'Restaurant Base (Hidden)'!$A$1:$Z$1,0)),"")</f>
        <v>4,126</v>
      </c>
      <c r="H29" s="50">
        <f>+IFERROR(INDEX('Restaurant Base (Hidden)'!$A$2:$Z$1048576,MATCH($C29,'Restaurant Base (Hidden)'!$C$2:$C$1048576,0),MATCH(H$6,'Restaurant Base (Hidden)'!$A$1:$Z$1,0)),"")</f>
        <v>2</v>
      </c>
      <c r="I29" s="20" t="str">
        <f>+IFERROR(INDEX('Restaurant Base (Hidden)'!$A$2:$Z$1048576,MATCH($C29,'Restaurant Base (Hidden)'!$C$2:$C$1048576,0),MATCH(I$6,'Restaurant Base (Hidden)'!$A$1:$Z$1,0)),"")</f>
        <v>92,90 %</v>
      </c>
      <c r="J29" s="49">
        <f>+IFERROR(INDEX('Restaurant Base (Hidden)'!$A$2:$Z$1048576,MATCH($C29,'Restaurant Base (Hidden)'!$C$2:$C$1048576,0),MATCH(J$6,'Restaurant Base (Hidden)'!$A$1:$Z$1,0)),"")</f>
        <v>4</v>
      </c>
      <c r="K29" s="20" t="str">
        <f>+IFERROR(INDEX('Restaurant Base (Hidden)'!$A$2:$Z$1048576,MATCH($C29,'Restaurant Base (Hidden)'!$C$2:$C$1048576,0),MATCH(K$6,'Restaurant Base (Hidden)'!$A$1:$Z$1,0)),"")</f>
        <v>0,053</v>
      </c>
      <c r="L29" s="51">
        <f>+IFERROR(INDEX('Restaurant Base (Hidden)'!$A$2:$Z$1048576,MATCH($C29,'Restaurant Base (Hidden)'!$C$2:$C$1048576,0),MATCH(L$6,'Restaurant Base (Hidden)'!$A$1:$Z$1,0)),"")</f>
        <v>5</v>
      </c>
      <c r="M29" s="2" t="str">
        <f>+IFERROR(INDEX('Restaurant Base (Hidden)'!$A$2:$Z$1048576,MATCH($C29,'Restaurant Base (Hidden)'!$C$2:$C$1048576,0),MATCH(M$6,'Restaurant Base (Hidden)'!$A$1:$Z$1,0)),"")</f>
        <v/>
      </c>
      <c r="N29" s="234" t="str">
        <f>+IFERROR(INDEX('Restaurant Base (Hidden)'!$A$2:$Z$1048576,MATCH($C29,'Restaurant Base (Hidden)'!$C$2:$C$1048576,0),MATCH(N$6,'Restaurant Base (Hidden)'!$A$1:$Z$1,0)),"")</f>
        <v>91,50 %</v>
      </c>
      <c r="O29" s="1">
        <f>+IFERROR(INDEX('Restaurant Base (Hidden)'!$A$2:$Z$1048576,MATCH($C29,'Restaurant Base (Hidden)'!$C$2:$C$1048576,0),MATCH(O$6,'Restaurant Base (Hidden)'!$A$1:$Z$1,0)),"")</f>
        <v>5</v>
      </c>
      <c r="P29" s="2" t="str">
        <f>+IFERROR(INDEX('Restaurant Base (Hidden)'!$A$2:$Z$1048576,MATCH($C29,'Restaurant Base (Hidden)'!$C$2:$C$1048576,0),MATCH(P$6,'Restaurant Base (Hidden)'!$A$1:$Z$1,0)),"")</f>
        <v/>
      </c>
      <c r="Q29" s="234" t="str">
        <f>+IFERROR(INDEX('Restaurant Base (Hidden)'!$A$2:$Z$1048576,MATCH($C29,'Restaurant Base (Hidden)'!$C$2:$C$1048576,0),MATCH(Q$6,'Restaurant Base (Hidden)'!$A$1:$Z$1,0)),"")</f>
        <v>75,80 %</v>
      </c>
      <c r="R29" s="1">
        <f>+IFERROR(INDEX('Restaurant Base (Hidden)'!$A$2:$Z$1048576,MATCH($C29,'Restaurant Base (Hidden)'!$C$2:$C$1048576,0),MATCH(R$6,'Restaurant Base (Hidden)'!$A$1:$Z$1,0)),"")</f>
        <v>5</v>
      </c>
      <c r="S29" s="2" t="str">
        <f>+IFERROR(INDEX('Restaurant Base (Hidden)'!$A$2:$Z$1048576,MATCH($C29,'Restaurant Base (Hidden)'!$C$2:$C$1048576,0),MATCH(S$6,'Restaurant Base (Hidden)'!$A$1:$Z$1,0)),"")</f>
        <v/>
      </c>
      <c r="T29" s="62">
        <f>+IFERROR(INDEX('Restaurant Base (Hidden)'!$A$2:$Z$1048576,MATCH($C29,'Restaurant Base (Hidden)'!$C$2:$C$1048576,0),MATCH(T$6,'Restaurant Base (Hidden)'!$A$1:$Z$1,0)),"")</f>
        <v>63.7</v>
      </c>
      <c r="U29" s="1">
        <f>+IFERROR(INDEX('Restaurant Base (Hidden)'!$A$2:$Z$1048576,MATCH($C29,'Restaurant Base (Hidden)'!$C$2:$C$1048576,0),MATCH(U$6,'Restaurant Base (Hidden)'!$A$1:$Z$1,0)),"")</f>
        <v>3</v>
      </c>
      <c r="V29" s="2" t="str">
        <f>+IFERROR(INDEX('Restaurant Base (Hidden)'!$A$2:$Z$1048576,MATCH($C29,'Restaurant Base (Hidden)'!$C$2:$C$1048576,0),MATCH(V$6,'Restaurant Base (Hidden)'!$A$1:$Z$1,0)),"")</f>
        <v/>
      </c>
      <c r="W29" s="65" t="str">
        <f>+IFERROR(INDEX('Restaurant Base (Hidden)'!$A$2:$Z$1048576,MATCH($C29,'Restaurant Base (Hidden)'!$C$2:$C$1048576,0),MATCH(W$6,'Restaurant Base (Hidden)'!$A$1:$Z$1,0)),"")</f>
        <v>99,40 %</v>
      </c>
      <c r="X29" s="1">
        <f>+IFERROR(INDEX('Restaurant Base (Hidden)'!$A$2:$Z$1048576,MATCH($C29,'Restaurant Base (Hidden)'!$C$2:$C$1048576,0),MATCH(X$6,'Restaurant Base (Hidden)'!$A$1:$Z$1,0)),"")</f>
        <v>5</v>
      </c>
      <c r="Y29" s="65" t="str">
        <f>+IFERROR(INDEX('Restaurant Base (Hidden)'!$A$2:$Z$1048576,MATCH($C29,'Restaurant Base (Hidden)'!$C$2:$C$1048576,0),MATCH(Y$6,'Restaurant Base (Hidden)'!$A$1:$Z$1,0)),"")</f>
        <v>94,80 %</v>
      </c>
      <c r="Z29" s="106">
        <f>+IFERROR(INDEX('Restaurant Base (Hidden)'!$A$2:$Z$1048576,MATCH($C29,'Restaurant Base (Hidden)'!$C$2:$C$1048576,0),MATCH(Z$6,'Restaurant Base (Hidden)'!$A$1:$Z$1,0)),"")</f>
        <v>4</v>
      </c>
      <c r="AA29" s="65" t="str">
        <f>+IFERROR(INDEX('Restaurant Base (Hidden)'!$A$2:$Z$1048576,MATCH($C29,'Restaurant Base (Hidden)'!$C$2:$C$1048576,0),MATCH(AA$6,'Restaurant Base (Hidden)'!$A$1:$Z$1,0)),"")</f>
        <v>83,40 %</v>
      </c>
      <c r="AB29" s="1">
        <f>+IFERROR(INDEX('Restaurant Base (Hidden)'!$A$2:$Z$1048576,MATCH($C29,'Restaurant Base (Hidden)'!$C$2:$C$1048576,0),MATCH(AB$6,'Restaurant Base (Hidden)'!$A$1:$Z$1,0)),"")</f>
        <v>2</v>
      </c>
      <c r="AC29" s="20" t="str">
        <f>+IFERROR(INDEX('Restaurant Base (Hidden)'!$A$2:$Z$1048576,MATCH($C29,'Restaurant Base (Hidden)'!$C$2:$C$1048576,0),MATCH(AC$6,'Restaurant Base (Hidden)'!$A$1:$Z$1,0)),"")</f>
        <v/>
      </c>
      <c r="AD29" s="65" t="str">
        <f>+IFERROR(INDEX('Restaurant Base (Hidden)'!$A$2:$Z$1048576,MATCH($C29,'Restaurant Base (Hidden)'!$C$2:$C$1048576,0),MATCH(AD$6,'Restaurant Base (Hidden)'!$A$1:$Z$1,0)),"")</f>
        <v>73,50 %</v>
      </c>
      <c r="AE29" s="1">
        <f>+IFERROR(INDEX('Restaurant Base (Hidden)'!$A$2:$Z$1048576,MATCH($C29,'Restaurant Base (Hidden)'!$C$2:$C$1048576,0),MATCH(AE$6,'Restaurant Base (Hidden)'!$A$1:$Z$1,0)),"")</f>
        <v>2</v>
      </c>
      <c r="AF29" s="65" t="str">
        <f>+IFERROR(INDEX('Restaurant Base (Hidden)'!$A$2:$Z$1048576,MATCH($C29,'Restaurant Base (Hidden)'!$C$2:$C$1048576,0),MATCH(AF$6,'Restaurant Base (Hidden)'!$A$1:$Z$1,0)),"")</f>
        <v>87,10 %</v>
      </c>
      <c r="AG29" s="1">
        <f>+IFERROR(INDEX('Restaurant Base (Hidden)'!$A$2:$Z$1048576,MATCH($C29,'Restaurant Base (Hidden)'!$C$2:$C$1048576,0),MATCH(AG$6,'Restaurant Base (Hidden)'!$A$1:$Z$1,0)),"")</f>
        <v>3</v>
      </c>
    </row>
    <row r="30" spans="1:33" x14ac:dyDescent="0.4">
      <c r="A30" s="163" t="str">
        <f>IF('Restaurant Base (Hidden)'!A171=0,"", 'Restaurant Base (Hidden)'!A171)</f>
        <v>Dakota Cavendish</v>
      </c>
      <c r="B30" s="163" t="str">
        <f>IF('Restaurant Base (Hidden)'!B171=0,"", 'Restaurant Base (Hidden)'!B171)</f>
        <v>Harborline Dining</v>
      </c>
      <c r="C30" s="163" t="str">
        <f>IF('Restaurant Base (Hidden)'!C171=0,"", 'Restaurant Base (Hidden)'!C171)</f>
        <v>Meadow Place</v>
      </c>
      <c r="D30" s="104">
        <f t="shared" si="0"/>
        <v>22</v>
      </c>
      <c r="E30" s="105">
        <f>+IFERROR(INDEX('Restaurant Base (Hidden)'!$A$2:$Z$1048576,MATCH($C30,'Restaurant Base (Hidden)'!$C$2:$C$1048576,0),MATCH(E$6,'Restaurant Base (Hidden)'!$A$1:$Z$1,0)),"")</f>
        <v>3.72</v>
      </c>
      <c r="F30" s="2" t="str">
        <f>+IFERROR(INDEX('Restaurant Base (Hidden)'!$A$2:$Z$1048576,MATCH($C30,'Restaurant Base (Hidden)'!$C$2:$C$1048576,0),MATCH(F$6,'Restaurant Base (Hidden)'!$A$1:$Z$1,0)),"")</f>
        <v/>
      </c>
      <c r="G30" s="20" t="str">
        <f>+IFERROR(INDEX('Restaurant Base (Hidden)'!$A$2:$Z$1048576,MATCH($C30,'Restaurant Base (Hidden)'!$C$2:$C$1048576,0),MATCH(G$6,'Restaurant Base (Hidden)'!$A$1:$Z$1,0)),"")</f>
        <v>4,677</v>
      </c>
      <c r="H30" s="50">
        <f>+IFERROR(INDEX('Restaurant Base (Hidden)'!$A$2:$Z$1048576,MATCH($C30,'Restaurant Base (Hidden)'!$C$2:$C$1048576,0),MATCH(H$6,'Restaurant Base (Hidden)'!$A$1:$Z$1,0)),"")</f>
        <v>5</v>
      </c>
      <c r="I30" s="20" t="str">
        <f>+IFERROR(INDEX('Restaurant Base (Hidden)'!$A$2:$Z$1048576,MATCH($C30,'Restaurant Base (Hidden)'!$C$2:$C$1048576,0),MATCH(I$6,'Restaurant Base (Hidden)'!$A$1:$Z$1,0)),"")</f>
        <v>94,40 %</v>
      </c>
      <c r="J30" s="49">
        <f>+IFERROR(INDEX('Restaurant Base (Hidden)'!$A$2:$Z$1048576,MATCH($C30,'Restaurant Base (Hidden)'!$C$2:$C$1048576,0),MATCH(J$6,'Restaurant Base (Hidden)'!$A$1:$Z$1,0)),"")</f>
        <v>5</v>
      </c>
      <c r="K30" s="20" t="str">
        <f>+IFERROR(INDEX('Restaurant Base (Hidden)'!$A$2:$Z$1048576,MATCH($C30,'Restaurant Base (Hidden)'!$C$2:$C$1048576,0),MATCH(K$6,'Restaurant Base (Hidden)'!$A$1:$Z$1,0)),"")</f>
        <v>0,158</v>
      </c>
      <c r="L30" s="51">
        <f>+IFERROR(INDEX('Restaurant Base (Hidden)'!$A$2:$Z$1048576,MATCH($C30,'Restaurant Base (Hidden)'!$C$2:$C$1048576,0),MATCH(L$6,'Restaurant Base (Hidden)'!$A$1:$Z$1,0)),"")</f>
        <v>2</v>
      </c>
      <c r="M30" s="2" t="str">
        <f>+IFERROR(INDEX('Restaurant Base (Hidden)'!$A$2:$Z$1048576,MATCH($C30,'Restaurant Base (Hidden)'!$C$2:$C$1048576,0),MATCH(M$6,'Restaurant Base (Hidden)'!$A$1:$Z$1,0)),"")</f>
        <v/>
      </c>
      <c r="N30" s="234" t="str">
        <f>+IFERROR(INDEX('Restaurant Base (Hidden)'!$A$2:$Z$1048576,MATCH($C30,'Restaurant Base (Hidden)'!$C$2:$C$1048576,0),MATCH(N$6,'Restaurant Base (Hidden)'!$A$1:$Z$1,0)),"")</f>
        <v>97,30 %</v>
      </c>
      <c r="O30" s="1">
        <f>+IFERROR(INDEX('Restaurant Base (Hidden)'!$A$2:$Z$1048576,MATCH($C30,'Restaurant Base (Hidden)'!$C$2:$C$1048576,0),MATCH(O$6,'Restaurant Base (Hidden)'!$A$1:$Z$1,0)),"")</f>
        <v>5</v>
      </c>
      <c r="P30" s="2" t="str">
        <f>+IFERROR(INDEX('Restaurant Base (Hidden)'!$A$2:$Z$1048576,MATCH($C30,'Restaurant Base (Hidden)'!$C$2:$C$1048576,0),MATCH(P$6,'Restaurant Base (Hidden)'!$A$1:$Z$1,0)),"")</f>
        <v/>
      </c>
      <c r="Q30" s="234" t="str">
        <f>+IFERROR(INDEX('Restaurant Base (Hidden)'!$A$2:$Z$1048576,MATCH($C30,'Restaurant Base (Hidden)'!$C$2:$C$1048576,0),MATCH(Q$6,'Restaurant Base (Hidden)'!$A$1:$Z$1,0)),"")</f>
        <v>70,30 %</v>
      </c>
      <c r="R30" s="1">
        <f>+IFERROR(INDEX('Restaurant Base (Hidden)'!$A$2:$Z$1048576,MATCH($C30,'Restaurant Base (Hidden)'!$C$2:$C$1048576,0),MATCH(R$6,'Restaurant Base (Hidden)'!$A$1:$Z$1,0)),"")</f>
        <v>4</v>
      </c>
      <c r="S30" s="2" t="str">
        <f>+IFERROR(INDEX('Restaurant Base (Hidden)'!$A$2:$Z$1048576,MATCH($C30,'Restaurant Base (Hidden)'!$C$2:$C$1048576,0),MATCH(S$6,'Restaurant Base (Hidden)'!$A$1:$Z$1,0)),"")</f>
        <v/>
      </c>
      <c r="T30" s="62">
        <f>+IFERROR(INDEX('Restaurant Base (Hidden)'!$A$2:$Z$1048576,MATCH($C30,'Restaurant Base (Hidden)'!$C$2:$C$1048576,0),MATCH(T$6,'Restaurant Base (Hidden)'!$A$1:$Z$1,0)),"")</f>
        <v>60.4</v>
      </c>
      <c r="U30" s="1">
        <f>+IFERROR(INDEX('Restaurant Base (Hidden)'!$A$2:$Z$1048576,MATCH($C30,'Restaurant Base (Hidden)'!$C$2:$C$1048576,0),MATCH(U$6,'Restaurant Base (Hidden)'!$A$1:$Z$1,0)),"")</f>
        <v>2</v>
      </c>
      <c r="V30" s="2" t="str">
        <f>+IFERROR(INDEX('Restaurant Base (Hidden)'!$A$2:$Z$1048576,MATCH($C30,'Restaurant Base (Hidden)'!$C$2:$C$1048576,0),MATCH(V$6,'Restaurant Base (Hidden)'!$A$1:$Z$1,0)),"")</f>
        <v/>
      </c>
      <c r="W30" s="65" t="str">
        <f>+IFERROR(INDEX('Restaurant Base (Hidden)'!$A$2:$Z$1048576,MATCH($C30,'Restaurant Base (Hidden)'!$C$2:$C$1048576,0),MATCH(W$6,'Restaurant Base (Hidden)'!$A$1:$Z$1,0)),"")</f>
        <v>58,00 %</v>
      </c>
      <c r="X30" s="1">
        <f>+IFERROR(INDEX('Restaurant Base (Hidden)'!$A$2:$Z$1048576,MATCH($C30,'Restaurant Base (Hidden)'!$C$2:$C$1048576,0),MATCH(X$6,'Restaurant Base (Hidden)'!$A$1:$Z$1,0)),"")</f>
        <v>1</v>
      </c>
      <c r="Y30" s="65" t="str">
        <f>+IFERROR(INDEX('Restaurant Base (Hidden)'!$A$2:$Z$1048576,MATCH($C30,'Restaurant Base (Hidden)'!$C$2:$C$1048576,0),MATCH(Y$6,'Restaurant Base (Hidden)'!$A$1:$Z$1,0)),"")</f>
        <v>69,70 %</v>
      </c>
      <c r="Z30" s="106">
        <f>+IFERROR(INDEX('Restaurant Base (Hidden)'!$A$2:$Z$1048576,MATCH($C30,'Restaurant Base (Hidden)'!$C$2:$C$1048576,0),MATCH(Z$6,'Restaurant Base (Hidden)'!$A$1:$Z$1,0)),"")</f>
        <v>2</v>
      </c>
      <c r="AA30" s="65" t="str">
        <f>+IFERROR(INDEX('Restaurant Base (Hidden)'!$A$2:$Z$1048576,MATCH($C30,'Restaurant Base (Hidden)'!$C$2:$C$1048576,0),MATCH(AA$6,'Restaurant Base (Hidden)'!$A$1:$Z$1,0)),"")</f>
        <v>80,60 %</v>
      </c>
      <c r="AB30" s="1">
        <f>+IFERROR(INDEX('Restaurant Base (Hidden)'!$A$2:$Z$1048576,MATCH($C30,'Restaurant Base (Hidden)'!$C$2:$C$1048576,0),MATCH(AB$6,'Restaurant Base (Hidden)'!$A$1:$Z$1,0)),"")</f>
        <v>2</v>
      </c>
      <c r="AC30" s="20" t="str">
        <f>+IFERROR(INDEX('Restaurant Base (Hidden)'!$A$2:$Z$1048576,MATCH($C30,'Restaurant Base (Hidden)'!$C$2:$C$1048576,0),MATCH(AC$6,'Restaurant Base (Hidden)'!$A$1:$Z$1,0)),"")</f>
        <v/>
      </c>
      <c r="AD30" s="65" t="str">
        <f>+IFERROR(INDEX('Restaurant Base (Hidden)'!$A$2:$Z$1048576,MATCH($C30,'Restaurant Base (Hidden)'!$C$2:$C$1048576,0),MATCH(AD$6,'Restaurant Base (Hidden)'!$A$1:$Z$1,0)),"")</f>
        <v>96,90 %</v>
      </c>
      <c r="AE30" s="1">
        <f>+IFERROR(INDEX('Restaurant Base (Hidden)'!$A$2:$Z$1048576,MATCH($C30,'Restaurant Base (Hidden)'!$C$2:$C$1048576,0),MATCH(AE$6,'Restaurant Base (Hidden)'!$A$1:$Z$1,0)),"")</f>
        <v>5</v>
      </c>
      <c r="AF30" s="65" t="str">
        <f>+IFERROR(INDEX('Restaurant Base (Hidden)'!$A$2:$Z$1048576,MATCH($C30,'Restaurant Base (Hidden)'!$C$2:$C$1048576,0),MATCH(AF$6,'Restaurant Base (Hidden)'!$A$1:$Z$1,0)),"")</f>
        <v>94,90 %</v>
      </c>
      <c r="AG30" s="1">
        <f>+IFERROR(INDEX('Restaurant Base (Hidden)'!$A$2:$Z$1048576,MATCH($C30,'Restaurant Base (Hidden)'!$C$2:$C$1048576,0),MATCH(AG$6,'Restaurant Base (Hidden)'!$A$1:$Z$1,0)),"")</f>
        <v>4</v>
      </c>
    </row>
    <row r="31" spans="1:33" x14ac:dyDescent="0.4">
      <c r="A31" s="163" t="str">
        <f>IF('Restaurant Base (Hidden)'!A224=0,"", 'Restaurant Base (Hidden)'!A224)</f>
        <v>Skyler Everhart</v>
      </c>
      <c r="B31" s="163" t="str">
        <f>IF('Restaurant Base (Hidden)'!B224=0,"", 'Restaurant Base (Hidden)'!B224)</f>
        <v>Brookvale Dining</v>
      </c>
      <c r="C31" s="163" t="str">
        <f>IF('Restaurant Base (Hidden)'!C224=0,"", 'Restaurant Base (Hidden)'!C224)</f>
        <v>Royal Harbor</v>
      </c>
      <c r="D31" s="104">
        <f t="shared" si="0"/>
        <v>22</v>
      </c>
      <c r="E31" s="105">
        <f>+IFERROR(INDEX('Restaurant Base (Hidden)'!$A$2:$Z$1048576,MATCH($C31,'Restaurant Base (Hidden)'!$C$2:$C$1048576,0),MATCH(E$6,'Restaurant Base (Hidden)'!$A$1:$Z$1,0)),"")</f>
        <v>3.72</v>
      </c>
      <c r="F31" s="2" t="str">
        <f>+IFERROR(INDEX('Restaurant Base (Hidden)'!$A$2:$Z$1048576,MATCH($C31,'Restaurant Base (Hidden)'!$C$2:$C$1048576,0),MATCH(F$6,'Restaurant Base (Hidden)'!$A$1:$Z$1,0)),"")</f>
        <v/>
      </c>
      <c r="G31" s="20" t="str">
        <f>+IFERROR(INDEX('Restaurant Base (Hidden)'!$A$2:$Z$1048576,MATCH($C31,'Restaurant Base (Hidden)'!$C$2:$C$1048576,0),MATCH(G$6,'Restaurant Base (Hidden)'!$A$1:$Z$1,0)),"")</f>
        <v>4,399</v>
      </c>
      <c r="H31" s="50">
        <f>+IFERROR(INDEX('Restaurant Base (Hidden)'!$A$2:$Z$1048576,MATCH($C31,'Restaurant Base (Hidden)'!$C$2:$C$1048576,0),MATCH(H$6,'Restaurant Base (Hidden)'!$A$1:$Z$1,0)),"")</f>
        <v>4</v>
      </c>
      <c r="I31" s="20" t="str">
        <f>+IFERROR(INDEX('Restaurant Base (Hidden)'!$A$2:$Z$1048576,MATCH($C31,'Restaurant Base (Hidden)'!$C$2:$C$1048576,0),MATCH(I$6,'Restaurant Base (Hidden)'!$A$1:$Z$1,0)),"")</f>
        <v>92,30 %</v>
      </c>
      <c r="J31" s="49">
        <f>+IFERROR(INDEX('Restaurant Base (Hidden)'!$A$2:$Z$1048576,MATCH($C31,'Restaurant Base (Hidden)'!$C$2:$C$1048576,0),MATCH(J$6,'Restaurant Base (Hidden)'!$A$1:$Z$1,0)),"")</f>
        <v>4</v>
      </c>
      <c r="K31" s="20" t="str">
        <f>+IFERROR(INDEX('Restaurant Base (Hidden)'!$A$2:$Z$1048576,MATCH($C31,'Restaurant Base (Hidden)'!$C$2:$C$1048576,0),MATCH(K$6,'Restaurant Base (Hidden)'!$A$1:$Z$1,0)),"")</f>
        <v>0,083</v>
      </c>
      <c r="L31" s="51">
        <f>+IFERROR(INDEX('Restaurant Base (Hidden)'!$A$2:$Z$1048576,MATCH($C31,'Restaurant Base (Hidden)'!$C$2:$C$1048576,0),MATCH(L$6,'Restaurant Base (Hidden)'!$A$1:$Z$1,0)),"")</f>
        <v>4</v>
      </c>
      <c r="M31" s="2" t="str">
        <f>+IFERROR(INDEX('Restaurant Base (Hidden)'!$A$2:$Z$1048576,MATCH($C31,'Restaurant Base (Hidden)'!$C$2:$C$1048576,0),MATCH(M$6,'Restaurant Base (Hidden)'!$A$1:$Z$1,0)),"")</f>
        <v/>
      </c>
      <c r="N31" s="234" t="str">
        <f>+IFERROR(INDEX('Restaurant Base (Hidden)'!$A$2:$Z$1048576,MATCH($C31,'Restaurant Base (Hidden)'!$C$2:$C$1048576,0),MATCH(N$6,'Restaurant Base (Hidden)'!$A$1:$Z$1,0)),"")</f>
        <v>76,80 %</v>
      </c>
      <c r="O31" s="1">
        <f>+IFERROR(INDEX('Restaurant Base (Hidden)'!$A$2:$Z$1048576,MATCH($C31,'Restaurant Base (Hidden)'!$C$2:$C$1048576,0),MATCH(O$6,'Restaurant Base (Hidden)'!$A$1:$Z$1,0)),"")</f>
        <v>5</v>
      </c>
      <c r="P31" s="2" t="str">
        <f>+IFERROR(INDEX('Restaurant Base (Hidden)'!$A$2:$Z$1048576,MATCH($C31,'Restaurant Base (Hidden)'!$C$2:$C$1048576,0),MATCH(P$6,'Restaurant Base (Hidden)'!$A$1:$Z$1,0)),"")</f>
        <v/>
      </c>
      <c r="Q31" s="234" t="str">
        <f>+IFERROR(INDEX('Restaurant Base (Hidden)'!$A$2:$Z$1048576,MATCH($C31,'Restaurant Base (Hidden)'!$C$2:$C$1048576,0),MATCH(Q$6,'Restaurant Base (Hidden)'!$A$1:$Z$1,0)),"")</f>
        <v>77,40 %</v>
      </c>
      <c r="R31" s="1">
        <f>+IFERROR(INDEX('Restaurant Base (Hidden)'!$A$2:$Z$1048576,MATCH($C31,'Restaurant Base (Hidden)'!$C$2:$C$1048576,0),MATCH(R$6,'Restaurant Base (Hidden)'!$A$1:$Z$1,0)),"")</f>
        <v>5</v>
      </c>
      <c r="S31" s="2" t="str">
        <f>+IFERROR(INDEX('Restaurant Base (Hidden)'!$A$2:$Z$1048576,MATCH($C31,'Restaurant Base (Hidden)'!$C$2:$C$1048576,0),MATCH(S$6,'Restaurant Base (Hidden)'!$A$1:$Z$1,0)),"")</f>
        <v/>
      </c>
      <c r="T31" s="62">
        <f>+IFERROR(INDEX('Restaurant Base (Hidden)'!$A$2:$Z$1048576,MATCH($C31,'Restaurant Base (Hidden)'!$C$2:$C$1048576,0),MATCH(T$6,'Restaurant Base (Hidden)'!$A$1:$Z$1,0)),"")</f>
        <v>52.6</v>
      </c>
      <c r="U31" s="1">
        <f>+IFERROR(INDEX('Restaurant Base (Hidden)'!$A$2:$Z$1048576,MATCH($C31,'Restaurant Base (Hidden)'!$C$2:$C$1048576,0),MATCH(U$6,'Restaurant Base (Hidden)'!$A$1:$Z$1,0)),"")</f>
        <v>1</v>
      </c>
      <c r="V31" s="2" t="str">
        <f>+IFERROR(INDEX('Restaurant Base (Hidden)'!$A$2:$Z$1048576,MATCH($C31,'Restaurant Base (Hidden)'!$C$2:$C$1048576,0),MATCH(V$6,'Restaurant Base (Hidden)'!$A$1:$Z$1,0)),"")</f>
        <v/>
      </c>
      <c r="W31" s="65" t="str">
        <f>+IFERROR(INDEX('Restaurant Base (Hidden)'!$A$2:$Z$1048576,MATCH($C31,'Restaurant Base (Hidden)'!$C$2:$C$1048576,0),MATCH(W$6,'Restaurant Base (Hidden)'!$A$1:$Z$1,0)),"")</f>
        <v>88,00 %</v>
      </c>
      <c r="X31" s="1">
        <f>+IFERROR(INDEX('Restaurant Base (Hidden)'!$A$2:$Z$1048576,MATCH($C31,'Restaurant Base (Hidden)'!$C$2:$C$1048576,0),MATCH(X$6,'Restaurant Base (Hidden)'!$A$1:$Z$1,0)),"")</f>
        <v>3</v>
      </c>
      <c r="Y31" s="65" t="str">
        <f>+IFERROR(INDEX('Restaurant Base (Hidden)'!$A$2:$Z$1048576,MATCH($C31,'Restaurant Base (Hidden)'!$C$2:$C$1048576,0),MATCH(Y$6,'Restaurant Base (Hidden)'!$A$1:$Z$1,0)),"")</f>
        <v>87,70 %</v>
      </c>
      <c r="Z31" s="106">
        <f>+IFERROR(INDEX('Restaurant Base (Hidden)'!$A$2:$Z$1048576,MATCH($C31,'Restaurant Base (Hidden)'!$C$2:$C$1048576,0),MATCH(Z$6,'Restaurant Base (Hidden)'!$A$1:$Z$1,0)),"")</f>
        <v>3</v>
      </c>
      <c r="AA31" s="65" t="str">
        <f>+IFERROR(INDEX('Restaurant Base (Hidden)'!$A$2:$Z$1048576,MATCH($C31,'Restaurant Base (Hidden)'!$C$2:$C$1048576,0),MATCH(AA$6,'Restaurant Base (Hidden)'!$A$1:$Z$1,0)),"")</f>
        <v>60,60 %</v>
      </c>
      <c r="AB31" s="1">
        <f>+IFERROR(INDEX('Restaurant Base (Hidden)'!$A$2:$Z$1048576,MATCH($C31,'Restaurant Base (Hidden)'!$C$2:$C$1048576,0),MATCH(AB$6,'Restaurant Base (Hidden)'!$A$1:$Z$1,0)),"")</f>
        <v>2</v>
      </c>
      <c r="AC31" s="20" t="str">
        <f>+IFERROR(INDEX('Restaurant Base (Hidden)'!$A$2:$Z$1048576,MATCH($C31,'Restaurant Base (Hidden)'!$C$2:$C$1048576,0),MATCH(AC$6,'Restaurant Base (Hidden)'!$A$1:$Z$1,0)),"")</f>
        <v/>
      </c>
      <c r="AD31" s="65" t="str">
        <f>+IFERROR(INDEX('Restaurant Base (Hidden)'!$A$2:$Z$1048576,MATCH($C31,'Restaurant Base (Hidden)'!$C$2:$C$1048576,0),MATCH(AD$6,'Restaurant Base (Hidden)'!$A$1:$Z$1,0)),"")</f>
        <v>98,50 %</v>
      </c>
      <c r="AE31" s="1">
        <f>+IFERROR(INDEX('Restaurant Base (Hidden)'!$A$2:$Z$1048576,MATCH($C31,'Restaurant Base (Hidden)'!$C$2:$C$1048576,0),MATCH(AE$6,'Restaurant Base (Hidden)'!$A$1:$Z$1,0)),"")</f>
        <v>5</v>
      </c>
      <c r="AF31" s="65" t="str">
        <f>+IFERROR(INDEX('Restaurant Base (Hidden)'!$A$2:$Z$1048576,MATCH($C31,'Restaurant Base (Hidden)'!$C$2:$C$1048576,0),MATCH(AF$6,'Restaurant Base (Hidden)'!$A$1:$Z$1,0)),"")</f>
        <v>88,30 %</v>
      </c>
      <c r="AG31" s="1">
        <f>+IFERROR(INDEX('Restaurant Base (Hidden)'!$A$2:$Z$1048576,MATCH($C31,'Restaurant Base (Hidden)'!$C$2:$C$1048576,0),MATCH(AG$6,'Restaurant Base (Hidden)'!$A$1:$Z$1,0)),"")</f>
        <v>3</v>
      </c>
    </row>
    <row r="32" spans="1:33" x14ac:dyDescent="0.4">
      <c r="A32" s="163" t="str">
        <f>IF('Restaurant Base (Hidden)'!A401=0,"", 'Restaurant Base (Hidden)'!A401)</f>
        <v>Emerson Greenleigh</v>
      </c>
      <c r="B32" s="163" t="str">
        <f>IF('Restaurant Base (Hidden)'!B401=0,"", 'Restaurant Base (Hidden)'!B401)</f>
        <v>Sunridge Food Partners</v>
      </c>
      <c r="C32" s="163" t="str">
        <f>IF('Restaurant Base (Hidden)'!C401=0,"", 'Restaurant Base (Hidden)'!C401)</f>
        <v>Fox Creek</v>
      </c>
      <c r="D32" s="104">
        <f t="shared" si="0"/>
        <v>22</v>
      </c>
      <c r="E32" s="105">
        <f>+IFERROR(INDEX('Restaurant Base (Hidden)'!$A$2:$Z$1048576,MATCH($C32,'Restaurant Base (Hidden)'!$C$2:$C$1048576,0),MATCH(E$6,'Restaurant Base (Hidden)'!$A$1:$Z$1,0)),"")</f>
        <v>3.72</v>
      </c>
      <c r="F32" s="2" t="str">
        <f>+IFERROR(INDEX('Restaurant Base (Hidden)'!$A$2:$Z$1048576,MATCH($C32,'Restaurant Base (Hidden)'!$C$2:$C$1048576,0),MATCH(F$6,'Restaurant Base (Hidden)'!$A$1:$Z$1,0)),"")</f>
        <v/>
      </c>
      <c r="G32" s="20" t="str">
        <f>+IFERROR(INDEX('Restaurant Base (Hidden)'!$A$2:$Z$1048576,MATCH($C32,'Restaurant Base (Hidden)'!$C$2:$C$1048576,0),MATCH(G$6,'Restaurant Base (Hidden)'!$A$1:$Z$1,0)),"")</f>
        <v>4,645</v>
      </c>
      <c r="H32" s="50">
        <f>+IFERROR(INDEX('Restaurant Base (Hidden)'!$A$2:$Z$1048576,MATCH($C32,'Restaurant Base (Hidden)'!$C$2:$C$1048576,0),MATCH(H$6,'Restaurant Base (Hidden)'!$A$1:$Z$1,0)),"")</f>
        <v>5</v>
      </c>
      <c r="I32" s="20" t="str">
        <f>+IFERROR(INDEX('Restaurant Base (Hidden)'!$A$2:$Z$1048576,MATCH($C32,'Restaurant Base (Hidden)'!$C$2:$C$1048576,0),MATCH(I$6,'Restaurant Base (Hidden)'!$A$1:$Z$1,0)),"")</f>
        <v>97,10 %</v>
      </c>
      <c r="J32" s="49">
        <f>+IFERROR(INDEX('Restaurant Base (Hidden)'!$A$2:$Z$1048576,MATCH($C32,'Restaurant Base (Hidden)'!$C$2:$C$1048576,0),MATCH(J$6,'Restaurant Base (Hidden)'!$A$1:$Z$1,0)),"")</f>
        <v>5</v>
      </c>
      <c r="K32" s="20" t="str">
        <f>+IFERROR(INDEX('Restaurant Base (Hidden)'!$A$2:$Z$1048576,MATCH($C32,'Restaurant Base (Hidden)'!$C$2:$C$1048576,0),MATCH(K$6,'Restaurant Base (Hidden)'!$A$1:$Z$1,0)),"")</f>
        <v>0,162</v>
      </c>
      <c r="L32" s="51">
        <f>+IFERROR(INDEX('Restaurant Base (Hidden)'!$A$2:$Z$1048576,MATCH($C32,'Restaurant Base (Hidden)'!$C$2:$C$1048576,0),MATCH(L$6,'Restaurant Base (Hidden)'!$A$1:$Z$1,0)),"")</f>
        <v>2</v>
      </c>
      <c r="M32" s="2" t="str">
        <f>+IFERROR(INDEX('Restaurant Base (Hidden)'!$A$2:$Z$1048576,MATCH($C32,'Restaurant Base (Hidden)'!$C$2:$C$1048576,0),MATCH(M$6,'Restaurant Base (Hidden)'!$A$1:$Z$1,0)),"")</f>
        <v/>
      </c>
      <c r="N32" s="234" t="str">
        <f>+IFERROR(INDEX('Restaurant Base (Hidden)'!$A$2:$Z$1048576,MATCH($C32,'Restaurant Base (Hidden)'!$C$2:$C$1048576,0),MATCH(N$6,'Restaurant Base (Hidden)'!$A$1:$Z$1,0)),"")</f>
        <v>73,00 %</v>
      </c>
      <c r="O32" s="1">
        <f>+IFERROR(INDEX('Restaurant Base (Hidden)'!$A$2:$Z$1048576,MATCH($C32,'Restaurant Base (Hidden)'!$C$2:$C$1048576,0),MATCH(O$6,'Restaurant Base (Hidden)'!$A$1:$Z$1,0)),"")</f>
        <v>5</v>
      </c>
      <c r="P32" s="2" t="str">
        <f>+IFERROR(INDEX('Restaurant Base (Hidden)'!$A$2:$Z$1048576,MATCH($C32,'Restaurant Base (Hidden)'!$C$2:$C$1048576,0),MATCH(P$6,'Restaurant Base (Hidden)'!$A$1:$Z$1,0)),"")</f>
        <v/>
      </c>
      <c r="Q32" s="234" t="str">
        <f>+IFERROR(INDEX('Restaurant Base (Hidden)'!$A$2:$Z$1048576,MATCH($C32,'Restaurant Base (Hidden)'!$C$2:$C$1048576,0),MATCH(Q$6,'Restaurant Base (Hidden)'!$A$1:$Z$1,0)),"")</f>
        <v>93,00 %</v>
      </c>
      <c r="R32" s="1">
        <f>+IFERROR(INDEX('Restaurant Base (Hidden)'!$A$2:$Z$1048576,MATCH($C32,'Restaurant Base (Hidden)'!$C$2:$C$1048576,0),MATCH(R$6,'Restaurant Base (Hidden)'!$A$1:$Z$1,0)),"")</f>
        <v>5</v>
      </c>
      <c r="S32" s="2" t="str">
        <f>+IFERROR(INDEX('Restaurant Base (Hidden)'!$A$2:$Z$1048576,MATCH($C32,'Restaurant Base (Hidden)'!$C$2:$C$1048576,0),MATCH(S$6,'Restaurant Base (Hidden)'!$A$1:$Z$1,0)),"")</f>
        <v/>
      </c>
      <c r="T32" s="62">
        <f>+IFERROR(INDEX('Restaurant Base (Hidden)'!$A$2:$Z$1048576,MATCH($C32,'Restaurant Base (Hidden)'!$C$2:$C$1048576,0),MATCH(T$6,'Restaurant Base (Hidden)'!$A$1:$Z$1,0)),"")</f>
        <v>68.599999999999994</v>
      </c>
      <c r="U32" s="1">
        <f>+IFERROR(INDEX('Restaurant Base (Hidden)'!$A$2:$Z$1048576,MATCH($C32,'Restaurant Base (Hidden)'!$C$2:$C$1048576,0),MATCH(U$6,'Restaurant Base (Hidden)'!$A$1:$Z$1,0)),"")</f>
        <v>4</v>
      </c>
      <c r="V32" s="2" t="str">
        <f>+IFERROR(INDEX('Restaurant Base (Hidden)'!$A$2:$Z$1048576,MATCH($C32,'Restaurant Base (Hidden)'!$C$2:$C$1048576,0),MATCH(V$6,'Restaurant Base (Hidden)'!$A$1:$Z$1,0)),"")</f>
        <v/>
      </c>
      <c r="W32" s="65" t="str">
        <f>+IFERROR(INDEX('Restaurant Base (Hidden)'!$A$2:$Z$1048576,MATCH($C32,'Restaurant Base (Hidden)'!$C$2:$C$1048576,0),MATCH(W$6,'Restaurant Base (Hidden)'!$A$1:$Z$1,0)),"")</f>
        <v>81,20 %</v>
      </c>
      <c r="X32" s="1">
        <f>+IFERROR(INDEX('Restaurant Base (Hidden)'!$A$2:$Z$1048576,MATCH($C32,'Restaurant Base (Hidden)'!$C$2:$C$1048576,0),MATCH(X$6,'Restaurant Base (Hidden)'!$A$1:$Z$1,0)),"")</f>
        <v>3</v>
      </c>
      <c r="Y32" s="65" t="str">
        <f>+IFERROR(INDEX('Restaurant Base (Hidden)'!$A$2:$Z$1048576,MATCH($C32,'Restaurant Base (Hidden)'!$C$2:$C$1048576,0),MATCH(Y$6,'Restaurant Base (Hidden)'!$A$1:$Z$1,0)),"")</f>
        <v>67,70 %</v>
      </c>
      <c r="Z32" s="106">
        <f>+IFERROR(INDEX('Restaurant Base (Hidden)'!$A$2:$Z$1048576,MATCH($C32,'Restaurant Base (Hidden)'!$C$2:$C$1048576,0),MATCH(Z$6,'Restaurant Base (Hidden)'!$A$1:$Z$1,0)),"")</f>
        <v>2</v>
      </c>
      <c r="AA32" s="65" t="str">
        <f>+IFERROR(INDEX('Restaurant Base (Hidden)'!$A$2:$Z$1048576,MATCH($C32,'Restaurant Base (Hidden)'!$C$2:$C$1048576,0),MATCH(AA$6,'Restaurant Base (Hidden)'!$A$1:$Z$1,0)),"")</f>
        <v>81,70 %</v>
      </c>
      <c r="AB32" s="1">
        <f>+IFERROR(INDEX('Restaurant Base (Hidden)'!$A$2:$Z$1048576,MATCH($C32,'Restaurant Base (Hidden)'!$C$2:$C$1048576,0),MATCH(AB$6,'Restaurant Base (Hidden)'!$A$1:$Z$1,0)),"")</f>
        <v>2</v>
      </c>
      <c r="AC32" s="20" t="str">
        <f>+IFERROR(INDEX('Restaurant Base (Hidden)'!$A$2:$Z$1048576,MATCH($C32,'Restaurant Base (Hidden)'!$C$2:$C$1048576,0),MATCH(AC$6,'Restaurant Base (Hidden)'!$A$1:$Z$1,0)),"")</f>
        <v/>
      </c>
      <c r="AD32" s="65" t="str">
        <f>+IFERROR(INDEX('Restaurant Base (Hidden)'!$A$2:$Z$1048576,MATCH($C32,'Restaurant Base (Hidden)'!$C$2:$C$1048576,0),MATCH(AD$6,'Restaurant Base (Hidden)'!$A$1:$Z$1,0)),"")</f>
        <v>71,30 %</v>
      </c>
      <c r="AE32" s="1">
        <f>+IFERROR(INDEX('Restaurant Base (Hidden)'!$A$2:$Z$1048576,MATCH($C32,'Restaurant Base (Hidden)'!$C$2:$C$1048576,0),MATCH(AE$6,'Restaurant Base (Hidden)'!$A$1:$Z$1,0)),"")</f>
        <v>1</v>
      </c>
      <c r="AF32" s="65" t="str">
        <f>+IFERROR(INDEX('Restaurant Base (Hidden)'!$A$2:$Z$1048576,MATCH($C32,'Restaurant Base (Hidden)'!$C$2:$C$1048576,0),MATCH(AF$6,'Restaurant Base (Hidden)'!$A$1:$Z$1,0)),"")</f>
        <v>92,60 %</v>
      </c>
      <c r="AG32" s="1">
        <f>+IFERROR(INDEX('Restaurant Base (Hidden)'!$A$2:$Z$1048576,MATCH($C32,'Restaurant Base (Hidden)'!$C$2:$C$1048576,0),MATCH(AG$6,'Restaurant Base (Hidden)'!$A$1:$Z$1,0)),"")</f>
        <v>3</v>
      </c>
    </row>
    <row r="33" spans="1:33" x14ac:dyDescent="0.4">
      <c r="A33" s="163" t="str">
        <f>IF('Restaurant Base (Hidden)'!A367=0,"", 'Restaurant Base (Hidden)'!A367)</f>
        <v>Riley Wellington</v>
      </c>
      <c r="B33" s="163" t="str">
        <f>IF('Restaurant Base (Hidden)'!B367=0,"", 'Restaurant Base (Hidden)'!B367)</f>
        <v>Brightfield Dining</v>
      </c>
      <c r="C33" s="163" t="str">
        <f>IF('Restaurant Base (Hidden)'!C367=0,"", 'Restaurant Base (Hidden)'!C367)</f>
        <v>Sunny House</v>
      </c>
      <c r="D33" s="104">
        <f t="shared" si="0"/>
        <v>27</v>
      </c>
      <c r="E33" s="105">
        <f>+IFERROR(INDEX('Restaurant Base (Hidden)'!$A$2:$Z$1048576,MATCH($C33,'Restaurant Base (Hidden)'!$C$2:$C$1048576,0),MATCH(E$6,'Restaurant Base (Hidden)'!$A$1:$Z$1,0)),"")</f>
        <v>3.71</v>
      </c>
      <c r="F33" s="2" t="str">
        <f>+IFERROR(INDEX('Restaurant Base (Hidden)'!$A$2:$Z$1048576,MATCH($C33,'Restaurant Base (Hidden)'!$C$2:$C$1048576,0),MATCH(F$6,'Restaurant Base (Hidden)'!$A$1:$Z$1,0)),"")</f>
        <v/>
      </c>
      <c r="G33" s="20" t="str">
        <f>+IFERROR(INDEX('Restaurant Base (Hidden)'!$A$2:$Z$1048576,MATCH($C33,'Restaurant Base (Hidden)'!$C$2:$C$1048576,0),MATCH(G$6,'Restaurant Base (Hidden)'!$A$1:$Z$1,0)),"")</f>
        <v>4,814</v>
      </c>
      <c r="H33" s="50">
        <f>+IFERROR(INDEX('Restaurant Base (Hidden)'!$A$2:$Z$1048576,MATCH($C33,'Restaurant Base (Hidden)'!$C$2:$C$1048576,0),MATCH(H$6,'Restaurant Base (Hidden)'!$A$1:$Z$1,0)),"")</f>
        <v>5</v>
      </c>
      <c r="I33" s="20" t="str">
        <f>+IFERROR(INDEX('Restaurant Base (Hidden)'!$A$2:$Z$1048576,MATCH($C33,'Restaurant Base (Hidden)'!$C$2:$C$1048576,0),MATCH(I$6,'Restaurant Base (Hidden)'!$A$1:$Z$1,0)),"")</f>
        <v>78,70 %</v>
      </c>
      <c r="J33" s="49">
        <f>+IFERROR(INDEX('Restaurant Base (Hidden)'!$A$2:$Z$1048576,MATCH($C33,'Restaurant Base (Hidden)'!$C$2:$C$1048576,0),MATCH(J$6,'Restaurant Base (Hidden)'!$A$1:$Z$1,0)),"")</f>
        <v>2</v>
      </c>
      <c r="K33" s="20" t="str">
        <f>+IFERROR(INDEX('Restaurant Base (Hidden)'!$A$2:$Z$1048576,MATCH($C33,'Restaurant Base (Hidden)'!$C$2:$C$1048576,0),MATCH(K$6,'Restaurant Base (Hidden)'!$A$1:$Z$1,0)),"")</f>
        <v>0,037</v>
      </c>
      <c r="L33" s="51">
        <f>+IFERROR(INDEX('Restaurant Base (Hidden)'!$A$2:$Z$1048576,MATCH($C33,'Restaurant Base (Hidden)'!$C$2:$C$1048576,0),MATCH(L$6,'Restaurant Base (Hidden)'!$A$1:$Z$1,0)),"")</f>
        <v>5</v>
      </c>
      <c r="M33" s="2" t="str">
        <f>+IFERROR(INDEX('Restaurant Base (Hidden)'!$A$2:$Z$1048576,MATCH($C33,'Restaurant Base (Hidden)'!$C$2:$C$1048576,0),MATCH(M$6,'Restaurant Base (Hidden)'!$A$1:$Z$1,0)),"")</f>
        <v/>
      </c>
      <c r="N33" s="234" t="str">
        <f>+IFERROR(INDEX('Restaurant Base (Hidden)'!$A$2:$Z$1048576,MATCH($C33,'Restaurant Base (Hidden)'!$C$2:$C$1048576,0),MATCH(N$6,'Restaurant Base (Hidden)'!$A$1:$Z$1,0)),"")</f>
        <v>70,70 %</v>
      </c>
      <c r="O33" s="1">
        <f>+IFERROR(INDEX('Restaurant Base (Hidden)'!$A$2:$Z$1048576,MATCH($C33,'Restaurant Base (Hidden)'!$C$2:$C$1048576,0),MATCH(O$6,'Restaurant Base (Hidden)'!$A$1:$Z$1,0)),"")</f>
        <v>4</v>
      </c>
      <c r="P33" s="2" t="str">
        <f>+IFERROR(INDEX('Restaurant Base (Hidden)'!$A$2:$Z$1048576,MATCH($C33,'Restaurant Base (Hidden)'!$C$2:$C$1048576,0),MATCH(P$6,'Restaurant Base (Hidden)'!$A$1:$Z$1,0)),"")</f>
        <v/>
      </c>
      <c r="Q33" s="234" t="str">
        <f>+IFERROR(INDEX('Restaurant Base (Hidden)'!$A$2:$Z$1048576,MATCH($C33,'Restaurant Base (Hidden)'!$C$2:$C$1048576,0),MATCH(Q$6,'Restaurant Base (Hidden)'!$A$1:$Z$1,0)),"")</f>
        <v>82,20 %</v>
      </c>
      <c r="R33" s="1">
        <f>+IFERROR(INDEX('Restaurant Base (Hidden)'!$A$2:$Z$1048576,MATCH($C33,'Restaurant Base (Hidden)'!$C$2:$C$1048576,0),MATCH(R$6,'Restaurant Base (Hidden)'!$A$1:$Z$1,0)),"")</f>
        <v>5</v>
      </c>
      <c r="S33" s="2" t="str">
        <f>+IFERROR(INDEX('Restaurant Base (Hidden)'!$A$2:$Z$1048576,MATCH($C33,'Restaurant Base (Hidden)'!$C$2:$C$1048576,0),MATCH(S$6,'Restaurant Base (Hidden)'!$A$1:$Z$1,0)),"")</f>
        <v/>
      </c>
      <c r="T33" s="62">
        <f>+IFERROR(INDEX('Restaurant Base (Hidden)'!$A$2:$Z$1048576,MATCH($C33,'Restaurant Base (Hidden)'!$C$2:$C$1048576,0),MATCH(T$6,'Restaurant Base (Hidden)'!$A$1:$Z$1,0)),"")</f>
        <v>68.3</v>
      </c>
      <c r="U33" s="1">
        <f>+IFERROR(INDEX('Restaurant Base (Hidden)'!$A$2:$Z$1048576,MATCH($C33,'Restaurant Base (Hidden)'!$C$2:$C$1048576,0),MATCH(U$6,'Restaurant Base (Hidden)'!$A$1:$Z$1,0)),"")</f>
        <v>4</v>
      </c>
      <c r="V33" s="2" t="str">
        <f>+IFERROR(INDEX('Restaurant Base (Hidden)'!$A$2:$Z$1048576,MATCH($C33,'Restaurant Base (Hidden)'!$C$2:$C$1048576,0),MATCH(V$6,'Restaurant Base (Hidden)'!$A$1:$Z$1,0)),"")</f>
        <v/>
      </c>
      <c r="W33" s="65" t="str">
        <f>+IFERROR(INDEX('Restaurant Base (Hidden)'!$A$2:$Z$1048576,MATCH($C33,'Restaurant Base (Hidden)'!$C$2:$C$1048576,0),MATCH(W$6,'Restaurant Base (Hidden)'!$A$1:$Z$1,0)),"")</f>
        <v>98,70 %</v>
      </c>
      <c r="X33" s="1">
        <f>+IFERROR(INDEX('Restaurant Base (Hidden)'!$A$2:$Z$1048576,MATCH($C33,'Restaurant Base (Hidden)'!$C$2:$C$1048576,0),MATCH(X$6,'Restaurant Base (Hidden)'!$A$1:$Z$1,0)),"")</f>
        <v>5</v>
      </c>
      <c r="Y33" s="65" t="str">
        <f>+IFERROR(INDEX('Restaurant Base (Hidden)'!$A$2:$Z$1048576,MATCH($C33,'Restaurant Base (Hidden)'!$C$2:$C$1048576,0),MATCH(Y$6,'Restaurant Base (Hidden)'!$A$1:$Z$1,0)),"")</f>
        <v>92,00 %</v>
      </c>
      <c r="Z33" s="106">
        <f>+IFERROR(INDEX('Restaurant Base (Hidden)'!$A$2:$Z$1048576,MATCH($C33,'Restaurant Base (Hidden)'!$C$2:$C$1048576,0),MATCH(Z$6,'Restaurant Base (Hidden)'!$A$1:$Z$1,0)),"")</f>
        <v>3</v>
      </c>
      <c r="AA33" s="65" t="str">
        <f>+IFERROR(INDEX('Restaurant Base (Hidden)'!$A$2:$Z$1048576,MATCH($C33,'Restaurant Base (Hidden)'!$C$2:$C$1048576,0),MATCH(AA$6,'Restaurant Base (Hidden)'!$A$1:$Z$1,0)),"")</f>
        <v>99,20 %</v>
      </c>
      <c r="AB33" s="1">
        <f>+IFERROR(INDEX('Restaurant Base (Hidden)'!$A$2:$Z$1048576,MATCH($C33,'Restaurant Base (Hidden)'!$C$2:$C$1048576,0),MATCH(AB$6,'Restaurant Base (Hidden)'!$A$1:$Z$1,0)),"")</f>
        <v>5</v>
      </c>
      <c r="AC33" s="20" t="str">
        <f>+IFERROR(INDEX('Restaurant Base (Hidden)'!$A$2:$Z$1048576,MATCH($C33,'Restaurant Base (Hidden)'!$C$2:$C$1048576,0),MATCH(AC$6,'Restaurant Base (Hidden)'!$A$1:$Z$1,0)),"")</f>
        <v/>
      </c>
      <c r="AD33" s="65" t="str">
        <f>+IFERROR(INDEX('Restaurant Base (Hidden)'!$A$2:$Z$1048576,MATCH($C33,'Restaurant Base (Hidden)'!$C$2:$C$1048576,0),MATCH(AD$6,'Restaurant Base (Hidden)'!$A$1:$Z$1,0)),"")</f>
        <v>86,80 %</v>
      </c>
      <c r="AE33" s="1">
        <f>+IFERROR(INDEX('Restaurant Base (Hidden)'!$A$2:$Z$1048576,MATCH($C33,'Restaurant Base (Hidden)'!$C$2:$C$1048576,0),MATCH(AE$6,'Restaurant Base (Hidden)'!$A$1:$Z$1,0)),"")</f>
        <v>3</v>
      </c>
      <c r="AF33" s="65" t="str">
        <f>+IFERROR(INDEX('Restaurant Base (Hidden)'!$A$2:$Z$1048576,MATCH($C33,'Restaurant Base (Hidden)'!$C$2:$C$1048576,0),MATCH(AF$6,'Restaurant Base (Hidden)'!$A$1:$Z$1,0)),"")</f>
        <v>64,20 %</v>
      </c>
      <c r="AG33" s="1">
        <f>+IFERROR(INDEX('Restaurant Base (Hidden)'!$A$2:$Z$1048576,MATCH($C33,'Restaurant Base (Hidden)'!$C$2:$C$1048576,0),MATCH(AG$6,'Restaurant Base (Hidden)'!$A$1:$Z$1,0)),"")</f>
        <v>1</v>
      </c>
    </row>
    <row r="34" spans="1:33" x14ac:dyDescent="0.4">
      <c r="A34" s="163" t="str">
        <f>IF('Restaurant Base (Hidden)'!A228=0,"", 'Restaurant Base (Hidden)'!A228)</f>
        <v>Bailey Silverton</v>
      </c>
      <c r="B34" s="163" t="str">
        <f>IF('Restaurant Base (Hidden)'!B228=0,"", 'Restaurant Base (Hidden)'!B228)</f>
        <v>Silverbrook Dining</v>
      </c>
      <c r="C34" s="163" t="str">
        <f>IF('Restaurant Base (Hidden)'!C228=0,"", 'Restaurant Base (Hidden)'!C228)</f>
        <v>Northvale Place</v>
      </c>
      <c r="D34" s="104">
        <f t="shared" si="0"/>
        <v>28</v>
      </c>
      <c r="E34" s="105">
        <f>+IFERROR(INDEX('Restaurant Base (Hidden)'!$A$2:$Z$1048576,MATCH($C34,'Restaurant Base (Hidden)'!$C$2:$C$1048576,0),MATCH(E$6,'Restaurant Base (Hidden)'!$A$1:$Z$1,0)),"")</f>
        <v>3.7</v>
      </c>
      <c r="F34" s="2" t="str">
        <f>+IFERROR(INDEX('Restaurant Base (Hidden)'!$A$2:$Z$1048576,MATCH($C34,'Restaurant Base (Hidden)'!$C$2:$C$1048576,0),MATCH(F$6,'Restaurant Base (Hidden)'!$A$1:$Z$1,0)),"")</f>
        <v/>
      </c>
      <c r="G34" s="20" t="str">
        <f>+IFERROR(INDEX('Restaurant Base (Hidden)'!$A$2:$Z$1048576,MATCH($C34,'Restaurant Base (Hidden)'!$C$2:$C$1048576,0),MATCH(G$6,'Restaurant Base (Hidden)'!$A$1:$Z$1,0)),"")</f>
        <v>4,524</v>
      </c>
      <c r="H34" s="50">
        <f>+IFERROR(INDEX('Restaurant Base (Hidden)'!$A$2:$Z$1048576,MATCH($C34,'Restaurant Base (Hidden)'!$C$2:$C$1048576,0),MATCH(H$6,'Restaurant Base (Hidden)'!$A$1:$Z$1,0)),"")</f>
        <v>5</v>
      </c>
      <c r="I34" s="20" t="str">
        <f>+IFERROR(INDEX('Restaurant Base (Hidden)'!$A$2:$Z$1048576,MATCH($C34,'Restaurant Base (Hidden)'!$C$2:$C$1048576,0),MATCH(I$6,'Restaurant Base (Hidden)'!$A$1:$Z$1,0)),"")</f>
        <v>90,10 %</v>
      </c>
      <c r="J34" s="49">
        <f>+IFERROR(INDEX('Restaurant Base (Hidden)'!$A$2:$Z$1048576,MATCH($C34,'Restaurant Base (Hidden)'!$C$2:$C$1048576,0),MATCH(J$6,'Restaurant Base (Hidden)'!$A$1:$Z$1,0)),"")</f>
        <v>4</v>
      </c>
      <c r="K34" s="20" t="str">
        <f>+IFERROR(INDEX('Restaurant Base (Hidden)'!$A$2:$Z$1048576,MATCH($C34,'Restaurant Base (Hidden)'!$C$2:$C$1048576,0),MATCH(K$6,'Restaurant Base (Hidden)'!$A$1:$Z$1,0)),"")</f>
        <v>0,113</v>
      </c>
      <c r="L34" s="51">
        <f>+IFERROR(INDEX('Restaurant Base (Hidden)'!$A$2:$Z$1048576,MATCH($C34,'Restaurant Base (Hidden)'!$C$2:$C$1048576,0),MATCH(L$6,'Restaurant Base (Hidden)'!$A$1:$Z$1,0)),"")</f>
        <v>3</v>
      </c>
      <c r="M34" s="2" t="str">
        <f>+IFERROR(INDEX('Restaurant Base (Hidden)'!$A$2:$Z$1048576,MATCH($C34,'Restaurant Base (Hidden)'!$C$2:$C$1048576,0),MATCH(M$6,'Restaurant Base (Hidden)'!$A$1:$Z$1,0)),"")</f>
        <v/>
      </c>
      <c r="N34" s="234" t="str">
        <f>+IFERROR(INDEX('Restaurant Base (Hidden)'!$A$2:$Z$1048576,MATCH($C34,'Restaurant Base (Hidden)'!$C$2:$C$1048576,0),MATCH(N$6,'Restaurant Base (Hidden)'!$A$1:$Z$1,0)),"")</f>
        <v>74,20 %</v>
      </c>
      <c r="O34" s="1">
        <f>+IFERROR(INDEX('Restaurant Base (Hidden)'!$A$2:$Z$1048576,MATCH($C34,'Restaurant Base (Hidden)'!$C$2:$C$1048576,0),MATCH(O$6,'Restaurant Base (Hidden)'!$A$1:$Z$1,0)),"")</f>
        <v>5</v>
      </c>
      <c r="P34" s="2" t="str">
        <f>+IFERROR(INDEX('Restaurant Base (Hidden)'!$A$2:$Z$1048576,MATCH($C34,'Restaurant Base (Hidden)'!$C$2:$C$1048576,0),MATCH(P$6,'Restaurant Base (Hidden)'!$A$1:$Z$1,0)),"")</f>
        <v/>
      </c>
      <c r="Q34" s="234" t="str">
        <f>+IFERROR(INDEX('Restaurant Base (Hidden)'!$A$2:$Z$1048576,MATCH($C34,'Restaurant Base (Hidden)'!$C$2:$C$1048576,0),MATCH(Q$6,'Restaurant Base (Hidden)'!$A$1:$Z$1,0)),"")</f>
        <v>71,30 %</v>
      </c>
      <c r="R34" s="1">
        <f>+IFERROR(INDEX('Restaurant Base (Hidden)'!$A$2:$Z$1048576,MATCH($C34,'Restaurant Base (Hidden)'!$C$2:$C$1048576,0),MATCH(R$6,'Restaurant Base (Hidden)'!$A$1:$Z$1,0)),"")</f>
        <v>4</v>
      </c>
      <c r="S34" s="2" t="str">
        <f>+IFERROR(INDEX('Restaurant Base (Hidden)'!$A$2:$Z$1048576,MATCH($C34,'Restaurant Base (Hidden)'!$C$2:$C$1048576,0),MATCH(S$6,'Restaurant Base (Hidden)'!$A$1:$Z$1,0)),"")</f>
        <v/>
      </c>
      <c r="T34" s="62">
        <f>+IFERROR(INDEX('Restaurant Base (Hidden)'!$A$2:$Z$1048576,MATCH($C34,'Restaurant Base (Hidden)'!$C$2:$C$1048576,0),MATCH(T$6,'Restaurant Base (Hidden)'!$A$1:$Z$1,0)),"")</f>
        <v>75.400000000000006</v>
      </c>
      <c r="U34" s="1">
        <f>+IFERROR(INDEX('Restaurant Base (Hidden)'!$A$2:$Z$1048576,MATCH($C34,'Restaurant Base (Hidden)'!$C$2:$C$1048576,0),MATCH(U$6,'Restaurant Base (Hidden)'!$A$1:$Z$1,0)),"")</f>
        <v>5</v>
      </c>
      <c r="V34" s="2" t="str">
        <f>+IFERROR(INDEX('Restaurant Base (Hidden)'!$A$2:$Z$1048576,MATCH($C34,'Restaurant Base (Hidden)'!$C$2:$C$1048576,0),MATCH(V$6,'Restaurant Base (Hidden)'!$A$1:$Z$1,0)),"")</f>
        <v/>
      </c>
      <c r="W34" s="65" t="str">
        <f>+IFERROR(INDEX('Restaurant Base (Hidden)'!$A$2:$Z$1048576,MATCH($C34,'Restaurant Base (Hidden)'!$C$2:$C$1048576,0),MATCH(W$6,'Restaurant Base (Hidden)'!$A$1:$Z$1,0)),"")</f>
        <v>85,90 %</v>
      </c>
      <c r="X34" s="1">
        <f>+IFERROR(INDEX('Restaurant Base (Hidden)'!$A$2:$Z$1048576,MATCH($C34,'Restaurant Base (Hidden)'!$C$2:$C$1048576,0),MATCH(X$6,'Restaurant Base (Hidden)'!$A$1:$Z$1,0)),"")</f>
        <v>3</v>
      </c>
      <c r="Y34" s="65" t="str">
        <f>+IFERROR(INDEX('Restaurant Base (Hidden)'!$A$2:$Z$1048576,MATCH($C34,'Restaurant Base (Hidden)'!$C$2:$C$1048576,0),MATCH(Y$6,'Restaurant Base (Hidden)'!$A$1:$Z$1,0)),"")</f>
        <v>69,40 %</v>
      </c>
      <c r="Z34" s="106">
        <f>+IFERROR(INDEX('Restaurant Base (Hidden)'!$A$2:$Z$1048576,MATCH($C34,'Restaurant Base (Hidden)'!$C$2:$C$1048576,0),MATCH(Z$6,'Restaurant Base (Hidden)'!$A$1:$Z$1,0)),"")</f>
        <v>2</v>
      </c>
      <c r="AA34" s="65" t="str">
        <f>+IFERROR(INDEX('Restaurant Base (Hidden)'!$A$2:$Z$1048576,MATCH($C34,'Restaurant Base (Hidden)'!$C$2:$C$1048576,0),MATCH(AA$6,'Restaurant Base (Hidden)'!$A$1:$Z$1,0)),"")</f>
        <v>70,10 %</v>
      </c>
      <c r="AB34" s="1">
        <f>+IFERROR(INDEX('Restaurant Base (Hidden)'!$A$2:$Z$1048576,MATCH($C34,'Restaurant Base (Hidden)'!$C$2:$C$1048576,0),MATCH(AB$6,'Restaurant Base (Hidden)'!$A$1:$Z$1,0)),"")</f>
        <v>2</v>
      </c>
      <c r="AC34" s="20" t="str">
        <f>+IFERROR(INDEX('Restaurant Base (Hidden)'!$A$2:$Z$1048576,MATCH($C34,'Restaurant Base (Hidden)'!$C$2:$C$1048576,0),MATCH(AC$6,'Restaurant Base (Hidden)'!$A$1:$Z$1,0)),"")</f>
        <v/>
      </c>
      <c r="AD34" s="65" t="str">
        <f>+IFERROR(INDEX('Restaurant Base (Hidden)'!$A$2:$Z$1048576,MATCH($C34,'Restaurant Base (Hidden)'!$C$2:$C$1048576,0),MATCH(AD$6,'Restaurant Base (Hidden)'!$A$1:$Z$1,0)),"")</f>
        <v>92,50 %</v>
      </c>
      <c r="AE34" s="1">
        <f>+IFERROR(INDEX('Restaurant Base (Hidden)'!$A$2:$Z$1048576,MATCH($C34,'Restaurant Base (Hidden)'!$C$2:$C$1048576,0),MATCH(AE$6,'Restaurant Base (Hidden)'!$A$1:$Z$1,0)),"")</f>
        <v>4</v>
      </c>
      <c r="AF34" s="65" t="str">
        <f>+IFERROR(INDEX('Restaurant Base (Hidden)'!$A$2:$Z$1048576,MATCH($C34,'Restaurant Base (Hidden)'!$C$2:$C$1048576,0),MATCH(AF$6,'Restaurant Base (Hidden)'!$A$1:$Z$1,0)),"")</f>
        <v>71,00 %</v>
      </c>
      <c r="AG34" s="1">
        <f>+IFERROR(INDEX('Restaurant Base (Hidden)'!$A$2:$Z$1048576,MATCH($C34,'Restaurant Base (Hidden)'!$C$2:$C$1048576,0),MATCH(AG$6,'Restaurant Base (Hidden)'!$A$1:$Z$1,0)),"")</f>
        <v>1</v>
      </c>
    </row>
    <row r="35" spans="1:33" x14ac:dyDescent="0.4">
      <c r="A35" s="163" t="str">
        <f>IF('Restaurant Base (Hidden)'!A45=0,"", 'Restaurant Base (Hidden)'!A45)</f>
        <v>Parker Sterling</v>
      </c>
      <c r="B35" s="163" t="str">
        <f>IF('Restaurant Base (Hidden)'!B45=0,"", 'Restaurant Base (Hidden)'!B45)</f>
        <v>Oakbridge Restaurant Group</v>
      </c>
      <c r="C35" s="163" t="str">
        <f>IF('Restaurant Base (Hidden)'!C45=0,"", 'Restaurant Base (Hidden)'!C45)</f>
        <v>Maple Terrace</v>
      </c>
      <c r="D35" s="104">
        <f t="shared" si="0"/>
        <v>29</v>
      </c>
      <c r="E35" s="105">
        <f>+IFERROR(INDEX('Restaurant Base (Hidden)'!$A$2:$Z$1048576,MATCH($C35,'Restaurant Base (Hidden)'!$C$2:$C$1048576,0),MATCH(E$6,'Restaurant Base (Hidden)'!$A$1:$Z$1,0)),"")</f>
        <v>3.69</v>
      </c>
      <c r="F35" s="64" t="str">
        <f>+IFERROR(INDEX('Restaurant Base (Hidden)'!$A$2:$Z$1048576,MATCH($C35,'Restaurant Base (Hidden)'!$C$2:$C$1048576,0),MATCH(F$6,'Restaurant Base (Hidden)'!$A$1:$Z$1,0)),"")</f>
        <v/>
      </c>
      <c r="G35" s="20" t="str">
        <f>+IFERROR(INDEX('Restaurant Base (Hidden)'!$A$2:$Z$1048576,MATCH($C35,'Restaurant Base (Hidden)'!$C$2:$C$1048576,0),MATCH(G$6,'Restaurant Base (Hidden)'!$A$1:$Z$1,0)),"")</f>
        <v>4,543</v>
      </c>
      <c r="H35" s="50">
        <f>+IFERROR(INDEX('Restaurant Base (Hidden)'!$A$2:$Z$1048576,MATCH($C35,'Restaurant Base (Hidden)'!$C$2:$C$1048576,0),MATCH(H$6,'Restaurant Base (Hidden)'!$A$1:$Z$1,0)),"")</f>
        <v>5</v>
      </c>
      <c r="I35" s="20" t="str">
        <f>+IFERROR(INDEX('Restaurant Base (Hidden)'!$A$2:$Z$1048576,MATCH($C35,'Restaurant Base (Hidden)'!$C$2:$C$1048576,0),MATCH(I$6,'Restaurant Base (Hidden)'!$A$1:$Z$1,0)),"")</f>
        <v>70,00 %</v>
      </c>
      <c r="J35" s="49">
        <f>+IFERROR(INDEX('Restaurant Base (Hidden)'!$A$2:$Z$1048576,MATCH($C35,'Restaurant Base (Hidden)'!$C$2:$C$1048576,0),MATCH(J$6,'Restaurant Base (Hidden)'!$A$1:$Z$1,0)),"")</f>
        <v>1</v>
      </c>
      <c r="K35" s="20" t="str">
        <f>+IFERROR(INDEX('Restaurant Base (Hidden)'!$A$2:$Z$1048576,MATCH($C35,'Restaurant Base (Hidden)'!$C$2:$C$1048576,0),MATCH(K$6,'Restaurant Base (Hidden)'!$A$1:$Z$1,0)),"")</f>
        <v>0,059</v>
      </c>
      <c r="L35" s="51">
        <f>+IFERROR(INDEX('Restaurant Base (Hidden)'!$A$2:$Z$1048576,MATCH($C35,'Restaurant Base (Hidden)'!$C$2:$C$1048576,0),MATCH(L$6,'Restaurant Base (Hidden)'!$A$1:$Z$1,0)),"")</f>
        <v>5</v>
      </c>
      <c r="M35" s="2" t="str">
        <f>+IFERROR(INDEX('Restaurant Base (Hidden)'!$A$2:$Z$1048576,MATCH($C35,'Restaurant Base (Hidden)'!$C$2:$C$1048576,0),MATCH(M$6,'Restaurant Base (Hidden)'!$A$1:$Z$1,0)),"")</f>
        <v/>
      </c>
      <c r="N35" s="234" t="str">
        <f>+IFERROR(INDEX('Restaurant Base (Hidden)'!$A$2:$Z$1048576,MATCH($C35,'Restaurant Base (Hidden)'!$C$2:$C$1048576,0),MATCH(N$6,'Restaurant Base (Hidden)'!$A$1:$Z$1,0)),"")</f>
        <v>94,60 %</v>
      </c>
      <c r="O35" s="1">
        <f>+IFERROR(INDEX('Restaurant Base (Hidden)'!$A$2:$Z$1048576,MATCH($C35,'Restaurant Base (Hidden)'!$C$2:$C$1048576,0),MATCH(O$6,'Restaurant Base (Hidden)'!$A$1:$Z$1,0)),"")</f>
        <v>5</v>
      </c>
      <c r="P35" s="2" t="str">
        <f>+IFERROR(INDEX('Restaurant Base (Hidden)'!$A$2:$Z$1048576,MATCH($C35,'Restaurant Base (Hidden)'!$C$2:$C$1048576,0),MATCH(P$6,'Restaurant Base (Hidden)'!$A$1:$Z$1,0)),"")</f>
        <v/>
      </c>
      <c r="Q35" s="234" t="str">
        <f>+IFERROR(INDEX('Restaurant Base (Hidden)'!$A$2:$Z$1048576,MATCH($C35,'Restaurant Base (Hidden)'!$C$2:$C$1048576,0),MATCH(Q$6,'Restaurant Base (Hidden)'!$A$1:$Z$1,0)),"")</f>
        <v>78,40 %</v>
      </c>
      <c r="R35" s="1">
        <f>+IFERROR(INDEX('Restaurant Base (Hidden)'!$A$2:$Z$1048576,MATCH($C35,'Restaurant Base (Hidden)'!$C$2:$C$1048576,0),MATCH(R$6,'Restaurant Base (Hidden)'!$A$1:$Z$1,0)),"")</f>
        <v>5</v>
      </c>
      <c r="S35" s="2" t="str">
        <f>+IFERROR(INDEX('Restaurant Base (Hidden)'!$A$2:$Z$1048576,MATCH($C35,'Restaurant Base (Hidden)'!$C$2:$C$1048576,0),MATCH(S$6,'Restaurant Base (Hidden)'!$A$1:$Z$1,0)),"")</f>
        <v/>
      </c>
      <c r="T35" s="62">
        <f>+IFERROR(INDEX('Restaurant Base (Hidden)'!$A$2:$Z$1048576,MATCH($C35,'Restaurant Base (Hidden)'!$C$2:$C$1048576,0),MATCH(T$6,'Restaurant Base (Hidden)'!$A$1:$Z$1,0)),"")</f>
        <v>71.8</v>
      </c>
      <c r="U35" s="1">
        <f>+IFERROR(INDEX('Restaurant Base (Hidden)'!$A$2:$Z$1048576,MATCH($C35,'Restaurant Base (Hidden)'!$C$2:$C$1048576,0),MATCH(U$6,'Restaurant Base (Hidden)'!$A$1:$Z$1,0)),"")</f>
        <v>5</v>
      </c>
      <c r="V35" s="2" t="str">
        <f>+IFERROR(INDEX('Restaurant Base (Hidden)'!$A$2:$Z$1048576,MATCH($C35,'Restaurant Base (Hidden)'!$C$2:$C$1048576,0),MATCH(V$6,'Restaurant Base (Hidden)'!$A$1:$Z$1,0)),"")</f>
        <v/>
      </c>
      <c r="W35" s="65" t="str">
        <f>+IFERROR(INDEX('Restaurant Base (Hidden)'!$A$2:$Z$1048576,MATCH($C35,'Restaurant Base (Hidden)'!$C$2:$C$1048576,0),MATCH(W$6,'Restaurant Base (Hidden)'!$A$1:$Z$1,0)),"")</f>
        <v>80,00 %</v>
      </c>
      <c r="X35" s="1">
        <f>+IFERROR(INDEX('Restaurant Base (Hidden)'!$A$2:$Z$1048576,MATCH($C35,'Restaurant Base (Hidden)'!$C$2:$C$1048576,0),MATCH(X$6,'Restaurant Base (Hidden)'!$A$1:$Z$1,0)),"")</f>
        <v>3</v>
      </c>
      <c r="Y35" s="65" t="str">
        <f>+IFERROR(INDEX('Restaurant Base (Hidden)'!$A$2:$Z$1048576,MATCH($C35,'Restaurant Base (Hidden)'!$C$2:$C$1048576,0),MATCH(Y$6,'Restaurant Base (Hidden)'!$A$1:$Z$1,0)),"")</f>
        <v>69,10 %</v>
      </c>
      <c r="Z35" s="106">
        <f>+IFERROR(INDEX('Restaurant Base (Hidden)'!$A$2:$Z$1048576,MATCH($C35,'Restaurant Base (Hidden)'!$C$2:$C$1048576,0),MATCH(Z$6,'Restaurant Base (Hidden)'!$A$1:$Z$1,0)),"")</f>
        <v>2</v>
      </c>
      <c r="AA35" s="65" t="str">
        <f>+IFERROR(INDEX('Restaurant Base (Hidden)'!$A$2:$Z$1048576,MATCH($C35,'Restaurant Base (Hidden)'!$C$2:$C$1048576,0),MATCH(AA$6,'Restaurant Base (Hidden)'!$A$1:$Z$1,0)),"")</f>
        <v>82,60 %</v>
      </c>
      <c r="AB35" s="1">
        <f>+IFERROR(INDEX('Restaurant Base (Hidden)'!$A$2:$Z$1048576,MATCH($C35,'Restaurant Base (Hidden)'!$C$2:$C$1048576,0),MATCH(AB$6,'Restaurant Base (Hidden)'!$A$1:$Z$1,0)),"")</f>
        <v>2</v>
      </c>
      <c r="AC35" s="20" t="str">
        <f>+IFERROR(INDEX('Restaurant Base (Hidden)'!$A$2:$Z$1048576,MATCH($C35,'Restaurant Base (Hidden)'!$C$2:$C$1048576,0),MATCH(AC$6,'Restaurant Base (Hidden)'!$A$1:$Z$1,0)),"")</f>
        <v/>
      </c>
      <c r="AD35" s="65" t="str">
        <f>+IFERROR(INDEX('Restaurant Base (Hidden)'!$A$2:$Z$1048576,MATCH($C35,'Restaurant Base (Hidden)'!$C$2:$C$1048576,0),MATCH(AD$6,'Restaurant Base (Hidden)'!$A$1:$Z$1,0)),"")</f>
        <v>96,80 %</v>
      </c>
      <c r="AE35" s="1">
        <f>+IFERROR(INDEX('Restaurant Base (Hidden)'!$A$2:$Z$1048576,MATCH($C35,'Restaurant Base (Hidden)'!$C$2:$C$1048576,0),MATCH(AE$6,'Restaurant Base (Hidden)'!$A$1:$Z$1,0)),"")</f>
        <v>5</v>
      </c>
      <c r="AF35" s="65" t="str">
        <f>+IFERROR(INDEX('Restaurant Base (Hidden)'!$A$2:$Z$1048576,MATCH($C35,'Restaurant Base (Hidden)'!$C$2:$C$1048576,0),MATCH(AF$6,'Restaurant Base (Hidden)'!$A$1:$Z$1,0)),"")</f>
        <v>70,90 %</v>
      </c>
      <c r="AG35" s="1">
        <f>+IFERROR(INDEX('Restaurant Base (Hidden)'!$A$2:$Z$1048576,MATCH($C35,'Restaurant Base (Hidden)'!$C$2:$C$1048576,0),MATCH(AG$6,'Restaurant Base (Hidden)'!$A$1:$Z$1,0)),"")</f>
        <v>1</v>
      </c>
    </row>
    <row r="36" spans="1:33" x14ac:dyDescent="0.4">
      <c r="A36" s="163" t="str">
        <f>IF('Restaurant Base (Hidden)'!A122=0,"", 'Restaurant Base (Hidden)'!A122)</f>
        <v>Drew Fairbourne</v>
      </c>
      <c r="B36" s="163" t="str">
        <f>IF('Restaurant Base (Hidden)'!B122=0,"", 'Restaurant Base (Hidden)'!B122)</f>
        <v>Northstar Dining Group</v>
      </c>
      <c r="C36" s="163" t="str">
        <f>IF('Restaurant Base (Hidden)'!C122=0,"", 'Restaurant Base (Hidden)'!C122)</f>
        <v>Fox Boulevard</v>
      </c>
      <c r="D36" s="104">
        <f t="shared" si="0"/>
        <v>29</v>
      </c>
      <c r="E36" s="105">
        <f>+IFERROR(INDEX('Restaurant Base (Hidden)'!$A$2:$Z$1048576,MATCH($C36,'Restaurant Base (Hidden)'!$C$2:$C$1048576,0),MATCH(E$6,'Restaurant Base (Hidden)'!$A$1:$Z$1,0)),"")</f>
        <v>3.69</v>
      </c>
      <c r="F36" s="2" t="str">
        <f>+IFERROR(INDEX('Restaurant Base (Hidden)'!$A$2:$Z$1048576,MATCH($C36,'Restaurant Base (Hidden)'!$C$2:$C$1048576,0),MATCH(F$6,'Restaurant Base (Hidden)'!$A$1:$Z$1,0)),"")</f>
        <v/>
      </c>
      <c r="G36" s="20" t="str">
        <f>+IFERROR(INDEX('Restaurant Base (Hidden)'!$A$2:$Z$1048576,MATCH($C36,'Restaurant Base (Hidden)'!$C$2:$C$1048576,0),MATCH(G$6,'Restaurant Base (Hidden)'!$A$1:$Z$1,0)),"")</f>
        <v>4,543</v>
      </c>
      <c r="H36" s="50">
        <f>+IFERROR(INDEX('Restaurant Base (Hidden)'!$A$2:$Z$1048576,MATCH($C36,'Restaurant Base (Hidden)'!$C$2:$C$1048576,0),MATCH(H$6,'Restaurant Base (Hidden)'!$A$1:$Z$1,0)),"")</f>
        <v>5</v>
      </c>
      <c r="I36" s="20" t="str">
        <f>+IFERROR(INDEX('Restaurant Base (Hidden)'!$A$2:$Z$1048576,MATCH($C36,'Restaurant Base (Hidden)'!$C$2:$C$1048576,0),MATCH(I$6,'Restaurant Base (Hidden)'!$A$1:$Z$1,0)),"")</f>
        <v>86,30 %</v>
      </c>
      <c r="J36" s="49">
        <f>+IFERROR(INDEX('Restaurant Base (Hidden)'!$A$2:$Z$1048576,MATCH($C36,'Restaurant Base (Hidden)'!$C$2:$C$1048576,0),MATCH(J$6,'Restaurant Base (Hidden)'!$A$1:$Z$1,0)),"")</f>
        <v>3</v>
      </c>
      <c r="K36" s="20" t="str">
        <f>+IFERROR(INDEX('Restaurant Base (Hidden)'!$A$2:$Z$1048576,MATCH($C36,'Restaurant Base (Hidden)'!$C$2:$C$1048576,0),MATCH(K$6,'Restaurant Base (Hidden)'!$A$1:$Z$1,0)),"")</f>
        <v>0,067</v>
      </c>
      <c r="L36" s="51">
        <f>+IFERROR(INDEX('Restaurant Base (Hidden)'!$A$2:$Z$1048576,MATCH($C36,'Restaurant Base (Hidden)'!$C$2:$C$1048576,0),MATCH(L$6,'Restaurant Base (Hidden)'!$A$1:$Z$1,0)),"")</f>
        <v>4</v>
      </c>
      <c r="M36" s="2" t="str">
        <f>+IFERROR(INDEX('Restaurant Base (Hidden)'!$A$2:$Z$1048576,MATCH($C36,'Restaurant Base (Hidden)'!$C$2:$C$1048576,0),MATCH(M$6,'Restaurant Base (Hidden)'!$A$1:$Z$1,0)),"")</f>
        <v/>
      </c>
      <c r="N36" s="234" t="str">
        <f>+IFERROR(INDEX('Restaurant Base (Hidden)'!$A$2:$Z$1048576,MATCH($C36,'Restaurant Base (Hidden)'!$C$2:$C$1048576,0),MATCH(N$6,'Restaurant Base (Hidden)'!$A$1:$Z$1,0)),"")</f>
        <v>81,50 %</v>
      </c>
      <c r="O36" s="1">
        <f>+IFERROR(INDEX('Restaurant Base (Hidden)'!$A$2:$Z$1048576,MATCH($C36,'Restaurant Base (Hidden)'!$C$2:$C$1048576,0),MATCH(O$6,'Restaurant Base (Hidden)'!$A$1:$Z$1,0)),"")</f>
        <v>5</v>
      </c>
      <c r="P36" s="2" t="str">
        <f>+IFERROR(INDEX('Restaurant Base (Hidden)'!$A$2:$Z$1048576,MATCH($C36,'Restaurant Base (Hidden)'!$C$2:$C$1048576,0),MATCH(P$6,'Restaurant Base (Hidden)'!$A$1:$Z$1,0)),"")</f>
        <v/>
      </c>
      <c r="Q36" s="234" t="str">
        <f>+IFERROR(INDEX('Restaurant Base (Hidden)'!$A$2:$Z$1048576,MATCH($C36,'Restaurant Base (Hidden)'!$C$2:$C$1048576,0),MATCH(Q$6,'Restaurant Base (Hidden)'!$A$1:$Z$1,0)),"")</f>
        <v>91,70 %</v>
      </c>
      <c r="R36" s="1">
        <f>+IFERROR(INDEX('Restaurant Base (Hidden)'!$A$2:$Z$1048576,MATCH($C36,'Restaurant Base (Hidden)'!$C$2:$C$1048576,0),MATCH(R$6,'Restaurant Base (Hidden)'!$A$1:$Z$1,0)),"")</f>
        <v>5</v>
      </c>
      <c r="S36" s="2" t="str">
        <f>+IFERROR(INDEX('Restaurant Base (Hidden)'!$A$2:$Z$1048576,MATCH($C36,'Restaurant Base (Hidden)'!$C$2:$C$1048576,0),MATCH(S$6,'Restaurant Base (Hidden)'!$A$1:$Z$1,0)),"")</f>
        <v/>
      </c>
      <c r="T36" s="62">
        <f>+IFERROR(INDEX('Restaurant Base (Hidden)'!$A$2:$Z$1048576,MATCH($C36,'Restaurant Base (Hidden)'!$C$2:$C$1048576,0),MATCH(T$6,'Restaurant Base (Hidden)'!$A$1:$Z$1,0)),"")</f>
        <v>73</v>
      </c>
      <c r="U36" s="1">
        <f>+IFERROR(INDEX('Restaurant Base (Hidden)'!$A$2:$Z$1048576,MATCH($C36,'Restaurant Base (Hidden)'!$C$2:$C$1048576,0),MATCH(U$6,'Restaurant Base (Hidden)'!$A$1:$Z$1,0)),"")</f>
        <v>5</v>
      </c>
      <c r="V36" s="2" t="str">
        <f>+IFERROR(INDEX('Restaurant Base (Hidden)'!$A$2:$Z$1048576,MATCH($C36,'Restaurant Base (Hidden)'!$C$2:$C$1048576,0),MATCH(V$6,'Restaurant Base (Hidden)'!$A$1:$Z$1,0)),"")</f>
        <v/>
      </c>
      <c r="W36" s="65" t="str">
        <f>+IFERROR(INDEX('Restaurant Base (Hidden)'!$A$2:$Z$1048576,MATCH($C36,'Restaurant Base (Hidden)'!$C$2:$C$1048576,0),MATCH(W$6,'Restaurant Base (Hidden)'!$A$1:$Z$1,0)),"")</f>
        <v>86,40 %</v>
      </c>
      <c r="X36" s="1">
        <f>+IFERROR(INDEX('Restaurant Base (Hidden)'!$A$2:$Z$1048576,MATCH($C36,'Restaurant Base (Hidden)'!$C$2:$C$1048576,0),MATCH(X$6,'Restaurant Base (Hidden)'!$A$1:$Z$1,0)),"")</f>
        <v>3</v>
      </c>
      <c r="Y36" s="65" t="str">
        <f>+IFERROR(INDEX('Restaurant Base (Hidden)'!$A$2:$Z$1048576,MATCH($C36,'Restaurant Base (Hidden)'!$C$2:$C$1048576,0),MATCH(Y$6,'Restaurant Base (Hidden)'!$A$1:$Z$1,0)),"")</f>
        <v>75,90 %</v>
      </c>
      <c r="Z36" s="106">
        <f>+IFERROR(INDEX('Restaurant Base (Hidden)'!$A$2:$Z$1048576,MATCH($C36,'Restaurant Base (Hidden)'!$C$2:$C$1048576,0),MATCH(Z$6,'Restaurant Base (Hidden)'!$A$1:$Z$1,0)),"")</f>
        <v>2</v>
      </c>
      <c r="AA36" s="65" t="str">
        <f>+IFERROR(INDEX('Restaurant Base (Hidden)'!$A$2:$Z$1048576,MATCH($C36,'Restaurant Base (Hidden)'!$C$2:$C$1048576,0),MATCH(AA$6,'Restaurant Base (Hidden)'!$A$1:$Z$1,0)),"")</f>
        <v>60,80 %</v>
      </c>
      <c r="AB36" s="1">
        <f>+IFERROR(INDEX('Restaurant Base (Hidden)'!$A$2:$Z$1048576,MATCH($C36,'Restaurant Base (Hidden)'!$C$2:$C$1048576,0),MATCH(AB$6,'Restaurant Base (Hidden)'!$A$1:$Z$1,0)),"")</f>
        <v>2</v>
      </c>
      <c r="AC36" s="20" t="str">
        <f>+IFERROR(INDEX('Restaurant Base (Hidden)'!$A$2:$Z$1048576,MATCH($C36,'Restaurant Base (Hidden)'!$C$2:$C$1048576,0),MATCH(AC$6,'Restaurant Base (Hidden)'!$A$1:$Z$1,0)),"")</f>
        <v/>
      </c>
      <c r="AD36" s="65" t="str">
        <f>+IFERROR(INDEX('Restaurant Base (Hidden)'!$A$2:$Z$1048576,MATCH($C36,'Restaurant Base (Hidden)'!$C$2:$C$1048576,0),MATCH(AD$6,'Restaurant Base (Hidden)'!$A$1:$Z$1,0)),"")</f>
        <v>88,10 %</v>
      </c>
      <c r="AE36" s="1">
        <f>+IFERROR(INDEX('Restaurant Base (Hidden)'!$A$2:$Z$1048576,MATCH($C36,'Restaurant Base (Hidden)'!$C$2:$C$1048576,0),MATCH(AE$6,'Restaurant Base (Hidden)'!$A$1:$Z$1,0)),"")</f>
        <v>3</v>
      </c>
      <c r="AF36" s="65" t="str">
        <f>+IFERROR(INDEX('Restaurant Base (Hidden)'!$A$2:$Z$1048576,MATCH($C36,'Restaurant Base (Hidden)'!$C$2:$C$1048576,0),MATCH(AF$6,'Restaurant Base (Hidden)'!$A$1:$Z$1,0)),"")</f>
        <v>70,40 %</v>
      </c>
      <c r="AG36" s="1">
        <f>+IFERROR(INDEX('Restaurant Base (Hidden)'!$A$2:$Z$1048576,MATCH($C36,'Restaurant Base (Hidden)'!$C$2:$C$1048576,0),MATCH(AG$6,'Restaurant Base (Hidden)'!$A$1:$Z$1,0)),"")</f>
        <v>1</v>
      </c>
    </row>
    <row r="37" spans="1:33" x14ac:dyDescent="0.4">
      <c r="A37" s="163" t="str">
        <f>IF('Restaurant Base (Hidden)'!A267=0,"", 'Restaurant Base (Hidden)'!A267)</f>
        <v>Drew Fairbourne</v>
      </c>
      <c r="B37" s="163" t="str">
        <f>IF('Restaurant Base (Hidden)'!B267=0,"", 'Restaurant Base (Hidden)'!B267)</f>
        <v>Meadowgate Hospitality</v>
      </c>
      <c r="C37" s="163" t="str">
        <f>IF('Restaurant Base (Hidden)'!C267=0,"", 'Restaurant Base (Hidden)'!C267)</f>
        <v>Golden Landing</v>
      </c>
      <c r="D37" s="104">
        <f t="shared" si="0"/>
        <v>31</v>
      </c>
      <c r="E37" s="105">
        <f>+IFERROR(INDEX('Restaurant Base (Hidden)'!$A$2:$Z$1048576,MATCH($C37,'Restaurant Base (Hidden)'!$C$2:$C$1048576,0),MATCH(E$6,'Restaurant Base (Hidden)'!$A$1:$Z$1,0)),"")</f>
        <v>3.68</v>
      </c>
      <c r="F37" s="2" t="str">
        <f>+IFERROR(INDEX('Restaurant Base (Hidden)'!$A$2:$Z$1048576,MATCH($C37,'Restaurant Base (Hidden)'!$C$2:$C$1048576,0),MATCH(F$6,'Restaurant Base (Hidden)'!$A$1:$Z$1,0)),"")</f>
        <v/>
      </c>
      <c r="G37" s="20" t="str">
        <f>+IFERROR(INDEX('Restaurant Base (Hidden)'!$A$2:$Z$1048576,MATCH($C37,'Restaurant Base (Hidden)'!$C$2:$C$1048576,0),MATCH(G$6,'Restaurant Base (Hidden)'!$A$1:$Z$1,0)),"")</f>
        <v>4,607</v>
      </c>
      <c r="H37" s="50">
        <f>+IFERROR(INDEX('Restaurant Base (Hidden)'!$A$2:$Z$1048576,MATCH($C37,'Restaurant Base (Hidden)'!$C$2:$C$1048576,0),MATCH(H$6,'Restaurant Base (Hidden)'!$A$1:$Z$1,0)),"")</f>
        <v>5</v>
      </c>
      <c r="I37" s="20" t="str">
        <f>+IFERROR(INDEX('Restaurant Base (Hidden)'!$A$2:$Z$1048576,MATCH($C37,'Restaurant Base (Hidden)'!$C$2:$C$1048576,0),MATCH(I$6,'Restaurant Base (Hidden)'!$A$1:$Z$1,0)),"")</f>
        <v>93,80 %</v>
      </c>
      <c r="J37" s="49">
        <f>+IFERROR(INDEX('Restaurant Base (Hidden)'!$A$2:$Z$1048576,MATCH($C37,'Restaurant Base (Hidden)'!$C$2:$C$1048576,0),MATCH(J$6,'Restaurant Base (Hidden)'!$A$1:$Z$1,0)),"")</f>
        <v>4</v>
      </c>
      <c r="K37" s="20" t="str">
        <f>+IFERROR(INDEX('Restaurant Base (Hidden)'!$A$2:$Z$1048576,MATCH($C37,'Restaurant Base (Hidden)'!$C$2:$C$1048576,0),MATCH(K$6,'Restaurant Base (Hidden)'!$A$1:$Z$1,0)),"")</f>
        <v>0,112</v>
      </c>
      <c r="L37" s="51">
        <f>+IFERROR(INDEX('Restaurant Base (Hidden)'!$A$2:$Z$1048576,MATCH($C37,'Restaurant Base (Hidden)'!$C$2:$C$1048576,0),MATCH(L$6,'Restaurant Base (Hidden)'!$A$1:$Z$1,0)),"")</f>
        <v>3</v>
      </c>
      <c r="M37" s="2" t="str">
        <f>+IFERROR(INDEX('Restaurant Base (Hidden)'!$A$2:$Z$1048576,MATCH($C37,'Restaurant Base (Hidden)'!$C$2:$C$1048576,0),MATCH(M$6,'Restaurant Base (Hidden)'!$A$1:$Z$1,0)),"")</f>
        <v/>
      </c>
      <c r="N37" s="234" t="str">
        <f>+IFERROR(INDEX('Restaurant Base (Hidden)'!$A$2:$Z$1048576,MATCH($C37,'Restaurant Base (Hidden)'!$C$2:$C$1048576,0),MATCH(N$6,'Restaurant Base (Hidden)'!$A$1:$Z$1,0)),"")</f>
        <v>71,00 %</v>
      </c>
      <c r="O37" s="1">
        <f>+IFERROR(INDEX('Restaurant Base (Hidden)'!$A$2:$Z$1048576,MATCH($C37,'Restaurant Base (Hidden)'!$C$2:$C$1048576,0),MATCH(O$6,'Restaurant Base (Hidden)'!$A$1:$Z$1,0)),"")</f>
        <v>4</v>
      </c>
      <c r="P37" s="2" t="str">
        <f>+IFERROR(INDEX('Restaurant Base (Hidden)'!$A$2:$Z$1048576,MATCH($C37,'Restaurant Base (Hidden)'!$C$2:$C$1048576,0),MATCH(P$6,'Restaurant Base (Hidden)'!$A$1:$Z$1,0)),"")</f>
        <v/>
      </c>
      <c r="Q37" s="234" t="str">
        <f>+IFERROR(INDEX('Restaurant Base (Hidden)'!$A$2:$Z$1048576,MATCH($C37,'Restaurant Base (Hidden)'!$C$2:$C$1048576,0),MATCH(Q$6,'Restaurant Base (Hidden)'!$A$1:$Z$1,0)),"")</f>
        <v>89,40 %</v>
      </c>
      <c r="R37" s="1">
        <f>+IFERROR(INDEX('Restaurant Base (Hidden)'!$A$2:$Z$1048576,MATCH($C37,'Restaurant Base (Hidden)'!$C$2:$C$1048576,0),MATCH(R$6,'Restaurant Base (Hidden)'!$A$1:$Z$1,0)),"")</f>
        <v>5</v>
      </c>
      <c r="S37" s="2" t="str">
        <f>+IFERROR(INDEX('Restaurant Base (Hidden)'!$A$2:$Z$1048576,MATCH($C37,'Restaurant Base (Hidden)'!$C$2:$C$1048576,0),MATCH(S$6,'Restaurant Base (Hidden)'!$A$1:$Z$1,0)),"")</f>
        <v/>
      </c>
      <c r="T37" s="62">
        <f>+IFERROR(INDEX('Restaurant Base (Hidden)'!$A$2:$Z$1048576,MATCH($C37,'Restaurant Base (Hidden)'!$C$2:$C$1048576,0),MATCH(T$6,'Restaurant Base (Hidden)'!$A$1:$Z$1,0)),"")</f>
        <v>77.900000000000006</v>
      </c>
      <c r="U37" s="1">
        <f>+IFERROR(INDEX('Restaurant Base (Hidden)'!$A$2:$Z$1048576,MATCH($C37,'Restaurant Base (Hidden)'!$C$2:$C$1048576,0),MATCH(U$6,'Restaurant Base (Hidden)'!$A$1:$Z$1,0)),"")</f>
        <v>5</v>
      </c>
      <c r="V37" s="2" t="str">
        <f>+IFERROR(INDEX('Restaurant Base (Hidden)'!$A$2:$Z$1048576,MATCH($C37,'Restaurant Base (Hidden)'!$C$2:$C$1048576,0),MATCH(V$6,'Restaurant Base (Hidden)'!$A$1:$Z$1,0)),"")</f>
        <v/>
      </c>
      <c r="W37" s="65" t="str">
        <f>+IFERROR(INDEX('Restaurant Base (Hidden)'!$A$2:$Z$1048576,MATCH($C37,'Restaurant Base (Hidden)'!$C$2:$C$1048576,0),MATCH(W$6,'Restaurant Base (Hidden)'!$A$1:$Z$1,0)),"")</f>
        <v>91,90 %</v>
      </c>
      <c r="X37" s="1">
        <f>+IFERROR(INDEX('Restaurant Base (Hidden)'!$A$2:$Z$1048576,MATCH($C37,'Restaurant Base (Hidden)'!$C$2:$C$1048576,0),MATCH(X$6,'Restaurant Base (Hidden)'!$A$1:$Z$1,0)),"")</f>
        <v>3</v>
      </c>
      <c r="Y37" s="65" t="str">
        <f>+IFERROR(INDEX('Restaurant Base (Hidden)'!$A$2:$Z$1048576,MATCH($C37,'Restaurant Base (Hidden)'!$C$2:$C$1048576,0),MATCH(Y$6,'Restaurant Base (Hidden)'!$A$1:$Z$1,0)),"")</f>
        <v>93,90 %</v>
      </c>
      <c r="Z37" s="106">
        <f>+IFERROR(INDEX('Restaurant Base (Hidden)'!$A$2:$Z$1048576,MATCH($C37,'Restaurant Base (Hidden)'!$C$2:$C$1048576,0),MATCH(Z$6,'Restaurant Base (Hidden)'!$A$1:$Z$1,0)),"")</f>
        <v>3</v>
      </c>
      <c r="AA37" s="65" t="str">
        <f>+IFERROR(INDEX('Restaurant Base (Hidden)'!$A$2:$Z$1048576,MATCH($C37,'Restaurant Base (Hidden)'!$C$2:$C$1048576,0),MATCH(AA$6,'Restaurant Base (Hidden)'!$A$1:$Z$1,0)),"")</f>
        <v>80,80 %</v>
      </c>
      <c r="AB37" s="1">
        <f>+IFERROR(INDEX('Restaurant Base (Hidden)'!$A$2:$Z$1048576,MATCH($C37,'Restaurant Base (Hidden)'!$C$2:$C$1048576,0),MATCH(AB$6,'Restaurant Base (Hidden)'!$A$1:$Z$1,0)),"")</f>
        <v>2</v>
      </c>
      <c r="AC37" s="20" t="str">
        <f>+IFERROR(INDEX('Restaurant Base (Hidden)'!$A$2:$Z$1048576,MATCH($C37,'Restaurant Base (Hidden)'!$C$2:$C$1048576,0),MATCH(AC$6,'Restaurant Base (Hidden)'!$A$1:$Z$1,0)),"")</f>
        <v/>
      </c>
      <c r="AD37" s="65" t="str">
        <f>+IFERROR(INDEX('Restaurant Base (Hidden)'!$A$2:$Z$1048576,MATCH($C37,'Restaurant Base (Hidden)'!$C$2:$C$1048576,0),MATCH(AD$6,'Restaurant Base (Hidden)'!$A$1:$Z$1,0)),"")</f>
        <v>71,10 %</v>
      </c>
      <c r="AE37" s="1">
        <f>+IFERROR(INDEX('Restaurant Base (Hidden)'!$A$2:$Z$1048576,MATCH($C37,'Restaurant Base (Hidden)'!$C$2:$C$1048576,0),MATCH(AE$6,'Restaurant Base (Hidden)'!$A$1:$Z$1,0)),"")</f>
        <v>1</v>
      </c>
      <c r="AF37" s="65" t="str">
        <f>+IFERROR(INDEX('Restaurant Base (Hidden)'!$A$2:$Z$1048576,MATCH($C37,'Restaurant Base (Hidden)'!$C$2:$C$1048576,0),MATCH(AF$6,'Restaurant Base (Hidden)'!$A$1:$Z$1,0)),"")</f>
        <v>84,60 %</v>
      </c>
      <c r="AG37" s="1">
        <f>+IFERROR(INDEX('Restaurant Base (Hidden)'!$A$2:$Z$1048576,MATCH($C37,'Restaurant Base (Hidden)'!$C$2:$C$1048576,0),MATCH(AG$6,'Restaurant Base (Hidden)'!$A$1:$Z$1,0)),"")</f>
        <v>3</v>
      </c>
    </row>
    <row r="38" spans="1:33" x14ac:dyDescent="0.4">
      <c r="A38" s="163" t="str">
        <f>IF('Restaurant Base (Hidden)'!A197=0,"", 'Restaurant Base (Hidden)'!A197)</f>
        <v>Arden Brookstone</v>
      </c>
      <c r="B38" s="163" t="str">
        <f>IF('Restaurant Base (Hidden)'!B197=0,"", 'Restaurant Base (Hidden)'!B197)</f>
        <v>Riverstone Food Partners</v>
      </c>
      <c r="C38" s="163" t="str">
        <f>IF('Restaurant Base (Hidden)'!C197=0,"", 'Restaurant Base (Hidden)'!C197)</f>
        <v>Stone Gardens</v>
      </c>
      <c r="D38" s="104">
        <f t="shared" si="0"/>
        <v>32</v>
      </c>
      <c r="E38" s="105">
        <f>+IFERROR(INDEX('Restaurant Base (Hidden)'!$A$2:$Z$1048576,MATCH($C38,'Restaurant Base (Hidden)'!$C$2:$C$1048576,0),MATCH(E$6,'Restaurant Base (Hidden)'!$A$1:$Z$1,0)),"")</f>
        <v>3.65</v>
      </c>
      <c r="F38" s="2" t="str">
        <f>+IFERROR(INDEX('Restaurant Base (Hidden)'!$A$2:$Z$1048576,MATCH($C38,'Restaurant Base (Hidden)'!$C$2:$C$1048576,0),MATCH(F$6,'Restaurant Base (Hidden)'!$A$1:$Z$1,0)),"")</f>
        <v/>
      </c>
      <c r="G38" s="20" t="str">
        <f>+IFERROR(INDEX('Restaurant Base (Hidden)'!$A$2:$Z$1048576,MATCH($C38,'Restaurant Base (Hidden)'!$C$2:$C$1048576,0),MATCH(G$6,'Restaurant Base (Hidden)'!$A$1:$Z$1,0)),"")</f>
        <v>4,847</v>
      </c>
      <c r="H38" s="50">
        <f>+IFERROR(INDEX('Restaurant Base (Hidden)'!$A$2:$Z$1048576,MATCH($C38,'Restaurant Base (Hidden)'!$C$2:$C$1048576,0),MATCH(H$6,'Restaurant Base (Hidden)'!$A$1:$Z$1,0)),"")</f>
        <v>5</v>
      </c>
      <c r="I38" s="20" t="str">
        <f>+IFERROR(INDEX('Restaurant Base (Hidden)'!$A$2:$Z$1048576,MATCH($C38,'Restaurant Base (Hidden)'!$C$2:$C$1048576,0),MATCH(I$6,'Restaurant Base (Hidden)'!$A$1:$Z$1,0)),"")</f>
        <v>95,70 %</v>
      </c>
      <c r="J38" s="49">
        <f>+IFERROR(INDEX('Restaurant Base (Hidden)'!$A$2:$Z$1048576,MATCH($C38,'Restaurant Base (Hidden)'!$C$2:$C$1048576,0),MATCH(J$6,'Restaurant Base (Hidden)'!$A$1:$Z$1,0)),"")</f>
        <v>5</v>
      </c>
      <c r="K38" s="20" t="str">
        <f>+IFERROR(INDEX('Restaurant Base (Hidden)'!$A$2:$Z$1048576,MATCH($C38,'Restaurant Base (Hidden)'!$C$2:$C$1048576,0),MATCH(K$6,'Restaurant Base (Hidden)'!$A$1:$Z$1,0)),"")</f>
        <v>0,074</v>
      </c>
      <c r="L38" s="51">
        <f>+IFERROR(INDEX('Restaurant Base (Hidden)'!$A$2:$Z$1048576,MATCH($C38,'Restaurant Base (Hidden)'!$C$2:$C$1048576,0),MATCH(L$6,'Restaurant Base (Hidden)'!$A$1:$Z$1,0)),"")</f>
        <v>4</v>
      </c>
      <c r="M38" s="2" t="str">
        <f>+IFERROR(INDEX('Restaurant Base (Hidden)'!$A$2:$Z$1048576,MATCH($C38,'Restaurant Base (Hidden)'!$C$2:$C$1048576,0),MATCH(M$6,'Restaurant Base (Hidden)'!$A$1:$Z$1,0)),"")</f>
        <v/>
      </c>
      <c r="N38" s="234" t="str">
        <f>+IFERROR(INDEX('Restaurant Base (Hidden)'!$A$2:$Z$1048576,MATCH($C38,'Restaurant Base (Hidden)'!$C$2:$C$1048576,0),MATCH(N$6,'Restaurant Base (Hidden)'!$A$1:$Z$1,0)),"")</f>
        <v>64,40 %</v>
      </c>
      <c r="O38" s="1">
        <f>+IFERROR(INDEX('Restaurant Base (Hidden)'!$A$2:$Z$1048576,MATCH($C38,'Restaurant Base (Hidden)'!$C$2:$C$1048576,0),MATCH(O$6,'Restaurant Base (Hidden)'!$A$1:$Z$1,0)),"")</f>
        <v>3</v>
      </c>
      <c r="P38" s="2" t="str">
        <f>+IFERROR(INDEX('Restaurant Base (Hidden)'!$A$2:$Z$1048576,MATCH($C38,'Restaurant Base (Hidden)'!$C$2:$C$1048576,0),MATCH(P$6,'Restaurant Base (Hidden)'!$A$1:$Z$1,0)),"")</f>
        <v/>
      </c>
      <c r="Q38" s="234" t="str">
        <f>+IFERROR(INDEX('Restaurant Base (Hidden)'!$A$2:$Z$1048576,MATCH($C38,'Restaurant Base (Hidden)'!$C$2:$C$1048576,0),MATCH(Q$6,'Restaurant Base (Hidden)'!$A$1:$Z$1,0)),"")</f>
        <v>66,40 %</v>
      </c>
      <c r="R38" s="1">
        <f>+IFERROR(INDEX('Restaurant Base (Hidden)'!$A$2:$Z$1048576,MATCH($C38,'Restaurant Base (Hidden)'!$C$2:$C$1048576,0),MATCH(R$6,'Restaurant Base (Hidden)'!$A$1:$Z$1,0)),"")</f>
        <v>3</v>
      </c>
      <c r="S38" s="2" t="str">
        <f>+IFERROR(INDEX('Restaurant Base (Hidden)'!$A$2:$Z$1048576,MATCH($C38,'Restaurant Base (Hidden)'!$C$2:$C$1048576,0),MATCH(S$6,'Restaurant Base (Hidden)'!$A$1:$Z$1,0)),"")</f>
        <v/>
      </c>
      <c r="T38" s="62">
        <f>+IFERROR(INDEX('Restaurant Base (Hidden)'!$A$2:$Z$1048576,MATCH($C38,'Restaurant Base (Hidden)'!$C$2:$C$1048576,0),MATCH(T$6,'Restaurant Base (Hidden)'!$A$1:$Z$1,0)),"")</f>
        <v>70.900000000000006</v>
      </c>
      <c r="U38" s="1">
        <f>+IFERROR(INDEX('Restaurant Base (Hidden)'!$A$2:$Z$1048576,MATCH($C38,'Restaurant Base (Hidden)'!$C$2:$C$1048576,0),MATCH(U$6,'Restaurant Base (Hidden)'!$A$1:$Z$1,0)),"")</f>
        <v>5</v>
      </c>
      <c r="V38" s="2" t="str">
        <f>+IFERROR(INDEX('Restaurant Base (Hidden)'!$A$2:$Z$1048576,MATCH($C38,'Restaurant Base (Hidden)'!$C$2:$C$1048576,0),MATCH(V$6,'Restaurant Base (Hidden)'!$A$1:$Z$1,0)),"")</f>
        <v/>
      </c>
      <c r="W38" s="65" t="str">
        <f>+IFERROR(INDEX('Restaurant Base (Hidden)'!$A$2:$Z$1048576,MATCH($C38,'Restaurant Base (Hidden)'!$C$2:$C$1048576,0),MATCH(W$6,'Restaurant Base (Hidden)'!$A$1:$Z$1,0)),"")</f>
        <v>68,90 %</v>
      </c>
      <c r="X38" s="1">
        <f>+IFERROR(INDEX('Restaurant Base (Hidden)'!$A$2:$Z$1048576,MATCH($C38,'Restaurant Base (Hidden)'!$C$2:$C$1048576,0),MATCH(X$6,'Restaurant Base (Hidden)'!$A$1:$Z$1,0)),"")</f>
        <v>2</v>
      </c>
      <c r="Y38" s="65" t="str">
        <f>+IFERROR(INDEX('Restaurant Base (Hidden)'!$A$2:$Z$1048576,MATCH($C38,'Restaurant Base (Hidden)'!$C$2:$C$1048576,0),MATCH(Y$6,'Restaurant Base (Hidden)'!$A$1:$Z$1,0)),"")</f>
        <v>85,60 %</v>
      </c>
      <c r="Z38" s="106">
        <f>+IFERROR(INDEX('Restaurant Base (Hidden)'!$A$2:$Z$1048576,MATCH($C38,'Restaurant Base (Hidden)'!$C$2:$C$1048576,0),MATCH(Z$6,'Restaurant Base (Hidden)'!$A$1:$Z$1,0)),"")</f>
        <v>3</v>
      </c>
      <c r="AA38" s="65" t="str">
        <f>+IFERROR(INDEX('Restaurant Base (Hidden)'!$A$2:$Z$1048576,MATCH($C38,'Restaurant Base (Hidden)'!$C$2:$C$1048576,0),MATCH(AA$6,'Restaurant Base (Hidden)'!$A$1:$Z$1,0)),"")</f>
        <v>71,50 %</v>
      </c>
      <c r="AB38" s="1">
        <f>+IFERROR(INDEX('Restaurant Base (Hidden)'!$A$2:$Z$1048576,MATCH($C38,'Restaurant Base (Hidden)'!$C$2:$C$1048576,0),MATCH(AB$6,'Restaurant Base (Hidden)'!$A$1:$Z$1,0)),"")</f>
        <v>2</v>
      </c>
      <c r="AC38" s="20" t="str">
        <f>+IFERROR(INDEX('Restaurant Base (Hidden)'!$A$2:$Z$1048576,MATCH($C38,'Restaurant Base (Hidden)'!$C$2:$C$1048576,0),MATCH(AC$6,'Restaurant Base (Hidden)'!$A$1:$Z$1,0)),"")</f>
        <v/>
      </c>
      <c r="AD38" s="65" t="str">
        <f>+IFERROR(INDEX('Restaurant Base (Hidden)'!$A$2:$Z$1048576,MATCH($C38,'Restaurant Base (Hidden)'!$C$2:$C$1048576,0),MATCH(AD$6,'Restaurant Base (Hidden)'!$A$1:$Z$1,0)),"")</f>
        <v>99,30 %</v>
      </c>
      <c r="AE38" s="1">
        <f>+IFERROR(INDEX('Restaurant Base (Hidden)'!$A$2:$Z$1048576,MATCH($C38,'Restaurant Base (Hidden)'!$C$2:$C$1048576,0),MATCH(AE$6,'Restaurant Base (Hidden)'!$A$1:$Z$1,0)),"")</f>
        <v>5</v>
      </c>
      <c r="AF38" s="65" t="str">
        <f>+IFERROR(INDEX('Restaurant Base (Hidden)'!$A$2:$Z$1048576,MATCH($C38,'Restaurant Base (Hidden)'!$C$2:$C$1048576,0),MATCH(AF$6,'Restaurant Base (Hidden)'!$A$1:$Z$1,0)),"")</f>
        <v>76,60 %</v>
      </c>
      <c r="AG38" s="1">
        <f>+IFERROR(INDEX('Restaurant Base (Hidden)'!$A$2:$Z$1048576,MATCH($C38,'Restaurant Base (Hidden)'!$C$2:$C$1048576,0),MATCH(AG$6,'Restaurant Base (Hidden)'!$A$1:$Z$1,0)),"")</f>
        <v>2</v>
      </c>
    </row>
    <row r="39" spans="1:33" x14ac:dyDescent="0.4">
      <c r="A39" s="163" t="str">
        <f>IF('Restaurant Base (Hidden)'!A372=0,"", 'Restaurant Base (Hidden)'!A372)</f>
        <v>Emerson Greenleigh</v>
      </c>
      <c r="B39" s="163" t="str">
        <f>IF('Restaurant Base (Hidden)'!B372=0,"", 'Restaurant Base (Hidden)'!B372)</f>
        <v>Kingswell Food Partners</v>
      </c>
      <c r="C39" s="163" t="str">
        <f>IF('Restaurant Base (Hidden)'!C372=0,"", 'Restaurant Base (Hidden)'!C372)</f>
        <v>Royal Way</v>
      </c>
      <c r="D39" s="104">
        <f t="shared" si="0"/>
        <v>32</v>
      </c>
      <c r="E39" s="105">
        <f>+IFERROR(INDEX('Restaurant Base (Hidden)'!$A$2:$Z$1048576,MATCH($C39,'Restaurant Base (Hidden)'!$C$2:$C$1048576,0),MATCH(E$6,'Restaurant Base (Hidden)'!$A$1:$Z$1,0)),"")</f>
        <v>3.65</v>
      </c>
      <c r="F39" s="2" t="str">
        <f>+IFERROR(INDEX('Restaurant Base (Hidden)'!$A$2:$Z$1048576,MATCH($C39,'Restaurant Base (Hidden)'!$C$2:$C$1048576,0),MATCH(F$6,'Restaurant Base (Hidden)'!$A$1:$Z$1,0)),"")</f>
        <v/>
      </c>
      <c r="G39" s="20" t="str">
        <f>+IFERROR(INDEX('Restaurant Base (Hidden)'!$A$2:$Z$1048576,MATCH($C39,'Restaurant Base (Hidden)'!$C$2:$C$1048576,0),MATCH(G$6,'Restaurant Base (Hidden)'!$A$1:$Z$1,0)),"")</f>
        <v>4,341</v>
      </c>
      <c r="H39" s="50">
        <f>+IFERROR(INDEX('Restaurant Base (Hidden)'!$A$2:$Z$1048576,MATCH($C39,'Restaurant Base (Hidden)'!$C$2:$C$1048576,0),MATCH(H$6,'Restaurant Base (Hidden)'!$A$1:$Z$1,0)),"")</f>
        <v>3</v>
      </c>
      <c r="I39" s="20" t="str">
        <f>+IFERROR(INDEX('Restaurant Base (Hidden)'!$A$2:$Z$1048576,MATCH($C39,'Restaurant Base (Hidden)'!$C$2:$C$1048576,0),MATCH(I$6,'Restaurant Base (Hidden)'!$A$1:$Z$1,0)),"")</f>
        <v>88,40 %</v>
      </c>
      <c r="J39" s="49">
        <f>+IFERROR(INDEX('Restaurant Base (Hidden)'!$A$2:$Z$1048576,MATCH($C39,'Restaurant Base (Hidden)'!$C$2:$C$1048576,0),MATCH(J$6,'Restaurant Base (Hidden)'!$A$1:$Z$1,0)),"")</f>
        <v>4</v>
      </c>
      <c r="K39" s="20" t="str">
        <f>+IFERROR(INDEX('Restaurant Base (Hidden)'!$A$2:$Z$1048576,MATCH($C39,'Restaurant Base (Hidden)'!$C$2:$C$1048576,0),MATCH(K$6,'Restaurant Base (Hidden)'!$A$1:$Z$1,0)),"")</f>
        <v>0,186</v>
      </c>
      <c r="L39" s="51">
        <f>+IFERROR(INDEX('Restaurant Base (Hidden)'!$A$2:$Z$1048576,MATCH($C39,'Restaurant Base (Hidden)'!$C$2:$C$1048576,0),MATCH(L$6,'Restaurant Base (Hidden)'!$A$1:$Z$1,0)),"")</f>
        <v>1</v>
      </c>
      <c r="M39" s="2" t="str">
        <f>+IFERROR(INDEX('Restaurant Base (Hidden)'!$A$2:$Z$1048576,MATCH($C39,'Restaurant Base (Hidden)'!$C$2:$C$1048576,0),MATCH(M$6,'Restaurant Base (Hidden)'!$A$1:$Z$1,0)),"")</f>
        <v/>
      </c>
      <c r="N39" s="234" t="str">
        <f>+IFERROR(INDEX('Restaurant Base (Hidden)'!$A$2:$Z$1048576,MATCH($C39,'Restaurant Base (Hidden)'!$C$2:$C$1048576,0),MATCH(N$6,'Restaurant Base (Hidden)'!$A$1:$Z$1,0)),"")</f>
        <v>79,70 %</v>
      </c>
      <c r="O39" s="1">
        <f>+IFERROR(INDEX('Restaurant Base (Hidden)'!$A$2:$Z$1048576,MATCH($C39,'Restaurant Base (Hidden)'!$C$2:$C$1048576,0),MATCH(O$6,'Restaurant Base (Hidden)'!$A$1:$Z$1,0)),"")</f>
        <v>5</v>
      </c>
      <c r="P39" s="2" t="str">
        <f>+IFERROR(INDEX('Restaurant Base (Hidden)'!$A$2:$Z$1048576,MATCH($C39,'Restaurant Base (Hidden)'!$C$2:$C$1048576,0),MATCH(P$6,'Restaurant Base (Hidden)'!$A$1:$Z$1,0)),"")</f>
        <v/>
      </c>
      <c r="Q39" s="234" t="str">
        <f>+IFERROR(INDEX('Restaurant Base (Hidden)'!$A$2:$Z$1048576,MATCH($C39,'Restaurant Base (Hidden)'!$C$2:$C$1048576,0),MATCH(Q$6,'Restaurant Base (Hidden)'!$A$1:$Z$1,0)),"")</f>
        <v>96,40 %</v>
      </c>
      <c r="R39" s="1">
        <f>+IFERROR(INDEX('Restaurant Base (Hidden)'!$A$2:$Z$1048576,MATCH($C39,'Restaurant Base (Hidden)'!$C$2:$C$1048576,0),MATCH(R$6,'Restaurant Base (Hidden)'!$A$1:$Z$1,0)),"")</f>
        <v>5</v>
      </c>
      <c r="S39" s="2" t="str">
        <f>+IFERROR(INDEX('Restaurant Base (Hidden)'!$A$2:$Z$1048576,MATCH($C39,'Restaurant Base (Hidden)'!$C$2:$C$1048576,0),MATCH(S$6,'Restaurant Base (Hidden)'!$A$1:$Z$1,0)),"")</f>
        <v/>
      </c>
      <c r="T39" s="62">
        <f>+IFERROR(INDEX('Restaurant Base (Hidden)'!$A$2:$Z$1048576,MATCH($C39,'Restaurant Base (Hidden)'!$C$2:$C$1048576,0),MATCH(T$6,'Restaurant Base (Hidden)'!$A$1:$Z$1,0)),"")</f>
        <v>69.599999999999994</v>
      </c>
      <c r="U39" s="1">
        <f>+IFERROR(INDEX('Restaurant Base (Hidden)'!$A$2:$Z$1048576,MATCH($C39,'Restaurant Base (Hidden)'!$C$2:$C$1048576,0),MATCH(U$6,'Restaurant Base (Hidden)'!$A$1:$Z$1,0)),"")</f>
        <v>5</v>
      </c>
      <c r="V39" s="2" t="str">
        <f>+IFERROR(INDEX('Restaurant Base (Hidden)'!$A$2:$Z$1048576,MATCH($C39,'Restaurant Base (Hidden)'!$C$2:$C$1048576,0),MATCH(V$6,'Restaurant Base (Hidden)'!$A$1:$Z$1,0)),"")</f>
        <v/>
      </c>
      <c r="W39" s="65" t="str">
        <f>+IFERROR(INDEX('Restaurant Base (Hidden)'!$A$2:$Z$1048576,MATCH($C39,'Restaurant Base (Hidden)'!$C$2:$C$1048576,0),MATCH(W$6,'Restaurant Base (Hidden)'!$A$1:$Z$1,0)),"")</f>
        <v>87,60 %</v>
      </c>
      <c r="X39" s="1">
        <f>+IFERROR(INDEX('Restaurant Base (Hidden)'!$A$2:$Z$1048576,MATCH($C39,'Restaurant Base (Hidden)'!$C$2:$C$1048576,0),MATCH(X$6,'Restaurant Base (Hidden)'!$A$1:$Z$1,0)),"")</f>
        <v>3</v>
      </c>
      <c r="Y39" s="65" t="str">
        <f>+IFERROR(INDEX('Restaurant Base (Hidden)'!$A$2:$Z$1048576,MATCH($C39,'Restaurant Base (Hidden)'!$C$2:$C$1048576,0),MATCH(Y$6,'Restaurant Base (Hidden)'!$A$1:$Z$1,0)),"")</f>
        <v>76,90 %</v>
      </c>
      <c r="Z39" s="106">
        <f>+IFERROR(INDEX('Restaurant Base (Hidden)'!$A$2:$Z$1048576,MATCH($C39,'Restaurant Base (Hidden)'!$C$2:$C$1048576,0),MATCH(Z$6,'Restaurant Base (Hidden)'!$A$1:$Z$1,0)),"")</f>
        <v>2</v>
      </c>
      <c r="AA39" s="65" t="str">
        <f>+IFERROR(INDEX('Restaurant Base (Hidden)'!$A$2:$Z$1048576,MATCH($C39,'Restaurant Base (Hidden)'!$C$2:$C$1048576,0),MATCH(AA$6,'Restaurant Base (Hidden)'!$A$1:$Z$1,0)),"")</f>
        <v>80,50 %</v>
      </c>
      <c r="AB39" s="1">
        <f>+IFERROR(INDEX('Restaurant Base (Hidden)'!$A$2:$Z$1048576,MATCH($C39,'Restaurant Base (Hidden)'!$C$2:$C$1048576,0),MATCH(AB$6,'Restaurant Base (Hidden)'!$A$1:$Z$1,0)),"")</f>
        <v>2</v>
      </c>
      <c r="AC39" s="20" t="str">
        <f>+IFERROR(INDEX('Restaurant Base (Hidden)'!$A$2:$Z$1048576,MATCH($C39,'Restaurant Base (Hidden)'!$C$2:$C$1048576,0),MATCH(AC$6,'Restaurant Base (Hidden)'!$A$1:$Z$1,0)),"")</f>
        <v/>
      </c>
      <c r="AD39" s="65" t="str">
        <f>+IFERROR(INDEX('Restaurant Base (Hidden)'!$A$2:$Z$1048576,MATCH($C39,'Restaurant Base (Hidden)'!$C$2:$C$1048576,0),MATCH(AD$6,'Restaurant Base (Hidden)'!$A$1:$Z$1,0)),"")</f>
        <v>97,00 %</v>
      </c>
      <c r="AE39" s="1">
        <f>+IFERROR(INDEX('Restaurant Base (Hidden)'!$A$2:$Z$1048576,MATCH($C39,'Restaurant Base (Hidden)'!$C$2:$C$1048576,0),MATCH(AE$6,'Restaurant Base (Hidden)'!$A$1:$Z$1,0)),"")</f>
        <v>5</v>
      </c>
      <c r="AF39" s="65" t="str">
        <f>+IFERROR(INDEX('Restaurant Base (Hidden)'!$A$2:$Z$1048576,MATCH($C39,'Restaurant Base (Hidden)'!$C$2:$C$1048576,0),MATCH(AF$6,'Restaurant Base (Hidden)'!$A$1:$Z$1,0)),"")</f>
        <v>67,60 %</v>
      </c>
      <c r="AG39" s="1">
        <f>+IFERROR(INDEX('Restaurant Base (Hidden)'!$A$2:$Z$1048576,MATCH($C39,'Restaurant Base (Hidden)'!$C$2:$C$1048576,0),MATCH(AG$6,'Restaurant Base (Hidden)'!$A$1:$Z$1,0)),"")</f>
        <v>1</v>
      </c>
    </row>
    <row r="40" spans="1:33" x14ac:dyDescent="0.4">
      <c r="A40" s="163" t="str">
        <f>IF('Restaurant Base (Hidden)'!A364=0,"", 'Restaurant Base (Hidden)'!A364)</f>
        <v>Parker Sterling</v>
      </c>
      <c r="B40" s="163" t="str">
        <f>IF('Restaurant Base (Hidden)'!B364=0,"", 'Restaurant Base (Hidden)'!B364)</f>
        <v>Silverline Hospitality</v>
      </c>
      <c r="C40" s="163" t="str">
        <f>IF('Restaurant Base (Hidden)'!C364=0,"", 'Restaurant Base (Hidden)'!C364)</f>
        <v>Riverside Heath</v>
      </c>
      <c r="D40" s="104">
        <f t="shared" si="0"/>
        <v>34</v>
      </c>
      <c r="E40" s="105">
        <f>+IFERROR(INDEX('Restaurant Base (Hidden)'!$A$2:$Z$1048576,MATCH($C40,'Restaurant Base (Hidden)'!$C$2:$C$1048576,0),MATCH(E$6,'Restaurant Base (Hidden)'!$A$1:$Z$1,0)),"")</f>
        <v>3.63</v>
      </c>
      <c r="F40" s="2" t="str">
        <f>+IFERROR(INDEX('Restaurant Base (Hidden)'!$A$2:$Z$1048576,MATCH($C40,'Restaurant Base (Hidden)'!$C$2:$C$1048576,0),MATCH(F$6,'Restaurant Base (Hidden)'!$A$1:$Z$1,0)),"")</f>
        <v/>
      </c>
      <c r="G40" s="20" t="str">
        <f>+IFERROR(INDEX('Restaurant Base (Hidden)'!$A$2:$Z$1048576,MATCH($C40,'Restaurant Base (Hidden)'!$C$2:$C$1048576,0),MATCH(G$6,'Restaurant Base (Hidden)'!$A$1:$Z$1,0)),"")</f>
        <v>4,009</v>
      </c>
      <c r="H40" s="50">
        <f>+IFERROR(INDEX('Restaurant Base (Hidden)'!$A$2:$Z$1048576,MATCH($C40,'Restaurant Base (Hidden)'!$C$2:$C$1048576,0),MATCH(H$6,'Restaurant Base (Hidden)'!$A$1:$Z$1,0)),"")</f>
        <v>1</v>
      </c>
      <c r="I40" s="20" t="str">
        <f>+IFERROR(INDEX('Restaurant Base (Hidden)'!$A$2:$Z$1048576,MATCH($C40,'Restaurant Base (Hidden)'!$C$2:$C$1048576,0),MATCH(I$6,'Restaurant Base (Hidden)'!$A$1:$Z$1,0)),"")</f>
        <v>70,10 %</v>
      </c>
      <c r="J40" s="49">
        <f>+IFERROR(INDEX('Restaurant Base (Hidden)'!$A$2:$Z$1048576,MATCH($C40,'Restaurant Base (Hidden)'!$C$2:$C$1048576,0),MATCH(J$6,'Restaurant Base (Hidden)'!$A$1:$Z$1,0)),"")</f>
        <v>1</v>
      </c>
      <c r="K40" s="20" t="str">
        <f>+IFERROR(INDEX('Restaurant Base (Hidden)'!$A$2:$Z$1048576,MATCH($C40,'Restaurant Base (Hidden)'!$C$2:$C$1048576,0),MATCH(K$6,'Restaurant Base (Hidden)'!$A$1:$Z$1,0)),"")</f>
        <v>0,054</v>
      </c>
      <c r="L40" s="51">
        <f>+IFERROR(INDEX('Restaurant Base (Hidden)'!$A$2:$Z$1048576,MATCH($C40,'Restaurant Base (Hidden)'!$C$2:$C$1048576,0),MATCH(L$6,'Restaurant Base (Hidden)'!$A$1:$Z$1,0)),"")</f>
        <v>5</v>
      </c>
      <c r="M40" s="2" t="str">
        <f>+IFERROR(INDEX('Restaurant Base (Hidden)'!$A$2:$Z$1048576,MATCH($C40,'Restaurant Base (Hidden)'!$C$2:$C$1048576,0),MATCH(M$6,'Restaurant Base (Hidden)'!$A$1:$Z$1,0)),"")</f>
        <v/>
      </c>
      <c r="N40" s="234" t="str">
        <f>+IFERROR(INDEX('Restaurant Base (Hidden)'!$A$2:$Z$1048576,MATCH($C40,'Restaurant Base (Hidden)'!$C$2:$C$1048576,0),MATCH(N$6,'Restaurant Base (Hidden)'!$A$1:$Z$1,0)),"")</f>
        <v>93,20 %</v>
      </c>
      <c r="O40" s="1">
        <f>+IFERROR(INDEX('Restaurant Base (Hidden)'!$A$2:$Z$1048576,MATCH($C40,'Restaurant Base (Hidden)'!$C$2:$C$1048576,0),MATCH(O$6,'Restaurant Base (Hidden)'!$A$1:$Z$1,0)),"")</f>
        <v>5</v>
      </c>
      <c r="P40" s="2" t="str">
        <f>+IFERROR(INDEX('Restaurant Base (Hidden)'!$A$2:$Z$1048576,MATCH($C40,'Restaurant Base (Hidden)'!$C$2:$C$1048576,0),MATCH(P$6,'Restaurant Base (Hidden)'!$A$1:$Z$1,0)),"")</f>
        <v/>
      </c>
      <c r="Q40" s="234" t="str">
        <f>+IFERROR(INDEX('Restaurant Base (Hidden)'!$A$2:$Z$1048576,MATCH($C40,'Restaurant Base (Hidden)'!$C$2:$C$1048576,0),MATCH(Q$6,'Restaurant Base (Hidden)'!$A$1:$Z$1,0)),"")</f>
        <v>88,50 %</v>
      </c>
      <c r="R40" s="1">
        <f>+IFERROR(INDEX('Restaurant Base (Hidden)'!$A$2:$Z$1048576,MATCH($C40,'Restaurant Base (Hidden)'!$C$2:$C$1048576,0),MATCH(R$6,'Restaurant Base (Hidden)'!$A$1:$Z$1,0)),"")</f>
        <v>5</v>
      </c>
      <c r="S40" s="2" t="str">
        <f>+IFERROR(INDEX('Restaurant Base (Hidden)'!$A$2:$Z$1048576,MATCH($C40,'Restaurant Base (Hidden)'!$C$2:$C$1048576,0),MATCH(S$6,'Restaurant Base (Hidden)'!$A$1:$Z$1,0)),"")</f>
        <v/>
      </c>
      <c r="T40" s="62">
        <f>+IFERROR(INDEX('Restaurant Base (Hidden)'!$A$2:$Z$1048576,MATCH($C40,'Restaurant Base (Hidden)'!$C$2:$C$1048576,0),MATCH(T$6,'Restaurant Base (Hidden)'!$A$1:$Z$1,0)),"")</f>
        <v>74</v>
      </c>
      <c r="U40" s="1">
        <f>+IFERROR(INDEX('Restaurant Base (Hidden)'!$A$2:$Z$1048576,MATCH($C40,'Restaurant Base (Hidden)'!$C$2:$C$1048576,0),MATCH(U$6,'Restaurant Base (Hidden)'!$A$1:$Z$1,0)),"")</f>
        <v>5</v>
      </c>
      <c r="V40" s="2" t="str">
        <f>+IFERROR(INDEX('Restaurant Base (Hidden)'!$A$2:$Z$1048576,MATCH($C40,'Restaurant Base (Hidden)'!$C$2:$C$1048576,0),MATCH(V$6,'Restaurant Base (Hidden)'!$A$1:$Z$1,0)),"")</f>
        <v/>
      </c>
      <c r="W40" s="65" t="str">
        <f>+IFERROR(INDEX('Restaurant Base (Hidden)'!$A$2:$Z$1048576,MATCH($C40,'Restaurant Base (Hidden)'!$C$2:$C$1048576,0),MATCH(W$6,'Restaurant Base (Hidden)'!$A$1:$Z$1,0)),"")</f>
        <v>81,30 %</v>
      </c>
      <c r="X40" s="1">
        <f>+IFERROR(INDEX('Restaurant Base (Hidden)'!$A$2:$Z$1048576,MATCH($C40,'Restaurant Base (Hidden)'!$C$2:$C$1048576,0),MATCH(X$6,'Restaurant Base (Hidden)'!$A$1:$Z$1,0)),"")</f>
        <v>3</v>
      </c>
      <c r="Y40" s="65" t="str">
        <f>+IFERROR(INDEX('Restaurant Base (Hidden)'!$A$2:$Z$1048576,MATCH($C40,'Restaurant Base (Hidden)'!$C$2:$C$1048576,0),MATCH(Y$6,'Restaurant Base (Hidden)'!$A$1:$Z$1,0)),"")</f>
        <v>99,40 %</v>
      </c>
      <c r="Z40" s="106">
        <f>+IFERROR(INDEX('Restaurant Base (Hidden)'!$A$2:$Z$1048576,MATCH($C40,'Restaurant Base (Hidden)'!$C$2:$C$1048576,0),MATCH(Z$6,'Restaurant Base (Hidden)'!$A$1:$Z$1,0)),"")</f>
        <v>5</v>
      </c>
      <c r="AA40" s="65" t="str">
        <f>+IFERROR(INDEX('Restaurant Base (Hidden)'!$A$2:$Z$1048576,MATCH($C40,'Restaurant Base (Hidden)'!$C$2:$C$1048576,0),MATCH(AA$6,'Restaurant Base (Hidden)'!$A$1:$Z$1,0)),"")</f>
        <v>84,10 %</v>
      </c>
      <c r="AB40" s="1">
        <f>+IFERROR(INDEX('Restaurant Base (Hidden)'!$A$2:$Z$1048576,MATCH($C40,'Restaurant Base (Hidden)'!$C$2:$C$1048576,0),MATCH(AB$6,'Restaurant Base (Hidden)'!$A$1:$Z$1,0)),"")</f>
        <v>2</v>
      </c>
      <c r="AC40" s="20" t="str">
        <f>+IFERROR(INDEX('Restaurant Base (Hidden)'!$A$2:$Z$1048576,MATCH($C40,'Restaurant Base (Hidden)'!$C$2:$C$1048576,0),MATCH(AC$6,'Restaurant Base (Hidden)'!$A$1:$Z$1,0)),"")</f>
        <v/>
      </c>
      <c r="AD40" s="65" t="str">
        <f>+IFERROR(INDEX('Restaurant Base (Hidden)'!$A$2:$Z$1048576,MATCH($C40,'Restaurant Base (Hidden)'!$C$2:$C$1048576,0),MATCH(AD$6,'Restaurant Base (Hidden)'!$A$1:$Z$1,0)),"")</f>
        <v>91,50 %</v>
      </c>
      <c r="AE40" s="1">
        <f>+IFERROR(INDEX('Restaurant Base (Hidden)'!$A$2:$Z$1048576,MATCH($C40,'Restaurant Base (Hidden)'!$C$2:$C$1048576,0),MATCH(AE$6,'Restaurant Base (Hidden)'!$A$1:$Z$1,0)),"")</f>
        <v>4</v>
      </c>
      <c r="AF40" s="65" t="str">
        <f>+IFERROR(INDEX('Restaurant Base (Hidden)'!$A$2:$Z$1048576,MATCH($C40,'Restaurant Base (Hidden)'!$C$2:$C$1048576,0),MATCH(AF$6,'Restaurant Base (Hidden)'!$A$1:$Z$1,0)),"")</f>
        <v>89,00 %</v>
      </c>
      <c r="AG40" s="1">
        <f>+IFERROR(INDEX('Restaurant Base (Hidden)'!$A$2:$Z$1048576,MATCH($C40,'Restaurant Base (Hidden)'!$C$2:$C$1048576,0),MATCH(AG$6,'Restaurant Base (Hidden)'!$A$1:$Z$1,0)),"")</f>
        <v>3</v>
      </c>
    </row>
    <row r="41" spans="1:33" x14ac:dyDescent="0.4">
      <c r="A41" s="163" t="str">
        <f>IF('Restaurant Base (Hidden)'!A139=0,"", 'Restaurant Base (Hidden)'!A139)</f>
        <v>Arden Brookstone</v>
      </c>
      <c r="B41" s="163" t="str">
        <f>IF('Restaurant Base (Hidden)'!B139=0,"", 'Restaurant Base (Hidden)'!B139)</f>
        <v>Fairmont Food Group</v>
      </c>
      <c r="C41" s="163" t="str">
        <f>IF('Restaurant Base (Hidden)'!C139=0,"", 'Restaurant Base (Hidden)'!C139)</f>
        <v>Ash Station</v>
      </c>
      <c r="D41" s="104">
        <f t="shared" si="0"/>
        <v>35</v>
      </c>
      <c r="E41" s="105">
        <f>+IFERROR(INDEX('Restaurant Base (Hidden)'!$A$2:$Z$1048576,MATCH($C41,'Restaurant Base (Hidden)'!$C$2:$C$1048576,0),MATCH(E$6,'Restaurant Base (Hidden)'!$A$1:$Z$1,0)),"")</f>
        <v>3.62</v>
      </c>
      <c r="F41" s="2" t="str">
        <f>+IFERROR(INDEX('Restaurant Base (Hidden)'!$A$2:$Z$1048576,MATCH($C41,'Restaurant Base (Hidden)'!$C$2:$C$1048576,0),MATCH(F$6,'Restaurant Base (Hidden)'!$A$1:$Z$1,0)),"")</f>
        <v/>
      </c>
      <c r="G41" s="20" t="str">
        <f>+IFERROR(INDEX('Restaurant Base (Hidden)'!$A$2:$Z$1048576,MATCH($C41,'Restaurant Base (Hidden)'!$C$2:$C$1048576,0),MATCH(G$6,'Restaurant Base (Hidden)'!$A$1:$Z$1,0)),"")</f>
        <v>4,141</v>
      </c>
      <c r="H41" s="50">
        <f>+IFERROR(INDEX('Restaurant Base (Hidden)'!$A$2:$Z$1048576,MATCH($C41,'Restaurant Base (Hidden)'!$C$2:$C$1048576,0),MATCH(H$6,'Restaurant Base (Hidden)'!$A$1:$Z$1,0)),"")</f>
        <v>2</v>
      </c>
      <c r="I41" s="20" t="str">
        <f>+IFERROR(INDEX('Restaurant Base (Hidden)'!$A$2:$Z$1048576,MATCH($C41,'Restaurant Base (Hidden)'!$C$2:$C$1048576,0),MATCH(I$6,'Restaurant Base (Hidden)'!$A$1:$Z$1,0)),"")</f>
        <v>98,40 %</v>
      </c>
      <c r="J41" s="49">
        <f>+IFERROR(INDEX('Restaurant Base (Hidden)'!$A$2:$Z$1048576,MATCH($C41,'Restaurant Base (Hidden)'!$C$2:$C$1048576,0),MATCH(J$6,'Restaurant Base (Hidden)'!$A$1:$Z$1,0)),"")</f>
        <v>5</v>
      </c>
      <c r="K41" s="20" t="str">
        <f>+IFERROR(INDEX('Restaurant Base (Hidden)'!$A$2:$Z$1048576,MATCH($C41,'Restaurant Base (Hidden)'!$C$2:$C$1048576,0),MATCH(K$6,'Restaurant Base (Hidden)'!$A$1:$Z$1,0)),"")</f>
        <v>0,051</v>
      </c>
      <c r="L41" s="51">
        <f>+IFERROR(INDEX('Restaurant Base (Hidden)'!$A$2:$Z$1048576,MATCH($C41,'Restaurant Base (Hidden)'!$C$2:$C$1048576,0),MATCH(L$6,'Restaurant Base (Hidden)'!$A$1:$Z$1,0)),"")</f>
        <v>5</v>
      </c>
      <c r="M41" s="2" t="str">
        <f>+IFERROR(INDEX('Restaurant Base (Hidden)'!$A$2:$Z$1048576,MATCH($C41,'Restaurant Base (Hidden)'!$C$2:$C$1048576,0),MATCH(M$6,'Restaurant Base (Hidden)'!$A$1:$Z$1,0)),"")</f>
        <v/>
      </c>
      <c r="N41" s="234" t="str">
        <f>+IFERROR(INDEX('Restaurant Base (Hidden)'!$A$2:$Z$1048576,MATCH($C41,'Restaurant Base (Hidden)'!$C$2:$C$1048576,0),MATCH(N$6,'Restaurant Base (Hidden)'!$A$1:$Z$1,0)),"")</f>
        <v>97,10 %</v>
      </c>
      <c r="O41" s="1">
        <f>+IFERROR(INDEX('Restaurant Base (Hidden)'!$A$2:$Z$1048576,MATCH($C41,'Restaurant Base (Hidden)'!$C$2:$C$1048576,0),MATCH(O$6,'Restaurant Base (Hidden)'!$A$1:$Z$1,0)),"")</f>
        <v>5</v>
      </c>
      <c r="P41" s="2" t="str">
        <f>+IFERROR(INDEX('Restaurant Base (Hidden)'!$A$2:$Z$1048576,MATCH($C41,'Restaurant Base (Hidden)'!$C$2:$C$1048576,0),MATCH(P$6,'Restaurant Base (Hidden)'!$A$1:$Z$1,0)),"")</f>
        <v/>
      </c>
      <c r="Q41" s="234" t="str">
        <f>+IFERROR(INDEX('Restaurant Base (Hidden)'!$A$2:$Z$1048576,MATCH($C41,'Restaurant Base (Hidden)'!$C$2:$C$1048576,0),MATCH(Q$6,'Restaurant Base (Hidden)'!$A$1:$Z$1,0)),"")</f>
        <v>96,30 %</v>
      </c>
      <c r="R41" s="1">
        <f>+IFERROR(INDEX('Restaurant Base (Hidden)'!$A$2:$Z$1048576,MATCH($C41,'Restaurant Base (Hidden)'!$C$2:$C$1048576,0),MATCH(R$6,'Restaurant Base (Hidden)'!$A$1:$Z$1,0)),"")</f>
        <v>5</v>
      </c>
      <c r="S41" s="2" t="str">
        <f>+IFERROR(INDEX('Restaurant Base (Hidden)'!$A$2:$Z$1048576,MATCH($C41,'Restaurant Base (Hidden)'!$C$2:$C$1048576,0),MATCH(S$6,'Restaurant Base (Hidden)'!$A$1:$Z$1,0)),"")</f>
        <v/>
      </c>
      <c r="T41" s="62">
        <f>+IFERROR(INDEX('Restaurant Base (Hidden)'!$A$2:$Z$1048576,MATCH($C41,'Restaurant Base (Hidden)'!$C$2:$C$1048576,0),MATCH(T$6,'Restaurant Base (Hidden)'!$A$1:$Z$1,0)),"")</f>
        <v>75.2</v>
      </c>
      <c r="U41" s="1">
        <f>+IFERROR(INDEX('Restaurant Base (Hidden)'!$A$2:$Z$1048576,MATCH($C41,'Restaurant Base (Hidden)'!$C$2:$C$1048576,0),MATCH(U$6,'Restaurant Base (Hidden)'!$A$1:$Z$1,0)),"")</f>
        <v>5</v>
      </c>
      <c r="V41" s="2" t="str">
        <f>+IFERROR(INDEX('Restaurant Base (Hidden)'!$A$2:$Z$1048576,MATCH($C41,'Restaurant Base (Hidden)'!$C$2:$C$1048576,0),MATCH(V$6,'Restaurant Base (Hidden)'!$A$1:$Z$1,0)),"")</f>
        <v/>
      </c>
      <c r="W41" s="65" t="str">
        <f>+IFERROR(INDEX('Restaurant Base (Hidden)'!$A$2:$Z$1048576,MATCH($C41,'Restaurant Base (Hidden)'!$C$2:$C$1048576,0),MATCH(W$6,'Restaurant Base (Hidden)'!$A$1:$Z$1,0)),"")</f>
        <v>82,70 %</v>
      </c>
      <c r="X41" s="1">
        <f>+IFERROR(INDEX('Restaurant Base (Hidden)'!$A$2:$Z$1048576,MATCH($C41,'Restaurant Base (Hidden)'!$C$2:$C$1048576,0),MATCH(X$6,'Restaurant Base (Hidden)'!$A$1:$Z$1,0)),"")</f>
        <v>3</v>
      </c>
      <c r="Y41" s="65" t="str">
        <f>+IFERROR(INDEX('Restaurant Base (Hidden)'!$A$2:$Z$1048576,MATCH($C41,'Restaurant Base (Hidden)'!$C$2:$C$1048576,0),MATCH(Y$6,'Restaurant Base (Hidden)'!$A$1:$Z$1,0)),"")</f>
        <v>56,40 %</v>
      </c>
      <c r="Z41" s="106">
        <f>+IFERROR(INDEX('Restaurant Base (Hidden)'!$A$2:$Z$1048576,MATCH($C41,'Restaurant Base (Hidden)'!$C$2:$C$1048576,0),MATCH(Z$6,'Restaurant Base (Hidden)'!$A$1:$Z$1,0)),"")</f>
        <v>1</v>
      </c>
      <c r="AA41" s="65" t="str">
        <f>+IFERROR(INDEX('Restaurant Base (Hidden)'!$A$2:$Z$1048576,MATCH($C41,'Restaurant Base (Hidden)'!$C$2:$C$1048576,0),MATCH(AA$6,'Restaurant Base (Hidden)'!$A$1:$Z$1,0)),"")</f>
        <v>74,30 %</v>
      </c>
      <c r="AB41" s="1">
        <f>+IFERROR(INDEX('Restaurant Base (Hidden)'!$A$2:$Z$1048576,MATCH($C41,'Restaurant Base (Hidden)'!$C$2:$C$1048576,0),MATCH(AB$6,'Restaurant Base (Hidden)'!$A$1:$Z$1,0)),"")</f>
        <v>2</v>
      </c>
      <c r="AC41" s="20" t="str">
        <f>+IFERROR(INDEX('Restaurant Base (Hidden)'!$A$2:$Z$1048576,MATCH($C41,'Restaurant Base (Hidden)'!$C$2:$C$1048576,0),MATCH(AC$6,'Restaurant Base (Hidden)'!$A$1:$Z$1,0)),"")</f>
        <v/>
      </c>
      <c r="AD41" s="65" t="str">
        <f>+IFERROR(INDEX('Restaurant Base (Hidden)'!$A$2:$Z$1048576,MATCH($C41,'Restaurant Base (Hidden)'!$C$2:$C$1048576,0),MATCH(AD$6,'Restaurant Base (Hidden)'!$A$1:$Z$1,0)),"")</f>
        <v>60,50 %</v>
      </c>
      <c r="AE41" s="1">
        <f>+IFERROR(INDEX('Restaurant Base (Hidden)'!$A$2:$Z$1048576,MATCH($C41,'Restaurant Base (Hidden)'!$C$2:$C$1048576,0),MATCH(AE$6,'Restaurant Base (Hidden)'!$A$1:$Z$1,0)),"")</f>
        <v>1</v>
      </c>
      <c r="AF41" s="65" t="str">
        <f>+IFERROR(INDEX('Restaurant Base (Hidden)'!$A$2:$Z$1048576,MATCH($C41,'Restaurant Base (Hidden)'!$C$2:$C$1048576,0),MATCH(AF$6,'Restaurant Base (Hidden)'!$A$1:$Z$1,0)),"")</f>
        <v>79,20 %</v>
      </c>
      <c r="AG41" s="1">
        <f>+IFERROR(INDEX('Restaurant Base (Hidden)'!$A$2:$Z$1048576,MATCH($C41,'Restaurant Base (Hidden)'!$C$2:$C$1048576,0),MATCH(AG$6,'Restaurant Base (Hidden)'!$A$1:$Z$1,0)),"")</f>
        <v>2</v>
      </c>
    </row>
    <row r="42" spans="1:33" x14ac:dyDescent="0.4">
      <c r="A42" s="163" t="str">
        <f>IF('Restaurant Base (Hidden)'!A203=0,"", 'Restaurant Base (Hidden)'!A203)</f>
        <v>Sawyer Thornfield</v>
      </c>
      <c r="B42" s="163" t="str">
        <f>IF('Restaurant Base (Hidden)'!B203=0,"", 'Restaurant Base (Hidden)'!B203)</f>
        <v>Bluecrest Food Partners</v>
      </c>
      <c r="C42" s="163" t="str">
        <f>IF('Restaurant Base (Hidden)'!C203=0,"", 'Restaurant Base (Hidden)'!C203)</f>
        <v>Rosewood Crossing</v>
      </c>
      <c r="D42" s="104">
        <f t="shared" si="0"/>
        <v>35</v>
      </c>
      <c r="E42" s="105">
        <f>+IFERROR(INDEX('Restaurant Base (Hidden)'!$A$2:$Z$1048576,MATCH($C42,'Restaurant Base (Hidden)'!$C$2:$C$1048576,0),MATCH(E$6,'Restaurant Base (Hidden)'!$A$1:$Z$1,0)),"")</f>
        <v>3.62</v>
      </c>
      <c r="F42" s="2" t="str">
        <f>+IFERROR(INDEX('Restaurant Base (Hidden)'!$A$2:$Z$1048576,MATCH($C42,'Restaurant Base (Hidden)'!$C$2:$C$1048576,0),MATCH(F$6,'Restaurant Base (Hidden)'!$A$1:$Z$1,0)),"")</f>
        <v/>
      </c>
      <c r="G42" s="20" t="str">
        <f>+IFERROR(INDEX('Restaurant Base (Hidden)'!$A$2:$Z$1048576,MATCH($C42,'Restaurant Base (Hidden)'!$C$2:$C$1048576,0),MATCH(G$6,'Restaurant Base (Hidden)'!$A$1:$Z$1,0)),"")</f>
        <v>4,606</v>
      </c>
      <c r="H42" s="50">
        <f>+IFERROR(INDEX('Restaurant Base (Hidden)'!$A$2:$Z$1048576,MATCH($C42,'Restaurant Base (Hidden)'!$C$2:$C$1048576,0),MATCH(H$6,'Restaurant Base (Hidden)'!$A$1:$Z$1,0)),"")</f>
        <v>5</v>
      </c>
      <c r="I42" s="20" t="str">
        <f>+IFERROR(INDEX('Restaurant Base (Hidden)'!$A$2:$Z$1048576,MATCH($C42,'Restaurant Base (Hidden)'!$C$2:$C$1048576,0),MATCH(I$6,'Restaurant Base (Hidden)'!$A$1:$Z$1,0)),"")</f>
        <v>84,50 %</v>
      </c>
      <c r="J42" s="49">
        <f>+IFERROR(INDEX('Restaurant Base (Hidden)'!$A$2:$Z$1048576,MATCH($C42,'Restaurant Base (Hidden)'!$C$2:$C$1048576,0),MATCH(J$6,'Restaurant Base (Hidden)'!$A$1:$Z$1,0)),"")</f>
        <v>3</v>
      </c>
      <c r="K42" s="20" t="str">
        <f>+IFERROR(INDEX('Restaurant Base (Hidden)'!$A$2:$Z$1048576,MATCH($C42,'Restaurant Base (Hidden)'!$C$2:$C$1048576,0),MATCH(K$6,'Restaurant Base (Hidden)'!$A$1:$Z$1,0)),"")</f>
        <v>0,168</v>
      </c>
      <c r="L42" s="51">
        <f>+IFERROR(INDEX('Restaurant Base (Hidden)'!$A$2:$Z$1048576,MATCH($C42,'Restaurant Base (Hidden)'!$C$2:$C$1048576,0),MATCH(L$6,'Restaurant Base (Hidden)'!$A$1:$Z$1,0)),"")</f>
        <v>2</v>
      </c>
      <c r="M42" s="2" t="str">
        <f>+IFERROR(INDEX('Restaurant Base (Hidden)'!$A$2:$Z$1048576,MATCH($C42,'Restaurant Base (Hidden)'!$C$2:$C$1048576,0),MATCH(M$6,'Restaurant Base (Hidden)'!$A$1:$Z$1,0)),"")</f>
        <v/>
      </c>
      <c r="N42" s="234" t="str">
        <f>+IFERROR(INDEX('Restaurant Base (Hidden)'!$A$2:$Z$1048576,MATCH($C42,'Restaurant Base (Hidden)'!$C$2:$C$1048576,0),MATCH(N$6,'Restaurant Base (Hidden)'!$A$1:$Z$1,0)),"")</f>
        <v>75,00 %</v>
      </c>
      <c r="O42" s="1">
        <f>+IFERROR(INDEX('Restaurant Base (Hidden)'!$A$2:$Z$1048576,MATCH($C42,'Restaurant Base (Hidden)'!$C$2:$C$1048576,0),MATCH(O$6,'Restaurant Base (Hidden)'!$A$1:$Z$1,0)),"")</f>
        <v>5</v>
      </c>
      <c r="P42" s="2" t="str">
        <f>+IFERROR(INDEX('Restaurant Base (Hidden)'!$A$2:$Z$1048576,MATCH($C42,'Restaurant Base (Hidden)'!$C$2:$C$1048576,0),MATCH(P$6,'Restaurant Base (Hidden)'!$A$1:$Z$1,0)),"")</f>
        <v/>
      </c>
      <c r="Q42" s="234" t="str">
        <f>+IFERROR(INDEX('Restaurant Base (Hidden)'!$A$2:$Z$1048576,MATCH($C42,'Restaurant Base (Hidden)'!$C$2:$C$1048576,0),MATCH(Q$6,'Restaurant Base (Hidden)'!$A$1:$Z$1,0)),"")</f>
        <v>76,90 %</v>
      </c>
      <c r="R42" s="1">
        <f>+IFERROR(INDEX('Restaurant Base (Hidden)'!$A$2:$Z$1048576,MATCH($C42,'Restaurant Base (Hidden)'!$C$2:$C$1048576,0),MATCH(R$6,'Restaurant Base (Hidden)'!$A$1:$Z$1,0)),"")</f>
        <v>5</v>
      </c>
      <c r="S42" s="2" t="str">
        <f>+IFERROR(INDEX('Restaurant Base (Hidden)'!$A$2:$Z$1048576,MATCH($C42,'Restaurant Base (Hidden)'!$C$2:$C$1048576,0),MATCH(S$6,'Restaurant Base (Hidden)'!$A$1:$Z$1,0)),"")</f>
        <v/>
      </c>
      <c r="T42" s="62">
        <f>+IFERROR(INDEX('Restaurant Base (Hidden)'!$A$2:$Z$1048576,MATCH($C42,'Restaurant Base (Hidden)'!$C$2:$C$1048576,0),MATCH(T$6,'Restaurant Base (Hidden)'!$A$1:$Z$1,0)),"")</f>
        <v>70</v>
      </c>
      <c r="U42" s="1">
        <f>+IFERROR(INDEX('Restaurant Base (Hidden)'!$A$2:$Z$1048576,MATCH($C42,'Restaurant Base (Hidden)'!$C$2:$C$1048576,0),MATCH(U$6,'Restaurant Base (Hidden)'!$A$1:$Z$1,0)),"")</f>
        <v>5</v>
      </c>
      <c r="V42" s="2" t="str">
        <f>+IFERROR(INDEX('Restaurant Base (Hidden)'!$A$2:$Z$1048576,MATCH($C42,'Restaurant Base (Hidden)'!$C$2:$C$1048576,0),MATCH(V$6,'Restaurant Base (Hidden)'!$A$1:$Z$1,0)),"")</f>
        <v/>
      </c>
      <c r="W42" s="65" t="str">
        <f>+IFERROR(INDEX('Restaurant Base (Hidden)'!$A$2:$Z$1048576,MATCH($C42,'Restaurant Base (Hidden)'!$C$2:$C$1048576,0),MATCH(W$6,'Restaurant Base (Hidden)'!$A$1:$Z$1,0)),"")</f>
        <v>58,80 %</v>
      </c>
      <c r="X42" s="1">
        <f>+IFERROR(INDEX('Restaurant Base (Hidden)'!$A$2:$Z$1048576,MATCH($C42,'Restaurant Base (Hidden)'!$C$2:$C$1048576,0),MATCH(X$6,'Restaurant Base (Hidden)'!$A$1:$Z$1,0)),"")</f>
        <v>1</v>
      </c>
      <c r="Y42" s="65" t="str">
        <f>+IFERROR(INDEX('Restaurant Base (Hidden)'!$A$2:$Z$1048576,MATCH($C42,'Restaurant Base (Hidden)'!$C$2:$C$1048576,0),MATCH(Y$6,'Restaurant Base (Hidden)'!$A$1:$Z$1,0)),"")</f>
        <v>74,60 %</v>
      </c>
      <c r="Z42" s="106">
        <f>+IFERROR(INDEX('Restaurant Base (Hidden)'!$A$2:$Z$1048576,MATCH($C42,'Restaurant Base (Hidden)'!$C$2:$C$1048576,0),MATCH(Z$6,'Restaurant Base (Hidden)'!$A$1:$Z$1,0)),"")</f>
        <v>2</v>
      </c>
      <c r="AA42" s="65" t="str">
        <f>+IFERROR(INDEX('Restaurant Base (Hidden)'!$A$2:$Z$1048576,MATCH($C42,'Restaurant Base (Hidden)'!$C$2:$C$1048576,0),MATCH(AA$6,'Restaurant Base (Hidden)'!$A$1:$Z$1,0)),"")</f>
        <v>92,60 %</v>
      </c>
      <c r="AB42" s="1">
        <f>+IFERROR(INDEX('Restaurant Base (Hidden)'!$A$2:$Z$1048576,MATCH($C42,'Restaurant Base (Hidden)'!$C$2:$C$1048576,0),MATCH(AB$6,'Restaurant Base (Hidden)'!$A$1:$Z$1,0)),"")</f>
        <v>3</v>
      </c>
      <c r="AC42" s="20" t="str">
        <f>+IFERROR(INDEX('Restaurant Base (Hidden)'!$A$2:$Z$1048576,MATCH($C42,'Restaurant Base (Hidden)'!$C$2:$C$1048576,0),MATCH(AC$6,'Restaurant Base (Hidden)'!$A$1:$Z$1,0)),"")</f>
        <v/>
      </c>
      <c r="AD42" s="65" t="str">
        <f>+IFERROR(INDEX('Restaurant Base (Hidden)'!$A$2:$Z$1048576,MATCH($C42,'Restaurant Base (Hidden)'!$C$2:$C$1048576,0),MATCH(AD$6,'Restaurant Base (Hidden)'!$A$1:$Z$1,0)),"")</f>
        <v>90,20 %</v>
      </c>
      <c r="AE42" s="1">
        <f>+IFERROR(INDEX('Restaurant Base (Hidden)'!$A$2:$Z$1048576,MATCH($C42,'Restaurant Base (Hidden)'!$C$2:$C$1048576,0),MATCH(AE$6,'Restaurant Base (Hidden)'!$A$1:$Z$1,0)),"")</f>
        <v>4</v>
      </c>
      <c r="AF42" s="65" t="str">
        <f>+IFERROR(INDEX('Restaurant Base (Hidden)'!$A$2:$Z$1048576,MATCH($C42,'Restaurant Base (Hidden)'!$C$2:$C$1048576,0),MATCH(AF$6,'Restaurant Base (Hidden)'!$A$1:$Z$1,0)),"")</f>
        <v>55,50 %</v>
      </c>
      <c r="AG42" s="1">
        <f>+IFERROR(INDEX('Restaurant Base (Hidden)'!$A$2:$Z$1048576,MATCH($C42,'Restaurant Base (Hidden)'!$C$2:$C$1048576,0),MATCH(AG$6,'Restaurant Base (Hidden)'!$A$1:$Z$1,0)),"")</f>
        <v>1</v>
      </c>
    </row>
    <row r="43" spans="1:33" x14ac:dyDescent="0.4">
      <c r="A43" s="163" t="str">
        <f>IF('Restaurant Base (Hidden)'!A9=0,"", 'Restaurant Base (Hidden)'!A9)</f>
        <v>Harper Langford</v>
      </c>
      <c r="B43" s="163" t="str">
        <f>IF('Restaurant Base (Hidden)'!B9=0,"", 'Restaurant Base (Hidden)'!B9)</f>
        <v>Rivermark Food Group</v>
      </c>
      <c r="C43" s="163" t="str">
        <f>IF('Restaurant Base (Hidden)'!C9=0,"", 'Restaurant Base (Hidden)'!C9)</f>
        <v>Western Quay</v>
      </c>
      <c r="D43" s="104">
        <f t="shared" si="0"/>
        <v>37</v>
      </c>
      <c r="E43" s="105">
        <f>+IFERROR(INDEX('Restaurant Base (Hidden)'!$A$2:$Z$1048576,MATCH($C43,'Restaurant Base (Hidden)'!$C$2:$C$1048576,0),MATCH(E$6,'Restaurant Base (Hidden)'!$A$1:$Z$1,0)),"")</f>
        <v>3.61</v>
      </c>
      <c r="F43" s="64" t="str">
        <f>+IFERROR(INDEX('Restaurant Base (Hidden)'!$A$2:$Z$1048576,MATCH($C43,'Restaurant Base (Hidden)'!$C$2:$C$1048576,0),MATCH(F$6,'Restaurant Base (Hidden)'!$A$1:$Z$1,0)),"")</f>
        <v/>
      </c>
      <c r="G43" s="20" t="str">
        <f>+IFERROR(INDEX('Restaurant Base (Hidden)'!$A$2:$Z$1048576,MATCH($C43,'Restaurant Base (Hidden)'!$C$2:$C$1048576,0),MATCH(G$6,'Restaurant Base (Hidden)'!$A$1:$Z$1,0)),"")</f>
        <v>4,673</v>
      </c>
      <c r="H43" s="50">
        <f>+IFERROR(INDEX('Restaurant Base (Hidden)'!$A$2:$Z$1048576,MATCH($C43,'Restaurant Base (Hidden)'!$C$2:$C$1048576,0),MATCH(H$6,'Restaurant Base (Hidden)'!$A$1:$Z$1,0)),"")</f>
        <v>5</v>
      </c>
      <c r="I43" s="20" t="str">
        <f>+IFERROR(INDEX('Restaurant Base (Hidden)'!$A$2:$Z$1048576,MATCH($C43,'Restaurant Base (Hidden)'!$C$2:$C$1048576,0),MATCH(I$6,'Restaurant Base (Hidden)'!$A$1:$Z$1,0)),"")</f>
        <v>95,70 %</v>
      </c>
      <c r="J43" s="49">
        <f>+IFERROR(INDEX('Restaurant Base (Hidden)'!$A$2:$Z$1048576,MATCH($C43,'Restaurant Base (Hidden)'!$C$2:$C$1048576,0),MATCH(J$6,'Restaurant Base (Hidden)'!$A$1:$Z$1,0)),"")</f>
        <v>5</v>
      </c>
      <c r="K43" s="20" t="str">
        <f>+IFERROR(INDEX('Restaurant Base (Hidden)'!$A$2:$Z$1048576,MATCH($C43,'Restaurant Base (Hidden)'!$C$2:$C$1048576,0),MATCH(K$6,'Restaurant Base (Hidden)'!$A$1:$Z$1,0)),"")</f>
        <v>0,129</v>
      </c>
      <c r="L43" s="51">
        <f>+IFERROR(INDEX('Restaurant Base (Hidden)'!$A$2:$Z$1048576,MATCH($C43,'Restaurant Base (Hidden)'!$C$2:$C$1048576,0),MATCH(L$6,'Restaurant Base (Hidden)'!$A$1:$Z$1,0)),"")</f>
        <v>3</v>
      </c>
      <c r="M43" s="2" t="str">
        <f>+IFERROR(INDEX('Restaurant Base (Hidden)'!$A$2:$Z$1048576,MATCH($C43,'Restaurant Base (Hidden)'!$C$2:$C$1048576,0),MATCH(M$6,'Restaurant Base (Hidden)'!$A$1:$Z$1,0)),"")</f>
        <v/>
      </c>
      <c r="N43" s="234" t="str">
        <f>+IFERROR(INDEX('Restaurant Base (Hidden)'!$A$2:$Z$1048576,MATCH($C43,'Restaurant Base (Hidden)'!$C$2:$C$1048576,0),MATCH(N$6,'Restaurant Base (Hidden)'!$A$1:$Z$1,0)),"")</f>
        <v>72,50 %</v>
      </c>
      <c r="O43" s="1">
        <f>+IFERROR(INDEX('Restaurant Base (Hidden)'!$A$2:$Z$1048576,MATCH($C43,'Restaurant Base (Hidden)'!$C$2:$C$1048576,0),MATCH(O$6,'Restaurant Base (Hidden)'!$A$1:$Z$1,0)),"")</f>
        <v>5</v>
      </c>
      <c r="P43" s="2" t="str">
        <f>+IFERROR(INDEX('Restaurant Base (Hidden)'!$A$2:$Z$1048576,MATCH($C43,'Restaurant Base (Hidden)'!$C$2:$C$1048576,0),MATCH(P$6,'Restaurant Base (Hidden)'!$A$1:$Z$1,0)),"")</f>
        <v/>
      </c>
      <c r="Q43" s="234" t="str">
        <f>+IFERROR(INDEX('Restaurant Base (Hidden)'!$A$2:$Z$1048576,MATCH($C43,'Restaurant Base (Hidden)'!$C$2:$C$1048576,0),MATCH(Q$6,'Restaurant Base (Hidden)'!$A$1:$Z$1,0)),"")</f>
        <v>80,50 %</v>
      </c>
      <c r="R43" s="1">
        <f>+IFERROR(INDEX('Restaurant Base (Hidden)'!$A$2:$Z$1048576,MATCH($C43,'Restaurant Base (Hidden)'!$C$2:$C$1048576,0),MATCH(R$6,'Restaurant Base (Hidden)'!$A$1:$Z$1,0)),"")</f>
        <v>5</v>
      </c>
      <c r="S43" s="2" t="str">
        <f>+IFERROR(INDEX('Restaurant Base (Hidden)'!$A$2:$Z$1048576,MATCH($C43,'Restaurant Base (Hidden)'!$C$2:$C$1048576,0),MATCH(S$6,'Restaurant Base (Hidden)'!$A$1:$Z$1,0)),"")</f>
        <v/>
      </c>
      <c r="T43" s="62">
        <f>+IFERROR(INDEX('Restaurant Base (Hidden)'!$A$2:$Z$1048576,MATCH($C43,'Restaurant Base (Hidden)'!$C$2:$C$1048576,0),MATCH(T$6,'Restaurant Base (Hidden)'!$A$1:$Z$1,0)),"")</f>
        <v>65.3</v>
      </c>
      <c r="U43" s="1">
        <f>+IFERROR(INDEX('Restaurant Base (Hidden)'!$A$2:$Z$1048576,MATCH($C43,'Restaurant Base (Hidden)'!$C$2:$C$1048576,0),MATCH(U$6,'Restaurant Base (Hidden)'!$A$1:$Z$1,0)),"")</f>
        <v>4</v>
      </c>
      <c r="V43" s="2" t="str">
        <f>+IFERROR(INDEX('Restaurant Base (Hidden)'!$A$2:$Z$1048576,MATCH($C43,'Restaurant Base (Hidden)'!$C$2:$C$1048576,0),MATCH(V$6,'Restaurant Base (Hidden)'!$A$1:$Z$1,0)),"")</f>
        <v/>
      </c>
      <c r="W43" s="65" t="str">
        <f>+IFERROR(INDEX('Restaurant Base (Hidden)'!$A$2:$Z$1048576,MATCH($C43,'Restaurant Base (Hidden)'!$C$2:$C$1048576,0),MATCH(W$6,'Restaurant Base (Hidden)'!$A$1:$Z$1,0)),"")</f>
        <v>72,60 %</v>
      </c>
      <c r="X43" s="1">
        <f>+IFERROR(INDEX('Restaurant Base (Hidden)'!$A$2:$Z$1048576,MATCH($C43,'Restaurant Base (Hidden)'!$C$2:$C$1048576,0),MATCH(X$6,'Restaurant Base (Hidden)'!$A$1:$Z$1,0)),"")</f>
        <v>2</v>
      </c>
      <c r="Y43" s="65" t="str">
        <f>+IFERROR(INDEX('Restaurant Base (Hidden)'!$A$2:$Z$1048576,MATCH($C43,'Restaurant Base (Hidden)'!$C$2:$C$1048576,0),MATCH(Y$6,'Restaurant Base (Hidden)'!$A$1:$Z$1,0)),"")</f>
        <v>86,90 %</v>
      </c>
      <c r="Z43" s="106">
        <f>+IFERROR(INDEX('Restaurant Base (Hidden)'!$A$2:$Z$1048576,MATCH($C43,'Restaurant Base (Hidden)'!$C$2:$C$1048576,0),MATCH(Z$6,'Restaurant Base (Hidden)'!$A$1:$Z$1,0)),"")</f>
        <v>3</v>
      </c>
      <c r="AA43" s="65" t="str">
        <f>+IFERROR(INDEX('Restaurant Base (Hidden)'!$A$2:$Z$1048576,MATCH($C43,'Restaurant Base (Hidden)'!$C$2:$C$1048576,0),MATCH(AA$6,'Restaurant Base (Hidden)'!$A$1:$Z$1,0)),"")</f>
        <v>56,70 %</v>
      </c>
      <c r="AB43" s="1">
        <f>+IFERROR(INDEX('Restaurant Base (Hidden)'!$A$2:$Z$1048576,MATCH($C43,'Restaurant Base (Hidden)'!$C$2:$C$1048576,0),MATCH(AB$6,'Restaurant Base (Hidden)'!$A$1:$Z$1,0)),"")</f>
        <v>1</v>
      </c>
      <c r="AC43" s="20" t="str">
        <f>+IFERROR(INDEX('Restaurant Base (Hidden)'!$A$2:$Z$1048576,MATCH($C43,'Restaurant Base (Hidden)'!$C$2:$C$1048576,0),MATCH(AC$6,'Restaurant Base (Hidden)'!$A$1:$Z$1,0)),"")</f>
        <v/>
      </c>
      <c r="AD43" s="65" t="str">
        <f>+IFERROR(INDEX('Restaurant Base (Hidden)'!$A$2:$Z$1048576,MATCH($C43,'Restaurant Base (Hidden)'!$C$2:$C$1048576,0),MATCH(AD$6,'Restaurant Base (Hidden)'!$A$1:$Z$1,0)),"")</f>
        <v>78,10 %</v>
      </c>
      <c r="AE43" s="1">
        <f>+IFERROR(INDEX('Restaurant Base (Hidden)'!$A$2:$Z$1048576,MATCH($C43,'Restaurant Base (Hidden)'!$C$2:$C$1048576,0),MATCH(AE$6,'Restaurant Base (Hidden)'!$A$1:$Z$1,0)),"")</f>
        <v>2</v>
      </c>
      <c r="AF43" s="65" t="str">
        <f>+IFERROR(INDEX('Restaurant Base (Hidden)'!$A$2:$Z$1048576,MATCH($C43,'Restaurant Base (Hidden)'!$C$2:$C$1048576,0),MATCH(AF$6,'Restaurant Base (Hidden)'!$A$1:$Z$1,0)),"")</f>
        <v>56,80 %</v>
      </c>
      <c r="AG43" s="1">
        <f>+IFERROR(INDEX('Restaurant Base (Hidden)'!$A$2:$Z$1048576,MATCH($C43,'Restaurant Base (Hidden)'!$C$2:$C$1048576,0),MATCH(AG$6,'Restaurant Base (Hidden)'!$A$1:$Z$1,0)),"")</f>
        <v>1</v>
      </c>
    </row>
    <row r="44" spans="1:33" x14ac:dyDescent="0.4">
      <c r="A44" s="163" t="str">
        <f>IF('Restaurant Base (Hidden)'!A181=0,"", 'Restaurant Base (Hidden)'!A181)</f>
        <v>Elliot Hawthorne</v>
      </c>
      <c r="B44" s="163" t="str">
        <f>IF('Restaurant Base (Hidden)'!B181=0,"", 'Restaurant Base (Hidden)'!B181)</f>
        <v>Parkstone Restaurant Group</v>
      </c>
      <c r="C44" s="163" t="str">
        <f>IF('Restaurant Base (Hidden)'!C181=0,"", 'Restaurant Base (Hidden)'!C181)</f>
        <v>Autumn Station</v>
      </c>
      <c r="D44" s="104">
        <f t="shared" si="0"/>
        <v>37</v>
      </c>
      <c r="E44" s="105">
        <f>+IFERROR(INDEX('Restaurant Base (Hidden)'!$A$2:$Z$1048576,MATCH($C44,'Restaurant Base (Hidden)'!$C$2:$C$1048576,0),MATCH(E$6,'Restaurant Base (Hidden)'!$A$1:$Z$1,0)),"")</f>
        <v>3.61</v>
      </c>
      <c r="F44" s="2" t="str">
        <f>+IFERROR(INDEX('Restaurant Base (Hidden)'!$A$2:$Z$1048576,MATCH($C44,'Restaurant Base (Hidden)'!$C$2:$C$1048576,0),MATCH(F$6,'Restaurant Base (Hidden)'!$A$1:$Z$1,0)),"")</f>
        <v/>
      </c>
      <c r="G44" s="20" t="str">
        <f>+IFERROR(INDEX('Restaurant Base (Hidden)'!$A$2:$Z$1048576,MATCH($C44,'Restaurant Base (Hidden)'!$C$2:$C$1048576,0),MATCH(G$6,'Restaurant Base (Hidden)'!$A$1:$Z$1,0)),"")</f>
        <v>4,439</v>
      </c>
      <c r="H44" s="50">
        <f>+IFERROR(INDEX('Restaurant Base (Hidden)'!$A$2:$Z$1048576,MATCH($C44,'Restaurant Base (Hidden)'!$C$2:$C$1048576,0),MATCH(H$6,'Restaurant Base (Hidden)'!$A$1:$Z$1,0)),"")</f>
        <v>4</v>
      </c>
      <c r="I44" s="20" t="str">
        <f>+IFERROR(INDEX('Restaurant Base (Hidden)'!$A$2:$Z$1048576,MATCH($C44,'Restaurant Base (Hidden)'!$C$2:$C$1048576,0),MATCH(I$6,'Restaurant Base (Hidden)'!$A$1:$Z$1,0)),"")</f>
        <v>90,70 %</v>
      </c>
      <c r="J44" s="49">
        <f>+IFERROR(INDEX('Restaurant Base (Hidden)'!$A$2:$Z$1048576,MATCH($C44,'Restaurant Base (Hidden)'!$C$2:$C$1048576,0),MATCH(J$6,'Restaurant Base (Hidden)'!$A$1:$Z$1,0)),"")</f>
        <v>4</v>
      </c>
      <c r="K44" s="20" t="str">
        <f>+IFERROR(INDEX('Restaurant Base (Hidden)'!$A$2:$Z$1048576,MATCH($C44,'Restaurant Base (Hidden)'!$C$2:$C$1048576,0),MATCH(K$6,'Restaurant Base (Hidden)'!$A$1:$Z$1,0)),"")</f>
        <v>0,064</v>
      </c>
      <c r="L44" s="51">
        <f>+IFERROR(INDEX('Restaurant Base (Hidden)'!$A$2:$Z$1048576,MATCH($C44,'Restaurant Base (Hidden)'!$C$2:$C$1048576,0),MATCH(L$6,'Restaurant Base (Hidden)'!$A$1:$Z$1,0)),"")</f>
        <v>4</v>
      </c>
      <c r="M44" s="2" t="str">
        <f>+IFERROR(INDEX('Restaurant Base (Hidden)'!$A$2:$Z$1048576,MATCH($C44,'Restaurant Base (Hidden)'!$C$2:$C$1048576,0),MATCH(M$6,'Restaurant Base (Hidden)'!$A$1:$Z$1,0)),"")</f>
        <v/>
      </c>
      <c r="N44" s="234" t="str">
        <f>+IFERROR(INDEX('Restaurant Base (Hidden)'!$A$2:$Z$1048576,MATCH($C44,'Restaurant Base (Hidden)'!$C$2:$C$1048576,0),MATCH(N$6,'Restaurant Base (Hidden)'!$A$1:$Z$1,0)),"")</f>
        <v>73,80 %</v>
      </c>
      <c r="O44" s="1">
        <f>+IFERROR(INDEX('Restaurant Base (Hidden)'!$A$2:$Z$1048576,MATCH($C44,'Restaurant Base (Hidden)'!$C$2:$C$1048576,0),MATCH(O$6,'Restaurant Base (Hidden)'!$A$1:$Z$1,0)),"")</f>
        <v>5</v>
      </c>
      <c r="P44" s="2" t="str">
        <f>+IFERROR(INDEX('Restaurant Base (Hidden)'!$A$2:$Z$1048576,MATCH($C44,'Restaurant Base (Hidden)'!$C$2:$C$1048576,0),MATCH(P$6,'Restaurant Base (Hidden)'!$A$1:$Z$1,0)),"")</f>
        <v/>
      </c>
      <c r="Q44" s="234" t="str">
        <f>+IFERROR(INDEX('Restaurant Base (Hidden)'!$A$2:$Z$1048576,MATCH($C44,'Restaurant Base (Hidden)'!$C$2:$C$1048576,0),MATCH(Q$6,'Restaurant Base (Hidden)'!$A$1:$Z$1,0)),"")</f>
        <v>74,80 %</v>
      </c>
      <c r="R44" s="1">
        <f>+IFERROR(INDEX('Restaurant Base (Hidden)'!$A$2:$Z$1048576,MATCH($C44,'Restaurant Base (Hidden)'!$C$2:$C$1048576,0),MATCH(R$6,'Restaurant Base (Hidden)'!$A$1:$Z$1,0)),"")</f>
        <v>5</v>
      </c>
      <c r="S44" s="2" t="str">
        <f>+IFERROR(INDEX('Restaurant Base (Hidden)'!$A$2:$Z$1048576,MATCH($C44,'Restaurant Base (Hidden)'!$C$2:$C$1048576,0),MATCH(S$6,'Restaurant Base (Hidden)'!$A$1:$Z$1,0)),"")</f>
        <v/>
      </c>
      <c r="T44" s="62">
        <f>+IFERROR(INDEX('Restaurant Base (Hidden)'!$A$2:$Z$1048576,MATCH($C44,'Restaurant Base (Hidden)'!$C$2:$C$1048576,0),MATCH(T$6,'Restaurant Base (Hidden)'!$A$1:$Z$1,0)),"")</f>
        <v>63.1</v>
      </c>
      <c r="U44" s="1">
        <f>+IFERROR(INDEX('Restaurant Base (Hidden)'!$A$2:$Z$1048576,MATCH($C44,'Restaurant Base (Hidden)'!$C$2:$C$1048576,0),MATCH(U$6,'Restaurant Base (Hidden)'!$A$1:$Z$1,0)),"")</f>
        <v>3</v>
      </c>
      <c r="V44" s="2" t="str">
        <f>+IFERROR(INDEX('Restaurant Base (Hidden)'!$A$2:$Z$1048576,MATCH($C44,'Restaurant Base (Hidden)'!$C$2:$C$1048576,0),MATCH(V$6,'Restaurant Base (Hidden)'!$A$1:$Z$1,0)),"")</f>
        <v/>
      </c>
      <c r="W44" s="65" t="str">
        <f>+IFERROR(INDEX('Restaurant Base (Hidden)'!$A$2:$Z$1048576,MATCH($C44,'Restaurant Base (Hidden)'!$C$2:$C$1048576,0),MATCH(W$6,'Restaurant Base (Hidden)'!$A$1:$Z$1,0)),"")</f>
        <v>78,20 %</v>
      </c>
      <c r="X44" s="1">
        <f>+IFERROR(INDEX('Restaurant Base (Hidden)'!$A$2:$Z$1048576,MATCH($C44,'Restaurant Base (Hidden)'!$C$2:$C$1048576,0),MATCH(X$6,'Restaurant Base (Hidden)'!$A$1:$Z$1,0)),"")</f>
        <v>2</v>
      </c>
      <c r="Y44" s="65" t="str">
        <f>+IFERROR(INDEX('Restaurant Base (Hidden)'!$A$2:$Z$1048576,MATCH($C44,'Restaurant Base (Hidden)'!$C$2:$C$1048576,0),MATCH(Y$6,'Restaurant Base (Hidden)'!$A$1:$Z$1,0)),"")</f>
        <v>58,20 %</v>
      </c>
      <c r="Z44" s="106">
        <f>+IFERROR(INDEX('Restaurant Base (Hidden)'!$A$2:$Z$1048576,MATCH($C44,'Restaurant Base (Hidden)'!$C$2:$C$1048576,0),MATCH(Z$6,'Restaurant Base (Hidden)'!$A$1:$Z$1,0)),"")</f>
        <v>1</v>
      </c>
      <c r="AA44" s="65" t="str">
        <f>+IFERROR(INDEX('Restaurant Base (Hidden)'!$A$2:$Z$1048576,MATCH($C44,'Restaurant Base (Hidden)'!$C$2:$C$1048576,0),MATCH(AA$6,'Restaurant Base (Hidden)'!$A$1:$Z$1,0)),"")</f>
        <v>62,40 %</v>
      </c>
      <c r="AB44" s="1">
        <f>+IFERROR(INDEX('Restaurant Base (Hidden)'!$A$2:$Z$1048576,MATCH($C44,'Restaurant Base (Hidden)'!$C$2:$C$1048576,0),MATCH(AB$6,'Restaurant Base (Hidden)'!$A$1:$Z$1,0)),"")</f>
        <v>2</v>
      </c>
      <c r="AC44" s="20" t="str">
        <f>+IFERROR(INDEX('Restaurant Base (Hidden)'!$A$2:$Z$1048576,MATCH($C44,'Restaurant Base (Hidden)'!$C$2:$C$1048576,0),MATCH(AC$6,'Restaurant Base (Hidden)'!$A$1:$Z$1,0)),"")</f>
        <v/>
      </c>
      <c r="AD44" s="65" t="str">
        <f>+IFERROR(INDEX('Restaurant Base (Hidden)'!$A$2:$Z$1048576,MATCH($C44,'Restaurant Base (Hidden)'!$C$2:$C$1048576,0),MATCH(AD$6,'Restaurant Base (Hidden)'!$A$1:$Z$1,0)),"")</f>
        <v>86,10 %</v>
      </c>
      <c r="AE44" s="1">
        <f>+IFERROR(INDEX('Restaurant Base (Hidden)'!$A$2:$Z$1048576,MATCH($C44,'Restaurant Base (Hidden)'!$C$2:$C$1048576,0),MATCH(AE$6,'Restaurant Base (Hidden)'!$A$1:$Z$1,0)),"")</f>
        <v>3</v>
      </c>
      <c r="AF44" s="65" t="str">
        <f>+IFERROR(INDEX('Restaurant Base (Hidden)'!$A$2:$Z$1048576,MATCH($C44,'Restaurant Base (Hidden)'!$C$2:$C$1048576,0),MATCH(AF$6,'Restaurant Base (Hidden)'!$A$1:$Z$1,0)),"")</f>
        <v>84,70 %</v>
      </c>
      <c r="AG44" s="1">
        <f>+IFERROR(INDEX('Restaurant Base (Hidden)'!$A$2:$Z$1048576,MATCH($C44,'Restaurant Base (Hidden)'!$C$2:$C$1048576,0),MATCH(AG$6,'Restaurant Base (Hidden)'!$A$1:$Z$1,0)),"")</f>
        <v>3</v>
      </c>
    </row>
    <row r="45" spans="1:33" x14ac:dyDescent="0.4">
      <c r="A45" s="163" t="str">
        <f>IF('Restaurant Base (Hidden)'!A186=0,"", 'Restaurant Base (Hidden)'!A186)</f>
        <v>Jordan Oakley</v>
      </c>
      <c r="B45" s="163" t="str">
        <f>IF('Restaurant Base (Hidden)'!B186=0,"", 'Restaurant Base (Hidden)'!B186)</f>
        <v>Highland Crest Restaurants</v>
      </c>
      <c r="C45" s="163" t="str">
        <f>IF('Restaurant Base (Hidden)'!C186=0,"", 'Restaurant Base (Hidden)'!C186)</f>
        <v>Liberty Crossing</v>
      </c>
      <c r="D45" s="104">
        <f t="shared" si="0"/>
        <v>37</v>
      </c>
      <c r="E45" s="105">
        <f>+IFERROR(INDEX('Restaurant Base (Hidden)'!$A$2:$Z$1048576,MATCH($C45,'Restaurant Base (Hidden)'!$C$2:$C$1048576,0),MATCH(E$6,'Restaurant Base (Hidden)'!$A$1:$Z$1,0)),"")</f>
        <v>3.61</v>
      </c>
      <c r="F45" s="2" t="str">
        <f>+IFERROR(INDEX('Restaurant Base (Hidden)'!$A$2:$Z$1048576,MATCH($C45,'Restaurant Base (Hidden)'!$C$2:$C$1048576,0),MATCH(F$6,'Restaurant Base (Hidden)'!$A$1:$Z$1,0)),"")</f>
        <v/>
      </c>
      <c r="G45" s="20" t="str">
        <f>+IFERROR(INDEX('Restaurant Base (Hidden)'!$A$2:$Z$1048576,MATCH($C45,'Restaurant Base (Hidden)'!$C$2:$C$1048576,0),MATCH(G$6,'Restaurant Base (Hidden)'!$A$1:$Z$1,0)),"")</f>
        <v>4,617</v>
      </c>
      <c r="H45" s="50">
        <f>+IFERROR(INDEX('Restaurant Base (Hidden)'!$A$2:$Z$1048576,MATCH($C45,'Restaurant Base (Hidden)'!$C$2:$C$1048576,0),MATCH(H$6,'Restaurant Base (Hidden)'!$A$1:$Z$1,0)),"")</f>
        <v>5</v>
      </c>
      <c r="I45" s="20" t="str">
        <f>+IFERROR(INDEX('Restaurant Base (Hidden)'!$A$2:$Z$1048576,MATCH($C45,'Restaurant Base (Hidden)'!$C$2:$C$1048576,0),MATCH(I$6,'Restaurant Base (Hidden)'!$A$1:$Z$1,0)),"")</f>
        <v>69,30 %</v>
      </c>
      <c r="J45" s="49">
        <f>+IFERROR(INDEX('Restaurant Base (Hidden)'!$A$2:$Z$1048576,MATCH($C45,'Restaurant Base (Hidden)'!$C$2:$C$1048576,0),MATCH(J$6,'Restaurant Base (Hidden)'!$A$1:$Z$1,0)),"")</f>
        <v>1</v>
      </c>
      <c r="K45" s="20" t="str">
        <f>+IFERROR(INDEX('Restaurant Base (Hidden)'!$A$2:$Z$1048576,MATCH($C45,'Restaurant Base (Hidden)'!$C$2:$C$1048576,0),MATCH(K$6,'Restaurant Base (Hidden)'!$A$1:$Z$1,0)),"")</f>
        <v>0,054</v>
      </c>
      <c r="L45" s="51">
        <f>+IFERROR(INDEX('Restaurant Base (Hidden)'!$A$2:$Z$1048576,MATCH($C45,'Restaurant Base (Hidden)'!$C$2:$C$1048576,0),MATCH(L$6,'Restaurant Base (Hidden)'!$A$1:$Z$1,0)),"")</f>
        <v>5</v>
      </c>
      <c r="M45" s="2" t="str">
        <f>+IFERROR(INDEX('Restaurant Base (Hidden)'!$A$2:$Z$1048576,MATCH($C45,'Restaurant Base (Hidden)'!$C$2:$C$1048576,0),MATCH(M$6,'Restaurant Base (Hidden)'!$A$1:$Z$1,0)),"")</f>
        <v/>
      </c>
      <c r="N45" s="234" t="str">
        <f>+IFERROR(INDEX('Restaurant Base (Hidden)'!$A$2:$Z$1048576,MATCH($C45,'Restaurant Base (Hidden)'!$C$2:$C$1048576,0),MATCH(N$6,'Restaurant Base (Hidden)'!$A$1:$Z$1,0)),"")</f>
        <v>84,50 %</v>
      </c>
      <c r="O45" s="1">
        <f>+IFERROR(INDEX('Restaurant Base (Hidden)'!$A$2:$Z$1048576,MATCH($C45,'Restaurant Base (Hidden)'!$C$2:$C$1048576,0),MATCH(O$6,'Restaurant Base (Hidden)'!$A$1:$Z$1,0)),"")</f>
        <v>5</v>
      </c>
      <c r="P45" s="2" t="str">
        <f>+IFERROR(INDEX('Restaurant Base (Hidden)'!$A$2:$Z$1048576,MATCH($C45,'Restaurant Base (Hidden)'!$C$2:$C$1048576,0),MATCH(P$6,'Restaurant Base (Hidden)'!$A$1:$Z$1,0)),"")</f>
        <v/>
      </c>
      <c r="Q45" s="234" t="str">
        <f>+IFERROR(INDEX('Restaurant Base (Hidden)'!$A$2:$Z$1048576,MATCH($C45,'Restaurant Base (Hidden)'!$C$2:$C$1048576,0),MATCH(Q$6,'Restaurant Base (Hidden)'!$A$1:$Z$1,0)),"")</f>
        <v>71,40 %</v>
      </c>
      <c r="R45" s="1">
        <f>+IFERROR(INDEX('Restaurant Base (Hidden)'!$A$2:$Z$1048576,MATCH($C45,'Restaurant Base (Hidden)'!$C$2:$C$1048576,0),MATCH(R$6,'Restaurant Base (Hidden)'!$A$1:$Z$1,0)),"")</f>
        <v>4</v>
      </c>
      <c r="S45" s="2" t="str">
        <f>+IFERROR(INDEX('Restaurant Base (Hidden)'!$A$2:$Z$1048576,MATCH($C45,'Restaurant Base (Hidden)'!$C$2:$C$1048576,0),MATCH(S$6,'Restaurant Base (Hidden)'!$A$1:$Z$1,0)),"")</f>
        <v/>
      </c>
      <c r="T45" s="62">
        <f>+IFERROR(INDEX('Restaurant Base (Hidden)'!$A$2:$Z$1048576,MATCH($C45,'Restaurant Base (Hidden)'!$C$2:$C$1048576,0),MATCH(T$6,'Restaurant Base (Hidden)'!$A$1:$Z$1,0)),"")</f>
        <v>67.599999999999994</v>
      </c>
      <c r="U45" s="1">
        <f>+IFERROR(INDEX('Restaurant Base (Hidden)'!$A$2:$Z$1048576,MATCH($C45,'Restaurant Base (Hidden)'!$C$2:$C$1048576,0),MATCH(U$6,'Restaurant Base (Hidden)'!$A$1:$Z$1,0)),"")</f>
        <v>4</v>
      </c>
      <c r="V45" s="2" t="str">
        <f>+IFERROR(INDEX('Restaurant Base (Hidden)'!$A$2:$Z$1048576,MATCH($C45,'Restaurant Base (Hidden)'!$C$2:$C$1048576,0),MATCH(V$6,'Restaurant Base (Hidden)'!$A$1:$Z$1,0)),"")</f>
        <v/>
      </c>
      <c r="W45" s="65" t="str">
        <f>+IFERROR(INDEX('Restaurant Base (Hidden)'!$A$2:$Z$1048576,MATCH($C45,'Restaurant Base (Hidden)'!$C$2:$C$1048576,0),MATCH(W$6,'Restaurant Base (Hidden)'!$A$1:$Z$1,0)),"")</f>
        <v>85,20 %</v>
      </c>
      <c r="X45" s="1">
        <f>+IFERROR(INDEX('Restaurant Base (Hidden)'!$A$2:$Z$1048576,MATCH($C45,'Restaurant Base (Hidden)'!$C$2:$C$1048576,0),MATCH(X$6,'Restaurant Base (Hidden)'!$A$1:$Z$1,0)),"")</f>
        <v>3</v>
      </c>
      <c r="Y45" s="65" t="str">
        <f>+IFERROR(INDEX('Restaurant Base (Hidden)'!$A$2:$Z$1048576,MATCH($C45,'Restaurant Base (Hidden)'!$C$2:$C$1048576,0),MATCH(Y$6,'Restaurant Base (Hidden)'!$A$1:$Z$1,0)),"")</f>
        <v>83,80 %</v>
      </c>
      <c r="Z45" s="106">
        <f>+IFERROR(INDEX('Restaurant Base (Hidden)'!$A$2:$Z$1048576,MATCH($C45,'Restaurant Base (Hidden)'!$C$2:$C$1048576,0),MATCH(Z$6,'Restaurant Base (Hidden)'!$A$1:$Z$1,0)),"")</f>
        <v>3</v>
      </c>
      <c r="AA45" s="65" t="str">
        <f>+IFERROR(INDEX('Restaurant Base (Hidden)'!$A$2:$Z$1048576,MATCH($C45,'Restaurant Base (Hidden)'!$C$2:$C$1048576,0),MATCH(AA$6,'Restaurant Base (Hidden)'!$A$1:$Z$1,0)),"")</f>
        <v>76,70 %</v>
      </c>
      <c r="AB45" s="1">
        <f>+IFERROR(INDEX('Restaurant Base (Hidden)'!$A$2:$Z$1048576,MATCH($C45,'Restaurant Base (Hidden)'!$C$2:$C$1048576,0),MATCH(AB$6,'Restaurant Base (Hidden)'!$A$1:$Z$1,0)),"")</f>
        <v>2</v>
      </c>
      <c r="AC45" s="20" t="str">
        <f>+IFERROR(INDEX('Restaurant Base (Hidden)'!$A$2:$Z$1048576,MATCH($C45,'Restaurant Base (Hidden)'!$C$2:$C$1048576,0),MATCH(AC$6,'Restaurant Base (Hidden)'!$A$1:$Z$1,0)),"")</f>
        <v/>
      </c>
      <c r="AD45" s="65" t="str">
        <f>+IFERROR(INDEX('Restaurant Base (Hidden)'!$A$2:$Z$1048576,MATCH($C45,'Restaurant Base (Hidden)'!$C$2:$C$1048576,0),MATCH(AD$6,'Restaurant Base (Hidden)'!$A$1:$Z$1,0)),"")</f>
        <v>82,40 %</v>
      </c>
      <c r="AE45" s="1">
        <f>+IFERROR(INDEX('Restaurant Base (Hidden)'!$A$2:$Z$1048576,MATCH($C45,'Restaurant Base (Hidden)'!$C$2:$C$1048576,0),MATCH(AE$6,'Restaurant Base (Hidden)'!$A$1:$Z$1,0)),"")</f>
        <v>3</v>
      </c>
      <c r="AF45" s="65" t="str">
        <f>+IFERROR(INDEX('Restaurant Base (Hidden)'!$A$2:$Z$1048576,MATCH($C45,'Restaurant Base (Hidden)'!$C$2:$C$1048576,0),MATCH(AF$6,'Restaurant Base (Hidden)'!$A$1:$Z$1,0)),"")</f>
        <v>95,00 %</v>
      </c>
      <c r="AG45" s="1">
        <f>+IFERROR(INDEX('Restaurant Base (Hidden)'!$A$2:$Z$1048576,MATCH($C45,'Restaurant Base (Hidden)'!$C$2:$C$1048576,0),MATCH(AG$6,'Restaurant Base (Hidden)'!$A$1:$Z$1,0)),"")</f>
        <v>4</v>
      </c>
    </row>
    <row r="46" spans="1:33" x14ac:dyDescent="0.4">
      <c r="A46" s="163" t="str">
        <f>IF('Restaurant Base (Hidden)'!A54=0,"", 'Restaurant Base (Hidden)'!A54)</f>
        <v>Bailey Silverton</v>
      </c>
      <c r="B46" s="163" t="str">
        <f>IF('Restaurant Base (Hidden)'!B54=0,"", 'Restaurant Base (Hidden)'!B54)</f>
        <v>Stonebridge Restaurant Co</v>
      </c>
      <c r="C46" s="163" t="str">
        <f>IF('Restaurant Base (Hidden)'!C54=0,"", 'Restaurant Base (Hidden)'!C54)</f>
        <v>Royal Park</v>
      </c>
      <c r="D46" s="104">
        <f t="shared" si="0"/>
        <v>40</v>
      </c>
      <c r="E46" s="105">
        <f>+IFERROR(INDEX('Restaurant Base (Hidden)'!$A$2:$Z$1048576,MATCH($C46,'Restaurant Base (Hidden)'!$C$2:$C$1048576,0),MATCH(E$6,'Restaurant Base (Hidden)'!$A$1:$Z$1,0)),"")</f>
        <v>3.6</v>
      </c>
      <c r="F46" s="64" t="str">
        <f>+IFERROR(INDEX('Restaurant Base (Hidden)'!$A$2:$Z$1048576,MATCH($C46,'Restaurant Base (Hidden)'!$C$2:$C$1048576,0),MATCH(F$6,'Restaurant Base (Hidden)'!$A$1:$Z$1,0)),"")</f>
        <v/>
      </c>
      <c r="G46" s="20" t="str">
        <f>+IFERROR(INDEX('Restaurant Base (Hidden)'!$A$2:$Z$1048576,MATCH($C46,'Restaurant Base (Hidden)'!$C$2:$C$1048576,0),MATCH(G$6,'Restaurant Base (Hidden)'!$A$1:$Z$1,0)),"")</f>
        <v>4,653</v>
      </c>
      <c r="H46" s="50">
        <f>+IFERROR(INDEX('Restaurant Base (Hidden)'!$A$2:$Z$1048576,MATCH($C46,'Restaurant Base (Hidden)'!$C$2:$C$1048576,0),MATCH(H$6,'Restaurant Base (Hidden)'!$A$1:$Z$1,0)),"")</f>
        <v>5</v>
      </c>
      <c r="I46" s="20" t="str">
        <f>+IFERROR(INDEX('Restaurant Base (Hidden)'!$A$2:$Z$1048576,MATCH($C46,'Restaurant Base (Hidden)'!$C$2:$C$1048576,0),MATCH(I$6,'Restaurant Base (Hidden)'!$A$1:$Z$1,0)),"")</f>
        <v>97,20 %</v>
      </c>
      <c r="J46" s="49">
        <f>+IFERROR(INDEX('Restaurant Base (Hidden)'!$A$2:$Z$1048576,MATCH($C46,'Restaurant Base (Hidden)'!$C$2:$C$1048576,0),MATCH(J$6,'Restaurant Base (Hidden)'!$A$1:$Z$1,0)),"")</f>
        <v>5</v>
      </c>
      <c r="K46" s="20" t="str">
        <f>+IFERROR(INDEX('Restaurant Base (Hidden)'!$A$2:$Z$1048576,MATCH($C46,'Restaurant Base (Hidden)'!$C$2:$C$1048576,0),MATCH(K$6,'Restaurant Base (Hidden)'!$A$1:$Z$1,0)),"")</f>
        <v>0,138</v>
      </c>
      <c r="L46" s="51">
        <f>+IFERROR(INDEX('Restaurant Base (Hidden)'!$A$2:$Z$1048576,MATCH($C46,'Restaurant Base (Hidden)'!$C$2:$C$1048576,0),MATCH(L$6,'Restaurant Base (Hidden)'!$A$1:$Z$1,0)),"")</f>
        <v>2</v>
      </c>
      <c r="M46" s="2" t="str">
        <f>+IFERROR(INDEX('Restaurant Base (Hidden)'!$A$2:$Z$1048576,MATCH($C46,'Restaurant Base (Hidden)'!$C$2:$C$1048576,0),MATCH(M$6,'Restaurant Base (Hidden)'!$A$1:$Z$1,0)),"")</f>
        <v/>
      </c>
      <c r="N46" s="234" t="str">
        <f>+IFERROR(INDEX('Restaurant Base (Hidden)'!$A$2:$Z$1048576,MATCH($C46,'Restaurant Base (Hidden)'!$C$2:$C$1048576,0),MATCH(N$6,'Restaurant Base (Hidden)'!$A$1:$Z$1,0)),"")</f>
        <v>81,50 %</v>
      </c>
      <c r="O46" s="1">
        <f>+IFERROR(INDEX('Restaurant Base (Hidden)'!$A$2:$Z$1048576,MATCH($C46,'Restaurant Base (Hidden)'!$C$2:$C$1048576,0),MATCH(O$6,'Restaurant Base (Hidden)'!$A$1:$Z$1,0)),"")</f>
        <v>5</v>
      </c>
      <c r="P46" s="2" t="str">
        <f>+IFERROR(INDEX('Restaurant Base (Hidden)'!$A$2:$Z$1048576,MATCH($C46,'Restaurant Base (Hidden)'!$C$2:$C$1048576,0),MATCH(P$6,'Restaurant Base (Hidden)'!$A$1:$Z$1,0)),"")</f>
        <v/>
      </c>
      <c r="Q46" s="234" t="str">
        <f>+IFERROR(INDEX('Restaurant Base (Hidden)'!$A$2:$Z$1048576,MATCH($C46,'Restaurant Base (Hidden)'!$C$2:$C$1048576,0),MATCH(Q$6,'Restaurant Base (Hidden)'!$A$1:$Z$1,0)),"")</f>
        <v>92,90 %</v>
      </c>
      <c r="R46" s="1">
        <f>+IFERROR(INDEX('Restaurant Base (Hidden)'!$A$2:$Z$1048576,MATCH($C46,'Restaurant Base (Hidden)'!$C$2:$C$1048576,0),MATCH(R$6,'Restaurant Base (Hidden)'!$A$1:$Z$1,0)),"")</f>
        <v>5</v>
      </c>
      <c r="S46" s="2" t="str">
        <f>+IFERROR(INDEX('Restaurant Base (Hidden)'!$A$2:$Z$1048576,MATCH($C46,'Restaurant Base (Hidden)'!$C$2:$C$1048576,0),MATCH(S$6,'Restaurant Base (Hidden)'!$A$1:$Z$1,0)),"")</f>
        <v/>
      </c>
      <c r="T46" s="62">
        <f>+IFERROR(INDEX('Restaurant Base (Hidden)'!$A$2:$Z$1048576,MATCH($C46,'Restaurant Base (Hidden)'!$C$2:$C$1048576,0),MATCH(T$6,'Restaurant Base (Hidden)'!$A$1:$Z$1,0)),"")</f>
        <v>55.4</v>
      </c>
      <c r="U46" s="1">
        <f>+IFERROR(INDEX('Restaurant Base (Hidden)'!$A$2:$Z$1048576,MATCH($C46,'Restaurant Base (Hidden)'!$C$2:$C$1048576,0),MATCH(U$6,'Restaurant Base (Hidden)'!$A$1:$Z$1,0)),"")</f>
        <v>1</v>
      </c>
      <c r="V46" s="2" t="str">
        <f>+IFERROR(INDEX('Restaurant Base (Hidden)'!$A$2:$Z$1048576,MATCH($C46,'Restaurant Base (Hidden)'!$C$2:$C$1048576,0),MATCH(V$6,'Restaurant Base (Hidden)'!$A$1:$Z$1,0)),"")</f>
        <v/>
      </c>
      <c r="W46" s="65" t="str">
        <f>+IFERROR(INDEX('Restaurant Base (Hidden)'!$A$2:$Z$1048576,MATCH($C46,'Restaurant Base (Hidden)'!$C$2:$C$1048576,0),MATCH(W$6,'Restaurant Base (Hidden)'!$A$1:$Z$1,0)),"")</f>
        <v>61,20 %</v>
      </c>
      <c r="X46" s="1">
        <f>+IFERROR(INDEX('Restaurant Base (Hidden)'!$A$2:$Z$1048576,MATCH($C46,'Restaurant Base (Hidden)'!$C$2:$C$1048576,0),MATCH(X$6,'Restaurant Base (Hidden)'!$A$1:$Z$1,0)),"")</f>
        <v>2</v>
      </c>
      <c r="Y46" s="65" t="str">
        <f>+IFERROR(INDEX('Restaurant Base (Hidden)'!$A$2:$Z$1048576,MATCH($C46,'Restaurant Base (Hidden)'!$C$2:$C$1048576,0),MATCH(Y$6,'Restaurant Base (Hidden)'!$A$1:$Z$1,0)),"")</f>
        <v>62,20 %</v>
      </c>
      <c r="Z46" s="106">
        <f>+IFERROR(INDEX('Restaurant Base (Hidden)'!$A$2:$Z$1048576,MATCH($C46,'Restaurant Base (Hidden)'!$C$2:$C$1048576,0),MATCH(Z$6,'Restaurant Base (Hidden)'!$A$1:$Z$1,0)),"")</f>
        <v>2</v>
      </c>
      <c r="AA46" s="65" t="str">
        <f>+IFERROR(INDEX('Restaurant Base (Hidden)'!$A$2:$Z$1048576,MATCH($C46,'Restaurant Base (Hidden)'!$C$2:$C$1048576,0),MATCH(AA$6,'Restaurant Base (Hidden)'!$A$1:$Z$1,0)),"")</f>
        <v>84,40 %</v>
      </c>
      <c r="AB46" s="1">
        <f>+IFERROR(INDEX('Restaurant Base (Hidden)'!$A$2:$Z$1048576,MATCH($C46,'Restaurant Base (Hidden)'!$C$2:$C$1048576,0),MATCH(AB$6,'Restaurant Base (Hidden)'!$A$1:$Z$1,0)),"")</f>
        <v>2</v>
      </c>
      <c r="AC46" s="20" t="str">
        <f>+IFERROR(INDEX('Restaurant Base (Hidden)'!$A$2:$Z$1048576,MATCH($C46,'Restaurant Base (Hidden)'!$C$2:$C$1048576,0),MATCH(AC$6,'Restaurant Base (Hidden)'!$A$1:$Z$1,0)),"")</f>
        <v/>
      </c>
      <c r="AD46" s="65" t="str">
        <f>+IFERROR(INDEX('Restaurant Base (Hidden)'!$A$2:$Z$1048576,MATCH($C46,'Restaurant Base (Hidden)'!$C$2:$C$1048576,0),MATCH(AD$6,'Restaurant Base (Hidden)'!$A$1:$Z$1,0)),"")</f>
        <v>98,80 %</v>
      </c>
      <c r="AE46" s="1">
        <f>+IFERROR(INDEX('Restaurant Base (Hidden)'!$A$2:$Z$1048576,MATCH($C46,'Restaurant Base (Hidden)'!$C$2:$C$1048576,0),MATCH(AE$6,'Restaurant Base (Hidden)'!$A$1:$Z$1,0)),"")</f>
        <v>5</v>
      </c>
      <c r="AF46" s="65" t="str">
        <f>+IFERROR(INDEX('Restaurant Base (Hidden)'!$A$2:$Z$1048576,MATCH($C46,'Restaurant Base (Hidden)'!$C$2:$C$1048576,0),MATCH(AF$6,'Restaurant Base (Hidden)'!$A$1:$Z$1,0)),"")</f>
        <v>80,40 %</v>
      </c>
      <c r="AG46" s="1">
        <f>+IFERROR(INDEX('Restaurant Base (Hidden)'!$A$2:$Z$1048576,MATCH($C46,'Restaurant Base (Hidden)'!$C$2:$C$1048576,0),MATCH(AG$6,'Restaurant Base (Hidden)'!$A$1:$Z$1,0)),"")</f>
        <v>2</v>
      </c>
    </row>
    <row r="47" spans="1:33" x14ac:dyDescent="0.4">
      <c r="A47" s="163" t="str">
        <f>IF('Restaurant Base (Hidden)'!A340=0,"", 'Restaurant Base (Hidden)'!A340)</f>
        <v>Skyler Everhart</v>
      </c>
      <c r="B47" s="163" t="str">
        <f>IF('Restaurant Base (Hidden)'!B340=0,"", 'Restaurant Base (Hidden)'!B340)</f>
        <v>Willowcrest Dining</v>
      </c>
      <c r="C47" s="163" t="str">
        <f>IF('Restaurant Base (Hidden)'!C340=0,"", 'Restaurant Base (Hidden)'!C340)</f>
        <v>Valley Creek</v>
      </c>
      <c r="D47" s="104">
        <f t="shared" si="0"/>
        <v>41</v>
      </c>
      <c r="E47" s="105">
        <f>+IFERROR(INDEX('Restaurant Base (Hidden)'!$A$2:$Z$1048576,MATCH($C47,'Restaurant Base (Hidden)'!$C$2:$C$1048576,0),MATCH(E$6,'Restaurant Base (Hidden)'!$A$1:$Z$1,0)),"")</f>
        <v>3.58</v>
      </c>
      <c r="F47" s="2" t="str">
        <f>+IFERROR(INDEX('Restaurant Base (Hidden)'!$A$2:$Z$1048576,MATCH($C47,'Restaurant Base (Hidden)'!$C$2:$C$1048576,0),MATCH(F$6,'Restaurant Base (Hidden)'!$A$1:$Z$1,0)),"")</f>
        <v/>
      </c>
      <c r="G47" s="20" t="str">
        <f>+IFERROR(INDEX('Restaurant Base (Hidden)'!$A$2:$Z$1048576,MATCH($C47,'Restaurant Base (Hidden)'!$C$2:$C$1048576,0),MATCH(G$6,'Restaurant Base (Hidden)'!$A$1:$Z$1,0)),"")</f>
        <v>4,166</v>
      </c>
      <c r="H47" s="50">
        <f>+IFERROR(INDEX('Restaurant Base (Hidden)'!$A$2:$Z$1048576,MATCH($C47,'Restaurant Base (Hidden)'!$C$2:$C$1048576,0),MATCH(H$6,'Restaurant Base (Hidden)'!$A$1:$Z$1,0)),"")</f>
        <v>2</v>
      </c>
      <c r="I47" s="20" t="str">
        <f>+IFERROR(INDEX('Restaurant Base (Hidden)'!$A$2:$Z$1048576,MATCH($C47,'Restaurant Base (Hidden)'!$C$2:$C$1048576,0),MATCH(I$6,'Restaurant Base (Hidden)'!$A$1:$Z$1,0)),"")</f>
        <v>98,30 %</v>
      </c>
      <c r="J47" s="49">
        <f>+IFERROR(INDEX('Restaurant Base (Hidden)'!$A$2:$Z$1048576,MATCH($C47,'Restaurant Base (Hidden)'!$C$2:$C$1048576,0),MATCH(J$6,'Restaurant Base (Hidden)'!$A$1:$Z$1,0)),"")</f>
        <v>5</v>
      </c>
      <c r="K47" s="20" t="str">
        <f>+IFERROR(INDEX('Restaurant Base (Hidden)'!$A$2:$Z$1048576,MATCH($C47,'Restaurant Base (Hidden)'!$C$2:$C$1048576,0),MATCH(K$6,'Restaurant Base (Hidden)'!$A$1:$Z$1,0)),"")</f>
        <v>0,158</v>
      </c>
      <c r="L47" s="51">
        <f>+IFERROR(INDEX('Restaurant Base (Hidden)'!$A$2:$Z$1048576,MATCH($C47,'Restaurant Base (Hidden)'!$C$2:$C$1048576,0),MATCH(L$6,'Restaurant Base (Hidden)'!$A$1:$Z$1,0)),"")</f>
        <v>2</v>
      </c>
      <c r="M47" s="2" t="str">
        <f>+IFERROR(INDEX('Restaurant Base (Hidden)'!$A$2:$Z$1048576,MATCH($C47,'Restaurant Base (Hidden)'!$C$2:$C$1048576,0),MATCH(M$6,'Restaurant Base (Hidden)'!$A$1:$Z$1,0)),"")</f>
        <v/>
      </c>
      <c r="N47" s="234" t="str">
        <f>+IFERROR(INDEX('Restaurant Base (Hidden)'!$A$2:$Z$1048576,MATCH($C47,'Restaurant Base (Hidden)'!$C$2:$C$1048576,0),MATCH(N$6,'Restaurant Base (Hidden)'!$A$1:$Z$1,0)),"")</f>
        <v>73,40 %</v>
      </c>
      <c r="O47" s="1">
        <f>+IFERROR(INDEX('Restaurant Base (Hidden)'!$A$2:$Z$1048576,MATCH($C47,'Restaurant Base (Hidden)'!$C$2:$C$1048576,0),MATCH(O$6,'Restaurant Base (Hidden)'!$A$1:$Z$1,0)),"")</f>
        <v>5</v>
      </c>
      <c r="P47" s="2" t="str">
        <f>+IFERROR(INDEX('Restaurant Base (Hidden)'!$A$2:$Z$1048576,MATCH($C47,'Restaurant Base (Hidden)'!$C$2:$C$1048576,0),MATCH(P$6,'Restaurant Base (Hidden)'!$A$1:$Z$1,0)),"")</f>
        <v/>
      </c>
      <c r="Q47" s="234" t="str">
        <f>+IFERROR(INDEX('Restaurant Base (Hidden)'!$A$2:$Z$1048576,MATCH($C47,'Restaurant Base (Hidden)'!$C$2:$C$1048576,0),MATCH(Q$6,'Restaurant Base (Hidden)'!$A$1:$Z$1,0)),"")</f>
        <v>70,40 %</v>
      </c>
      <c r="R47" s="1">
        <f>+IFERROR(INDEX('Restaurant Base (Hidden)'!$A$2:$Z$1048576,MATCH($C47,'Restaurant Base (Hidden)'!$C$2:$C$1048576,0),MATCH(R$6,'Restaurant Base (Hidden)'!$A$1:$Z$1,0)),"")</f>
        <v>4</v>
      </c>
      <c r="S47" s="2" t="str">
        <f>+IFERROR(INDEX('Restaurant Base (Hidden)'!$A$2:$Z$1048576,MATCH($C47,'Restaurant Base (Hidden)'!$C$2:$C$1048576,0),MATCH(S$6,'Restaurant Base (Hidden)'!$A$1:$Z$1,0)),"")</f>
        <v/>
      </c>
      <c r="T47" s="62">
        <f>+IFERROR(INDEX('Restaurant Base (Hidden)'!$A$2:$Z$1048576,MATCH($C47,'Restaurant Base (Hidden)'!$C$2:$C$1048576,0),MATCH(T$6,'Restaurant Base (Hidden)'!$A$1:$Z$1,0)),"")</f>
        <v>73</v>
      </c>
      <c r="U47" s="1">
        <f>+IFERROR(INDEX('Restaurant Base (Hidden)'!$A$2:$Z$1048576,MATCH($C47,'Restaurant Base (Hidden)'!$C$2:$C$1048576,0),MATCH(U$6,'Restaurant Base (Hidden)'!$A$1:$Z$1,0)),"")</f>
        <v>5</v>
      </c>
      <c r="V47" s="2" t="str">
        <f>+IFERROR(INDEX('Restaurant Base (Hidden)'!$A$2:$Z$1048576,MATCH($C47,'Restaurant Base (Hidden)'!$C$2:$C$1048576,0),MATCH(V$6,'Restaurant Base (Hidden)'!$A$1:$Z$1,0)),"")</f>
        <v/>
      </c>
      <c r="W47" s="65" t="str">
        <f>+IFERROR(INDEX('Restaurant Base (Hidden)'!$A$2:$Z$1048576,MATCH($C47,'Restaurant Base (Hidden)'!$C$2:$C$1048576,0),MATCH(W$6,'Restaurant Base (Hidden)'!$A$1:$Z$1,0)),"")</f>
        <v>69,80 %</v>
      </c>
      <c r="X47" s="1">
        <f>+IFERROR(INDEX('Restaurant Base (Hidden)'!$A$2:$Z$1048576,MATCH($C47,'Restaurant Base (Hidden)'!$C$2:$C$1048576,0),MATCH(X$6,'Restaurant Base (Hidden)'!$A$1:$Z$1,0)),"")</f>
        <v>2</v>
      </c>
      <c r="Y47" s="65" t="str">
        <f>+IFERROR(INDEX('Restaurant Base (Hidden)'!$A$2:$Z$1048576,MATCH($C47,'Restaurant Base (Hidden)'!$C$2:$C$1048576,0),MATCH(Y$6,'Restaurant Base (Hidden)'!$A$1:$Z$1,0)),"")</f>
        <v>77,20 %</v>
      </c>
      <c r="Z47" s="106">
        <f>+IFERROR(INDEX('Restaurant Base (Hidden)'!$A$2:$Z$1048576,MATCH($C47,'Restaurant Base (Hidden)'!$C$2:$C$1048576,0),MATCH(Z$6,'Restaurant Base (Hidden)'!$A$1:$Z$1,0)),"")</f>
        <v>2</v>
      </c>
      <c r="AA47" s="65" t="str">
        <f>+IFERROR(INDEX('Restaurant Base (Hidden)'!$A$2:$Z$1048576,MATCH($C47,'Restaurant Base (Hidden)'!$C$2:$C$1048576,0),MATCH(AA$6,'Restaurant Base (Hidden)'!$A$1:$Z$1,0)),"")</f>
        <v>71,00 %</v>
      </c>
      <c r="AB47" s="1">
        <f>+IFERROR(INDEX('Restaurant Base (Hidden)'!$A$2:$Z$1048576,MATCH($C47,'Restaurant Base (Hidden)'!$C$2:$C$1048576,0),MATCH(AB$6,'Restaurant Base (Hidden)'!$A$1:$Z$1,0)),"")</f>
        <v>2</v>
      </c>
      <c r="AC47" s="20" t="str">
        <f>+IFERROR(INDEX('Restaurant Base (Hidden)'!$A$2:$Z$1048576,MATCH($C47,'Restaurant Base (Hidden)'!$C$2:$C$1048576,0),MATCH(AC$6,'Restaurant Base (Hidden)'!$A$1:$Z$1,0)),"")</f>
        <v/>
      </c>
      <c r="AD47" s="65" t="str">
        <f>+IFERROR(INDEX('Restaurant Base (Hidden)'!$A$2:$Z$1048576,MATCH($C47,'Restaurant Base (Hidden)'!$C$2:$C$1048576,0),MATCH(AD$6,'Restaurant Base (Hidden)'!$A$1:$Z$1,0)),"")</f>
        <v>82,00 %</v>
      </c>
      <c r="AE47" s="1">
        <f>+IFERROR(INDEX('Restaurant Base (Hidden)'!$A$2:$Z$1048576,MATCH($C47,'Restaurant Base (Hidden)'!$C$2:$C$1048576,0),MATCH(AE$6,'Restaurant Base (Hidden)'!$A$1:$Z$1,0)),"")</f>
        <v>3</v>
      </c>
      <c r="AF47" s="65" t="str">
        <f>+IFERROR(INDEX('Restaurant Base (Hidden)'!$A$2:$Z$1048576,MATCH($C47,'Restaurant Base (Hidden)'!$C$2:$C$1048576,0),MATCH(AF$6,'Restaurant Base (Hidden)'!$A$1:$Z$1,0)),"")</f>
        <v>91,20 %</v>
      </c>
      <c r="AG47" s="1">
        <f>+IFERROR(INDEX('Restaurant Base (Hidden)'!$A$2:$Z$1048576,MATCH($C47,'Restaurant Base (Hidden)'!$C$2:$C$1048576,0),MATCH(AG$6,'Restaurant Base (Hidden)'!$A$1:$Z$1,0)),"")</f>
        <v>3</v>
      </c>
    </row>
    <row r="48" spans="1:33" x14ac:dyDescent="0.4">
      <c r="A48" s="163" t="str">
        <f>IF('Restaurant Base (Hidden)'!A94=0,"", 'Restaurant Base (Hidden)'!A94)</f>
        <v>Elliot Hawthorne</v>
      </c>
      <c r="B48" s="163" t="str">
        <f>IF('Restaurant Base (Hidden)'!B94=0,"", 'Restaurant Base (Hidden)'!B94)</f>
        <v>Stonebridge Restaurant Co</v>
      </c>
      <c r="C48" s="163" t="str">
        <f>IF('Restaurant Base (Hidden)'!C94=0,"", 'Restaurant Base (Hidden)'!C94)</f>
        <v>Westwood View</v>
      </c>
      <c r="D48" s="104">
        <f t="shared" si="0"/>
        <v>42</v>
      </c>
      <c r="E48" s="105">
        <f>+IFERROR(INDEX('Restaurant Base (Hidden)'!$A$2:$Z$1048576,MATCH($C48,'Restaurant Base (Hidden)'!$C$2:$C$1048576,0),MATCH(E$6,'Restaurant Base (Hidden)'!$A$1:$Z$1,0)),"")</f>
        <v>3.57</v>
      </c>
      <c r="F48" s="2" t="str">
        <f>+IFERROR(INDEX('Restaurant Base (Hidden)'!$A$2:$Z$1048576,MATCH($C48,'Restaurant Base (Hidden)'!$C$2:$C$1048576,0),MATCH(F$6,'Restaurant Base (Hidden)'!$A$1:$Z$1,0)),"")</f>
        <v/>
      </c>
      <c r="G48" s="20" t="str">
        <f>+IFERROR(INDEX('Restaurant Base (Hidden)'!$A$2:$Z$1048576,MATCH($C48,'Restaurant Base (Hidden)'!$C$2:$C$1048576,0),MATCH(G$6,'Restaurant Base (Hidden)'!$A$1:$Z$1,0)),"")</f>
        <v>4,028</v>
      </c>
      <c r="H48" s="50">
        <f>+IFERROR(INDEX('Restaurant Base (Hidden)'!$A$2:$Z$1048576,MATCH($C48,'Restaurant Base (Hidden)'!$C$2:$C$1048576,0),MATCH(H$6,'Restaurant Base (Hidden)'!$A$1:$Z$1,0)),"")</f>
        <v>1</v>
      </c>
      <c r="I48" s="20" t="str">
        <f>+IFERROR(INDEX('Restaurant Base (Hidden)'!$A$2:$Z$1048576,MATCH($C48,'Restaurant Base (Hidden)'!$C$2:$C$1048576,0),MATCH(I$6,'Restaurant Base (Hidden)'!$A$1:$Z$1,0)),"")</f>
        <v>95,70 %</v>
      </c>
      <c r="J48" s="49">
        <f>+IFERROR(INDEX('Restaurant Base (Hidden)'!$A$2:$Z$1048576,MATCH($C48,'Restaurant Base (Hidden)'!$C$2:$C$1048576,0),MATCH(J$6,'Restaurant Base (Hidden)'!$A$1:$Z$1,0)),"")</f>
        <v>5</v>
      </c>
      <c r="K48" s="20" t="str">
        <f>+IFERROR(INDEX('Restaurant Base (Hidden)'!$A$2:$Z$1048576,MATCH($C48,'Restaurant Base (Hidden)'!$C$2:$C$1048576,0),MATCH(K$6,'Restaurant Base (Hidden)'!$A$1:$Z$1,0)),"")</f>
        <v>0,177</v>
      </c>
      <c r="L48" s="51">
        <f>+IFERROR(INDEX('Restaurant Base (Hidden)'!$A$2:$Z$1048576,MATCH($C48,'Restaurant Base (Hidden)'!$C$2:$C$1048576,0),MATCH(L$6,'Restaurant Base (Hidden)'!$A$1:$Z$1,0)),"")</f>
        <v>2</v>
      </c>
      <c r="M48" s="2" t="str">
        <f>+IFERROR(INDEX('Restaurant Base (Hidden)'!$A$2:$Z$1048576,MATCH($C48,'Restaurant Base (Hidden)'!$C$2:$C$1048576,0),MATCH(M$6,'Restaurant Base (Hidden)'!$A$1:$Z$1,0)),"")</f>
        <v/>
      </c>
      <c r="N48" s="234" t="str">
        <f>+IFERROR(INDEX('Restaurant Base (Hidden)'!$A$2:$Z$1048576,MATCH($C48,'Restaurant Base (Hidden)'!$C$2:$C$1048576,0),MATCH(N$6,'Restaurant Base (Hidden)'!$A$1:$Z$1,0)),"")</f>
        <v>60,30 %</v>
      </c>
      <c r="O48" s="1">
        <f>+IFERROR(INDEX('Restaurant Base (Hidden)'!$A$2:$Z$1048576,MATCH($C48,'Restaurant Base (Hidden)'!$C$2:$C$1048576,0),MATCH(O$6,'Restaurant Base (Hidden)'!$A$1:$Z$1,0)),"")</f>
        <v>2</v>
      </c>
      <c r="P48" s="2" t="str">
        <f>+IFERROR(INDEX('Restaurant Base (Hidden)'!$A$2:$Z$1048576,MATCH($C48,'Restaurant Base (Hidden)'!$C$2:$C$1048576,0),MATCH(P$6,'Restaurant Base (Hidden)'!$A$1:$Z$1,0)),"")</f>
        <v/>
      </c>
      <c r="Q48" s="234" t="str">
        <f>+IFERROR(INDEX('Restaurant Base (Hidden)'!$A$2:$Z$1048576,MATCH($C48,'Restaurant Base (Hidden)'!$C$2:$C$1048576,0),MATCH(Q$6,'Restaurant Base (Hidden)'!$A$1:$Z$1,0)),"")</f>
        <v>93,00 %</v>
      </c>
      <c r="R48" s="1">
        <f>+IFERROR(INDEX('Restaurant Base (Hidden)'!$A$2:$Z$1048576,MATCH($C48,'Restaurant Base (Hidden)'!$C$2:$C$1048576,0),MATCH(R$6,'Restaurant Base (Hidden)'!$A$1:$Z$1,0)),"")</f>
        <v>5</v>
      </c>
      <c r="S48" s="2" t="str">
        <f>+IFERROR(INDEX('Restaurant Base (Hidden)'!$A$2:$Z$1048576,MATCH($C48,'Restaurant Base (Hidden)'!$C$2:$C$1048576,0),MATCH(S$6,'Restaurant Base (Hidden)'!$A$1:$Z$1,0)),"")</f>
        <v/>
      </c>
      <c r="T48" s="62">
        <f>+IFERROR(INDEX('Restaurant Base (Hidden)'!$A$2:$Z$1048576,MATCH($C48,'Restaurant Base (Hidden)'!$C$2:$C$1048576,0),MATCH(T$6,'Restaurant Base (Hidden)'!$A$1:$Z$1,0)),"")</f>
        <v>57.1</v>
      </c>
      <c r="U48" s="1">
        <f>+IFERROR(INDEX('Restaurant Base (Hidden)'!$A$2:$Z$1048576,MATCH($C48,'Restaurant Base (Hidden)'!$C$2:$C$1048576,0),MATCH(U$6,'Restaurant Base (Hidden)'!$A$1:$Z$1,0)),"")</f>
        <v>2</v>
      </c>
      <c r="V48" s="2" t="str">
        <f>+IFERROR(INDEX('Restaurant Base (Hidden)'!$A$2:$Z$1048576,MATCH($C48,'Restaurant Base (Hidden)'!$C$2:$C$1048576,0),MATCH(V$6,'Restaurant Base (Hidden)'!$A$1:$Z$1,0)),"")</f>
        <v/>
      </c>
      <c r="W48" s="65" t="str">
        <f>+IFERROR(INDEX('Restaurant Base (Hidden)'!$A$2:$Z$1048576,MATCH($C48,'Restaurant Base (Hidden)'!$C$2:$C$1048576,0),MATCH(W$6,'Restaurant Base (Hidden)'!$A$1:$Z$1,0)),"")</f>
        <v>99,50 %</v>
      </c>
      <c r="X48" s="1">
        <f>+IFERROR(INDEX('Restaurant Base (Hidden)'!$A$2:$Z$1048576,MATCH($C48,'Restaurant Base (Hidden)'!$C$2:$C$1048576,0),MATCH(X$6,'Restaurant Base (Hidden)'!$A$1:$Z$1,0)),"")</f>
        <v>5</v>
      </c>
      <c r="Y48" s="65" t="str">
        <f>+IFERROR(INDEX('Restaurant Base (Hidden)'!$A$2:$Z$1048576,MATCH($C48,'Restaurant Base (Hidden)'!$C$2:$C$1048576,0),MATCH(Y$6,'Restaurant Base (Hidden)'!$A$1:$Z$1,0)),"")</f>
        <v>98,20 %</v>
      </c>
      <c r="Z48" s="106">
        <f>+IFERROR(INDEX('Restaurant Base (Hidden)'!$A$2:$Z$1048576,MATCH($C48,'Restaurant Base (Hidden)'!$C$2:$C$1048576,0),MATCH(Z$6,'Restaurant Base (Hidden)'!$A$1:$Z$1,0)),"")</f>
        <v>5</v>
      </c>
      <c r="AA48" s="65" t="str">
        <f>+IFERROR(INDEX('Restaurant Base (Hidden)'!$A$2:$Z$1048576,MATCH($C48,'Restaurant Base (Hidden)'!$C$2:$C$1048576,0),MATCH(AA$6,'Restaurant Base (Hidden)'!$A$1:$Z$1,0)),"")</f>
        <v>81,20 %</v>
      </c>
      <c r="AB48" s="1">
        <f>+IFERROR(INDEX('Restaurant Base (Hidden)'!$A$2:$Z$1048576,MATCH($C48,'Restaurant Base (Hidden)'!$C$2:$C$1048576,0),MATCH(AB$6,'Restaurant Base (Hidden)'!$A$1:$Z$1,0)),"")</f>
        <v>2</v>
      </c>
      <c r="AC48" s="20" t="str">
        <f>+IFERROR(INDEX('Restaurant Base (Hidden)'!$A$2:$Z$1048576,MATCH($C48,'Restaurant Base (Hidden)'!$C$2:$C$1048576,0),MATCH(AC$6,'Restaurant Base (Hidden)'!$A$1:$Z$1,0)),"")</f>
        <v/>
      </c>
      <c r="AD48" s="65" t="str">
        <f>+IFERROR(INDEX('Restaurant Base (Hidden)'!$A$2:$Z$1048576,MATCH($C48,'Restaurant Base (Hidden)'!$C$2:$C$1048576,0),MATCH(AD$6,'Restaurant Base (Hidden)'!$A$1:$Z$1,0)),"")</f>
        <v>98,60 %</v>
      </c>
      <c r="AE48" s="1">
        <f>+IFERROR(INDEX('Restaurant Base (Hidden)'!$A$2:$Z$1048576,MATCH($C48,'Restaurant Base (Hidden)'!$C$2:$C$1048576,0),MATCH(AE$6,'Restaurant Base (Hidden)'!$A$1:$Z$1,0)),"")</f>
        <v>5</v>
      </c>
      <c r="AF48" s="65" t="str">
        <f>+IFERROR(INDEX('Restaurant Base (Hidden)'!$A$2:$Z$1048576,MATCH($C48,'Restaurant Base (Hidden)'!$C$2:$C$1048576,0),MATCH(AF$6,'Restaurant Base (Hidden)'!$A$1:$Z$1,0)),"")</f>
        <v>98,30 %</v>
      </c>
      <c r="AG48" s="1">
        <f>+IFERROR(INDEX('Restaurant Base (Hidden)'!$A$2:$Z$1048576,MATCH($C48,'Restaurant Base (Hidden)'!$C$2:$C$1048576,0),MATCH(AG$6,'Restaurant Base (Hidden)'!$A$1:$Z$1,0)),"")</f>
        <v>5</v>
      </c>
    </row>
    <row r="49" spans="1:33" x14ac:dyDescent="0.4">
      <c r="A49" s="163" t="str">
        <f>IF('Restaurant Base (Hidden)'!A351=0,"", 'Restaurant Base (Hidden)'!A351)</f>
        <v>Blake Bellamy</v>
      </c>
      <c r="B49" s="163" t="str">
        <f>IF('Restaurant Base (Hidden)'!B351=0,"", 'Restaurant Base (Hidden)'!B351)</f>
        <v>Rosebridge Hospitality</v>
      </c>
      <c r="C49" s="163" t="str">
        <f>IF('Restaurant Base (Hidden)'!C351=0,"", 'Restaurant Base (Hidden)'!C351)</f>
        <v>Ash Way</v>
      </c>
      <c r="D49" s="104">
        <f t="shared" si="0"/>
        <v>42</v>
      </c>
      <c r="E49" s="105">
        <f>+IFERROR(INDEX('Restaurant Base (Hidden)'!$A$2:$Z$1048576,MATCH($C49,'Restaurant Base (Hidden)'!$C$2:$C$1048576,0),MATCH(E$6,'Restaurant Base (Hidden)'!$A$1:$Z$1,0)),"")</f>
        <v>3.57</v>
      </c>
      <c r="F49" s="2" t="str">
        <f>+IFERROR(INDEX('Restaurant Base (Hidden)'!$A$2:$Z$1048576,MATCH($C49,'Restaurant Base (Hidden)'!$C$2:$C$1048576,0),MATCH(F$6,'Restaurant Base (Hidden)'!$A$1:$Z$1,0)),"")</f>
        <v/>
      </c>
      <c r="G49" s="20" t="str">
        <f>+IFERROR(INDEX('Restaurant Base (Hidden)'!$A$2:$Z$1048576,MATCH($C49,'Restaurant Base (Hidden)'!$C$2:$C$1048576,0),MATCH(G$6,'Restaurant Base (Hidden)'!$A$1:$Z$1,0)),"")</f>
        <v>4,536</v>
      </c>
      <c r="H49" s="50">
        <f>+IFERROR(INDEX('Restaurant Base (Hidden)'!$A$2:$Z$1048576,MATCH($C49,'Restaurant Base (Hidden)'!$C$2:$C$1048576,0),MATCH(H$6,'Restaurant Base (Hidden)'!$A$1:$Z$1,0)),"")</f>
        <v>5</v>
      </c>
      <c r="I49" s="20" t="str">
        <f>+IFERROR(INDEX('Restaurant Base (Hidden)'!$A$2:$Z$1048576,MATCH($C49,'Restaurant Base (Hidden)'!$C$2:$C$1048576,0),MATCH(I$6,'Restaurant Base (Hidden)'!$A$1:$Z$1,0)),"")</f>
        <v>83,30 %</v>
      </c>
      <c r="J49" s="49">
        <f>+IFERROR(INDEX('Restaurant Base (Hidden)'!$A$2:$Z$1048576,MATCH($C49,'Restaurant Base (Hidden)'!$C$2:$C$1048576,0),MATCH(J$6,'Restaurant Base (Hidden)'!$A$1:$Z$1,0)),"")</f>
        <v>3</v>
      </c>
      <c r="K49" s="20" t="str">
        <f>+IFERROR(INDEX('Restaurant Base (Hidden)'!$A$2:$Z$1048576,MATCH($C49,'Restaurant Base (Hidden)'!$C$2:$C$1048576,0),MATCH(K$6,'Restaurant Base (Hidden)'!$A$1:$Z$1,0)),"")</f>
        <v>0,187</v>
      </c>
      <c r="L49" s="51">
        <f>+IFERROR(INDEX('Restaurant Base (Hidden)'!$A$2:$Z$1048576,MATCH($C49,'Restaurant Base (Hidden)'!$C$2:$C$1048576,0),MATCH(L$6,'Restaurant Base (Hidden)'!$A$1:$Z$1,0)),"")</f>
        <v>1</v>
      </c>
      <c r="M49" s="2" t="str">
        <f>+IFERROR(INDEX('Restaurant Base (Hidden)'!$A$2:$Z$1048576,MATCH($C49,'Restaurant Base (Hidden)'!$C$2:$C$1048576,0),MATCH(M$6,'Restaurant Base (Hidden)'!$A$1:$Z$1,0)),"")</f>
        <v/>
      </c>
      <c r="N49" s="234" t="str">
        <f>+IFERROR(INDEX('Restaurant Base (Hidden)'!$A$2:$Z$1048576,MATCH($C49,'Restaurant Base (Hidden)'!$C$2:$C$1048576,0),MATCH(N$6,'Restaurant Base (Hidden)'!$A$1:$Z$1,0)),"")</f>
        <v>67,60 %</v>
      </c>
      <c r="O49" s="1">
        <f>+IFERROR(INDEX('Restaurant Base (Hidden)'!$A$2:$Z$1048576,MATCH($C49,'Restaurant Base (Hidden)'!$C$2:$C$1048576,0),MATCH(O$6,'Restaurant Base (Hidden)'!$A$1:$Z$1,0)),"")</f>
        <v>3</v>
      </c>
      <c r="P49" s="2" t="str">
        <f>+IFERROR(INDEX('Restaurant Base (Hidden)'!$A$2:$Z$1048576,MATCH($C49,'Restaurant Base (Hidden)'!$C$2:$C$1048576,0),MATCH(P$6,'Restaurant Base (Hidden)'!$A$1:$Z$1,0)),"")</f>
        <v/>
      </c>
      <c r="Q49" s="234" t="str">
        <f>+IFERROR(INDEX('Restaurant Base (Hidden)'!$A$2:$Z$1048576,MATCH($C49,'Restaurant Base (Hidden)'!$C$2:$C$1048576,0),MATCH(Q$6,'Restaurant Base (Hidden)'!$A$1:$Z$1,0)),"")</f>
        <v>85,90 %</v>
      </c>
      <c r="R49" s="1">
        <f>+IFERROR(INDEX('Restaurant Base (Hidden)'!$A$2:$Z$1048576,MATCH($C49,'Restaurant Base (Hidden)'!$C$2:$C$1048576,0),MATCH(R$6,'Restaurant Base (Hidden)'!$A$1:$Z$1,0)),"")</f>
        <v>5</v>
      </c>
      <c r="S49" s="2" t="str">
        <f>+IFERROR(INDEX('Restaurant Base (Hidden)'!$A$2:$Z$1048576,MATCH($C49,'Restaurant Base (Hidden)'!$C$2:$C$1048576,0),MATCH(S$6,'Restaurant Base (Hidden)'!$A$1:$Z$1,0)),"")</f>
        <v/>
      </c>
      <c r="T49" s="62">
        <f>+IFERROR(INDEX('Restaurant Base (Hidden)'!$A$2:$Z$1048576,MATCH($C49,'Restaurant Base (Hidden)'!$C$2:$C$1048576,0),MATCH(T$6,'Restaurant Base (Hidden)'!$A$1:$Z$1,0)),"")</f>
        <v>72.8</v>
      </c>
      <c r="U49" s="1">
        <f>+IFERROR(INDEX('Restaurant Base (Hidden)'!$A$2:$Z$1048576,MATCH($C49,'Restaurant Base (Hidden)'!$C$2:$C$1048576,0),MATCH(U$6,'Restaurant Base (Hidden)'!$A$1:$Z$1,0)),"")</f>
        <v>5</v>
      </c>
      <c r="V49" s="2" t="str">
        <f>+IFERROR(INDEX('Restaurant Base (Hidden)'!$A$2:$Z$1048576,MATCH($C49,'Restaurant Base (Hidden)'!$C$2:$C$1048576,0),MATCH(V$6,'Restaurant Base (Hidden)'!$A$1:$Z$1,0)),"")</f>
        <v/>
      </c>
      <c r="W49" s="65" t="str">
        <f>+IFERROR(INDEX('Restaurant Base (Hidden)'!$A$2:$Z$1048576,MATCH($C49,'Restaurant Base (Hidden)'!$C$2:$C$1048576,0),MATCH(W$6,'Restaurant Base (Hidden)'!$A$1:$Z$1,0)),"")</f>
        <v>78,20 %</v>
      </c>
      <c r="X49" s="1">
        <f>+IFERROR(INDEX('Restaurant Base (Hidden)'!$A$2:$Z$1048576,MATCH($C49,'Restaurant Base (Hidden)'!$C$2:$C$1048576,0),MATCH(X$6,'Restaurant Base (Hidden)'!$A$1:$Z$1,0)),"")</f>
        <v>2</v>
      </c>
      <c r="Y49" s="65" t="str">
        <f>+IFERROR(INDEX('Restaurant Base (Hidden)'!$A$2:$Z$1048576,MATCH($C49,'Restaurant Base (Hidden)'!$C$2:$C$1048576,0),MATCH(Y$6,'Restaurant Base (Hidden)'!$A$1:$Z$1,0)),"")</f>
        <v>60,10 %</v>
      </c>
      <c r="Z49" s="106">
        <f>+IFERROR(INDEX('Restaurant Base (Hidden)'!$A$2:$Z$1048576,MATCH($C49,'Restaurant Base (Hidden)'!$C$2:$C$1048576,0),MATCH(Z$6,'Restaurant Base (Hidden)'!$A$1:$Z$1,0)),"")</f>
        <v>2</v>
      </c>
      <c r="AA49" s="65" t="str">
        <f>+IFERROR(INDEX('Restaurant Base (Hidden)'!$A$2:$Z$1048576,MATCH($C49,'Restaurant Base (Hidden)'!$C$2:$C$1048576,0),MATCH(AA$6,'Restaurant Base (Hidden)'!$A$1:$Z$1,0)),"")</f>
        <v>69,70 %</v>
      </c>
      <c r="AB49" s="1">
        <f>+IFERROR(INDEX('Restaurant Base (Hidden)'!$A$2:$Z$1048576,MATCH($C49,'Restaurant Base (Hidden)'!$C$2:$C$1048576,0),MATCH(AB$6,'Restaurant Base (Hidden)'!$A$1:$Z$1,0)),"")</f>
        <v>2</v>
      </c>
      <c r="AC49" s="20" t="str">
        <f>+IFERROR(INDEX('Restaurant Base (Hidden)'!$A$2:$Z$1048576,MATCH($C49,'Restaurant Base (Hidden)'!$C$2:$C$1048576,0),MATCH(AC$6,'Restaurant Base (Hidden)'!$A$1:$Z$1,0)),"")</f>
        <v/>
      </c>
      <c r="AD49" s="65" t="str">
        <f>+IFERROR(INDEX('Restaurant Base (Hidden)'!$A$2:$Z$1048576,MATCH($C49,'Restaurant Base (Hidden)'!$C$2:$C$1048576,0),MATCH(AD$6,'Restaurant Base (Hidden)'!$A$1:$Z$1,0)),"")</f>
        <v>89,60 %</v>
      </c>
      <c r="AE49" s="1">
        <f>+IFERROR(INDEX('Restaurant Base (Hidden)'!$A$2:$Z$1048576,MATCH($C49,'Restaurant Base (Hidden)'!$C$2:$C$1048576,0),MATCH(AE$6,'Restaurant Base (Hidden)'!$A$1:$Z$1,0)),"")</f>
        <v>4</v>
      </c>
      <c r="AF49" s="65" t="str">
        <f>+IFERROR(INDEX('Restaurant Base (Hidden)'!$A$2:$Z$1048576,MATCH($C49,'Restaurant Base (Hidden)'!$C$2:$C$1048576,0),MATCH(AF$6,'Restaurant Base (Hidden)'!$A$1:$Z$1,0)),"")</f>
        <v>94,30 %</v>
      </c>
      <c r="AG49" s="1">
        <f>+IFERROR(INDEX('Restaurant Base (Hidden)'!$A$2:$Z$1048576,MATCH($C49,'Restaurant Base (Hidden)'!$C$2:$C$1048576,0),MATCH(AG$6,'Restaurant Base (Hidden)'!$A$1:$Z$1,0)),"")</f>
        <v>4</v>
      </c>
    </row>
    <row r="50" spans="1:33" x14ac:dyDescent="0.4">
      <c r="A50" s="163" t="str">
        <f>IF('Restaurant Base (Hidden)'!A55=0,"", 'Restaurant Base (Hidden)'!A55)</f>
        <v>Dakota Cavendish</v>
      </c>
      <c r="B50" s="163" t="str">
        <f>IF('Restaurant Base (Hidden)'!B55=0,"", 'Restaurant Base (Hidden)'!B55)</f>
        <v>Clearview Dining Group</v>
      </c>
      <c r="C50" s="163" t="str">
        <f>IF('Restaurant Base (Hidden)'!C55=0,"", 'Restaurant Base (Hidden)'!C55)</f>
        <v>Golden Ridge</v>
      </c>
      <c r="D50" s="104">
        <f t="shared" si="0"/>
        <v>44</v>
      </c>
      <c r="E50" s="105">
        <f>+IFERROR(INDEX('Restaurant Base (Hidden)'!$A$2:$Z$1048576,MATCH($C50,'Restaurant Base (Hidden)'!$C$2:$C$1048576,0),MATCH(E$6,'Restaurant Base (Hidden)'!$A$1:$Z$1,0)),"")</f>
        <v>3.55</v>
      </c>
      <c r="F50" s="64" t="str">
        <f>+IFERROR(INDEX('Restaurant Base (Hidden)'!$A$2:$Z$1048576,MATCH($C50,'Restaurant Base (Hidden)'!$C$2:$C$1048576,0),MATCH(F$6,'Restaurant Base (Hidden)'!$A$1:$Z$1,0)),"")</f>
        <v/>
      </c>
      <c r="G50" s="20" t="str">
        <f>+IFERROR(INDEX('Restaurant Base (Hidden)'!$A$2:$Z$1048576,MATCH($C50,'Restaurant Base (Hidden)'!$C$2:$C$1048576,0),MATCH(G$6,'Restaurant Base (Hidden)'!$A$1:$Z$1,0)),"")</f>
        <v>4,475</v>
      </c>
      <c r="H50" s="50">
        <f>+IFERROR(INDEX('Restaurant Base (Hidden)'!$A$2:$Z$1048576,MATCH($C50,'Restaurant Base (Hidden)'!$C$2:$C$1048576,0),MATCH(H$6,'Restaurant Base (Hidden)'!$A$1:$Z$1,0)),"")</f>
        <v>4</v>
      </c>
      <c r="I50" s="20" t="str">
        <f>+IFERROR(INDEX('Restaurant Base (Hidden)'!$A$2:$Z$1048576,MATCH($C50,'Restaurant Base (Hidden)'!$C$2:$C$1048576,0),MATCH(I$6,'Restaurant Base (Hidden)'!$A$1:$Z$1,0)),"")</f>
        <v>93,40 %</v>
      </c>
      <c r="J50" s="49">
        <f>+IFERROR(INDEX('Restaurant Base (Hidden)'!$A$2:$Z$1048576,MATCH($C50,'Restaurant Base (Hidden)'!$C$2:$C$1048576,0),MATCH(J$6,'Restaurant Base (Hidden)'!$A$1:$Z$1,0)),"")</f>
        <v>4</v>
      </c>
      <c r="K50" s="20" t="str">
        <f>+IFERROR(INDEX('Restaurant Base (Hidden)'!$A$2:$Z$1048576,MATCH($C50,'Restaurant Base (Hidden)'!$C$2:$C$1048576,0),MATCH(K$6,'Restaurant Base (Hidden)'!$A$1:$Z$1,0)),"")</f>
        <v>0,086</v>
      </c>
      <c r="L50" s="51">
        <f>+IFERROR(INDEX('Restaurant Base (Hidden)'!$A$2:$Z$1048576,MATCH($C50,'Restaurant Base (Hidden)'!$C$2:$C$1048576,0),MATCH(L$6,'Restaurant Base (Hidden)'!$A$1:$Z$1,0)),"")</f>
        <v>4</v>
      </c>
      <c r="M50" s="2" t="str">
        <f>+IFERROR(INDEX('Restaurant Base (Hidden)'!$A$2:$Z$1048576,MATCH($C50,'Restaurant Base (Hidden)'!$C$2:$C$1048576,0),MATCH(M$6,'Restaurant Base (Hidden)'!$A$1:$Z$1,0)),"")</f>
        <v/>
      </c>
      <c r="N50" s="234" t="str">
        <f>+IFERROR(INDEX('Restaurant Base (Hidden)'!$A$2:$Z$1048576,MATCH($C50,'Restaurant Base (Hidden)'!$C$2:$C$1048576,0),MATCH(N$6,'Restaurant Base (Hidden)'!$A$1:$Z$1,0)),"")</f>
        <v>81,60 %</v>
      </c>
      <c r="O50" s="1">
        <f>+IFERROR(INDEX('Restaurant Base (Hidden)'!$A$2:$Z$1048576,MATCH($C50,'Restaurant Base (Hidden)'!$C$2:$C$1048576,0),MATCH(O$6,'Restaurant Base (Hidden)'!$A$1:$Z$1,0)),"")</f>
        <v>5</v>
      </c>
      <c r="P50" s="2" t="str">
        <f>+IFERROR(INDEX('Restaurant Base (Hidden)'!$A$2:$Z$1048576,MATCH($C50,'Restaurant Base (Hidden)'!$C$2:$C$1048576,0),MATCH(P$6,'Restaurant Base (Hidden)'!$A$1:$Z$1,0)),"")</f>
        <v/>
      </c>
      <c r="Q50" s="234" t="str">
        <f>+IFERROR(INDEX('Restaurant Base (Hidden)'!$A$2:$Z$1048576,MATCH($C50,'Restaurant Base (Hidden)'!$C$2:$C$1048576,0),MATCH(Q$6,'Restaurant Base (Hidden)'!$A$1:$Z$1,0)),"")</f>
        <v>78,00 %</v>
      </c>
      <c r="R50" s="1">
        <f>+IFERROR(INDEX('Restaurant Base (Hidden)'!$A$2:$Z$1048576,MATCH($C50,'Restaurant Base (Hidden)'!$C$2:$C$1048576,0),MATCH(R$6,'Restaurant Base (Hidden)'!$A$1:$Z$1,0)),"")</f>
        <v>5</v>
      </c>
      <c r="S50" s="2" t="str">
        <f>+IFERROR(INDEX('Restaurant Base (Hidden)'!$A$2:$Z$1048576,MATCH($C50,'Restaurant Base (Hidden)'!$C$2:$C$1048576,0),MATCH(S$6,'Restaurant Base (Hidden)'!$A$1:$Z$1,0)),"")</f>
        <v/>
      </c>
      <c r="T50" s="62">
        <f>+IFERROR(INDEX('Restaurant Base (Hidden)'!$A$2:$Z$1048576,MATCH($C50,'Restaurant Base (Hidden)'!$C$2:$C$1048576,0),MATCH(T$6,'Restaurant Base (Hidden)'!$A$1:$Z$1,0)),"")</f>
        <v>72.5</v>
      </c>
      <c r="U50" s="1">
        <f>+IFERROR(INDEX('Restaurant Base (Hidden)'!$A$2:$Z$1048576,MATCH($C50,'Restaurant Base (Hidden)'!$C$2:$C$1048576,0),MATCH(U$6,'Restaurant Base (Hidden)'!$A$1:$Z$1,0)),"")</f>
        <v>5</v>
      </c>
      <c r="V50" s="2" t="str">
        <f>+IFERROR(INDEX('Restaurant Base (Hidden)'!$A$2:$Z$1048576,MATCH($C50,'Restaurant Base (Hidden)'!$C$2:$C$1048576,0),MATCH(V$6,'Restaurant Base (Hidden)'!$A$1:$Z$1,0)),"")</f>
        <v/>
      </c>
      <c r="W50" s="65" t="str">
        <f>+IFERROR(INDEX('Restaurant Base (Hidden)'!$A$2:$Z$1048576,MATCH($C50,'Restaurant Base (Hidden)'!$C$2:$C$1048576,0),MATCH(W$6,'Restaurant Base (Hidden)'!$A$1:$Z$1,0)),"")</f>
        <v>82,70 %</v>
      </c>
      <c r="X50" s="1">
        <f>+IFERROR(INDEX('Restaurant Base (Hidden)'!$A$2:$Z$1048576,MATCH($C50,'Restaurant Base (Hidden)'!$C$2:$C$1048576,0),MATCH(X$6,'Restaurant Base (Hidden)'!$A$1:$Z$1,0)),"")</f>
        <v>3</v>
      </c>
      <c r="Y50" s="65" t="str">
        <f>+IFERROR(INDEX('Restaurant Base (Hidden)'!$A$2:$Z$1048576,MATCH($C50,'Restaurant Base (Hidden)'!$C$2:$C$1048576,0),MATCH(Y$6,'Restaurant Base (Hidden)'!$A$1:$Z$1,0)),"")</f>
        <v>61,30 %</v>
      </c>
      <c r="Z50" s="106">
        <f>+IFERROR(INDEX('Restaurant Base (Hidden)'!$A$2:$Z$1048576,MATCH($C50,'Restaurant Base (Hidden)'!$C$2:$C$1048576,0),MATCH(Z$6,'Restaurant Base (Hidden)'!$A$1:$Z$1,0)),"")</f>
        <v>2</v>
      </c>
      <c r="AA50" s="65" t="str">
        <f>+IFERROR(INDEX('Restaurant Base (Hidden)'!$A$2:$Z$1048576,MATCH($C50,'Restaurant Base (Hidden)'!$C$2:$C$1048576,0),MATCH(AA$6,'Restaurant Base (Hidden)'!$A$1:$Z$1,0)),"")</f>
        <v>72,10 %</v>
      </c>
      <c r="AB50" s="1">
        <f>+IFERROR(INDEX('Restaurant Base (Hidden)'!$A$2:$Z$1048576,MATCH($C50,'Restaurant Base (Hidden)'!$C$2:$C$1048576,0),MATCH(AB$6,'Restaurant Base (Hidden)'!$A$1:$Z$1,0)),"")</f>
        <v>2</v>
      </c>
      <c r="AC50" s="20" t="str">
        <f>+IFERROR(INDEX('Restaurant Base (Hidden)'!$A$2:$Z$1048576,MATCH($C50,'Restaurant Base (Hidden)'!$C$2:$C$1048576,0),MATCH(AC$6,'Restaurant Base (Hidden)'!$A$1:$Z$1,0)),"")</f>
        <v/>
      </c>
      <c r="AD50" s="65" t="str">
        <f>+IFERROR(INDEX('Restaurant Base (Hidden)'!$A$2:$Z$1048576,MATCH($C50,'Restaurant Base (Hidden)'!$C$2:$C$1048576,0),MATCH(AD$6,'Restaurant Base (Hidden)'!$A$1:$Z$1,0)),"")</f>
        <v>60,40 %</v>
      </c>
      <c r="AE50" s="1">
        <f>+IFERROR(INDEX('Restaurant Base (Hidden)'!$A$2:$Z$1048576,MATCH($C50,'Restaurant Base (Hidden)'!$C$2:$C$1048576,0),MATCH(AE$6,'Restaurant Base (Hidden)'!$A$1:$Z$1,0)),"")</f>
        <v>1</v>
      </c>
      <c r="AF50" s="65" t="str">
        <f>+IFERROR(INDEX('Restaurant Base (Hidden)'!$A$2:$Z$1048576,MATCH($C50,'Restaurant Base (Hidden)'!$C$2:$C$1048576,0),MATCH(AF$6,'Restaurant Base (Hidden)'!$A$1:$Z$1,0)),"")</f>
        <v>55,20 %</v>
      </c>
      <c r="AG50" s="1">
        <f>+IFERROR(INDEX('Restaurant Base (Hidden)'!$A$2:$Z$1048576,MATCH($C50,'Restaurant Base (Hidden)'!$C$2:$C$1048576,0),MATCH(AG$6,'Restaurant Base (Hidden)'!$A$1:$Z$1,0)),"")</f>
        <v>1</v>
      </c>
    </row>
    <row r="51" spans="1:33" x14ac:dyDescent="0.4">
      <c r="A51" s="163" t="str">
        <f>IF('Restaurant Base (Hidden)'!A207=0,"", 'Restaurant Base (Hidden)'!A207)</f>
        <v>Casey Briarwood</v>
      </c>
      <c r="B51" s="163" t="str">
        <f>IF('Restaurant Base (Hidden)'!B207=0,"", 'Restaurant Base (Hidden)'!B207)</f>
        <v>Brightfield Dining</v>
      </c>
      <c r="C51" s="163" t="str">
        <f>IF('Restaurant Base (Hidden)'!C207=0,"", 'Restaurant Base (Hidden)'!C207)</f>
        <v>Harbor Point</v>
      </c>
      <c r="D51" s="104">
        <f t="shared" si="0"/>
        <v>44</v>
      </c>
      <c r="E51" s="105">
        <f>+IFERROR(INDEX('Restaurant Base (Hidden)'!$A$2:$Z$1048576,MATCH($C51,'Restaurant Base (Hidden)'!$C$2:$C$1048576,0),MATCH(E$6,'Restaurant Base (Hidden)'!$A$1:$Z$1,0)),"")</f>
        <v>3.55</v>
      </c>
      <c r="F51" s="2" t="str">
        <f>+IFERROR(INDEX('Restaurant Base (Hidden)'!$A$2:$Z$1048576,MATCH($C51,'Restaurant Base (Hidden)'!$C$2:$C$1048576,0),MATCH(F$6,'Restaurant Base (Hidden)'!$A$1:$Z$1,0)),"")</f>
        <v/>
      </c>
      <c r="G51" s="20" t="str">
        <f>+IFERROR(INDEX('Restaurant Base (Hidden)'!$A$2:$Z$1048576,MATCH($C51,'Restaurant Base (Hidden)'!$C$2:$C$1048576,0),MATCH(G$6,'Restaurant Base (Hidden)'!$A$1:$Z$1,0)),"")</f>
        <v>4,524</v>
      </c>
      <c r="H51" s="50">
        <f>+IFERROR(INDEX('Restaurant Base (Hidden)'!$A$2:$Z$1048576,MATCH($C51,'Restaurant Base (Hidden)'!$C$2:$C$1048576,0),MATCH(H$6,'Restaurant Base (Hidden)'!$A$1:$Z$1,0)),"")</f>
        <v>5</v>
      </c>
      <c r="I51" s="20" t="str">
        <f>+IFERROR(INDEX('Restaurant Base (Hidden)'!$A$2:$Z$1048576,MATCH($C51,'Restaurant Base (Hidden)'!$C$2:$C$1048576,0),MATCH(I$6,'Restaurant Base (Hidden)'!$A$1:$Z$1,0)),"")</f>
        <v>79,70 %</v>
      </c>
      <c r="J51" s="49">
        <f>+IFERROR(INDEX('Restaurant Base (Hidden)'!$A$2:$Z$1048576,MATCH($C51,'Restaurant Base (Hidden)'!$C$2:$C$1048576,0),MATCH(J$6,'Restaurant Base (Hidden)'!$A$1:$Z$1,0)),"")</f>
        <v>2</v>
      </c>
      <c r="K51" s="20" t="str">
        <f>+IFERROR(INDEX('Restaurant Base (Hidden)'!$A$2:$Z$1048576,MATCH($C51,'Restaurant Base (Hidden)'!$C$2:$C$1048576,0),MATCH(K$6,'Restaurant Base (Hidden)'!$A$1:$Z$1,0)),"")</f>
        <v>0,049</v>
      </c>
      <c r="L51" s="51">
        <f>+IFERROR(INDEX('Restaurant Base (Hidden)'!$A$2:$Z$1048576,MATCH($C51,'Restaurant Base (Hidden)'!$C$2:$C$1048576,0),MATCH(L$6,'Restaurant Base (Hidden)'!$A$1:$Z$1,0)),"")</f>
        <v>5</v>
      </c>
      <c r="M51" s="2" t="str">
        <f>+IFERROR(INDEX('Restaurant Base (Hidden)'!$A$2:$Z$1048576,MATCH($C51,'Restaurant Base (Hidden)'!$C$2:$C$1048576,0),MATCH(M$6,'Restaurant Base (Hidden)'!$A$1:$Z$1,0)),"")</f>
        <v/>
      </c>
      <c r="N51" s="234" t="str">
        <f>+IFERROR(INDEX('Restaurant Base (Hidden)'!$A$2:$Z$1048576,MATCH($C51,'Restaurant Base (Hidden)'!$C$2:$C$1048576,0),MATCH(N$6,'Restaurant Base (Hidden)'!$A$1:$Z$1,0)),"")</f>
        <v>82,00 %</v>
      </c>
      <c r="O51" s="1">
        <f>+IFERROR(INDEX('Restaurant Base (Hidden)'!$A$2:$Z$1048576,MATCH($C51,'Restaurant Base (Hidden)'!$C$2:$C$1048576,0),MATCH(O$6,'Restaurant Base (Hidden)'!$A$1:$Z$1,0)),"")</f>
        <v>5</v>
      </c>
      <c r="P51" s="2" t="str">
        <f>+IFERROR(INDEX('Restaurant Base (Hidden)'!$A$2:$Z$1048576,MATCH($C51,'Restaurant Base (Hidden)'!$C$2:$C$1048576,0),MATCH(P$6,'Restaurant Base (Hidden)'!$A$1:$Z$1,0)),"")</f>
        <v/>
      </c>
      <c r="Q51" s="234" t="str">
        <f>+IFERROR(INDEX('Restaurant Base (Hidden)'!$A$2:$Z$1048576,MATCH($C51,'Restaurant Base (Hidden)'!$C$2:$C$1048576,0),MATCH(Q$6,'Restaurant Base (Hidden)'!$A$1:$Z$1,0)),"")</f>
        <v>75,00 %</v>
      </c>
      <c r="R51" s="1">
        <f>+IFERROR(INDEX('Restaurant Base (Hidden)'!$A$2:$Z$1048576,MATCH($C51,'Restaurant Base (Hidden)'!$C$2:$C$1048576,0),MATCH(R$6,'Restaurant Base (Hidden)'!$A$1:$Z$1,0)),"")</f>
        <v>5</v>
      </c>
      <c r="S51" s="2" t="str">
        <f>+IFERROR(INDEX('Restaurant Base (Hidden)'!$A$2:$Z$1048576,MATCH($C51,'Restaurant Base (Hidden)'!$C$2:$C$1048576,0),MATCH(S$6,'Restaurant Base (Hidden)'!$A$1:$Z$1,0)),"")</f>
        <v/>
      </c>
      <c r="T51" s="62">
        <f>+IFERROR(INDEX('Restaurant Base (Hidden)'!$A$2:$Z$1048576,MATCH($C51,'Restaurant Base (Hidden)'!$C$2:$C$1048576,0),MATCH(T$6,'Restaurant Base (Hidden)'!$A$1:$Z$1,0)),"")</f>
        <v>71.7</v>
      </c>
      <c r="U51" s="1">
        <f>+IFERROR(INDEX('Restaurant Base (Hidden)'!$A$2:$Z$1048576,MATCH($C51,'Restaurant Base (Hidden)'!$C$2:$C$1048576,0),MATCH(U$6,'Restaurant Base (Hidden)'!$A$1:$Z$1,0)),"")</f>
        <v>5</v>
      </c>
      <c r="V51" s="2" t="str">
        <f>+IFERROR(INDEX('Restaurant Base (Hidden)'!$A$2:$Z$1048576,MATCH($C51,'Restaurant Base (Hidden)'!$C$2:$C$1048576,0),MATCH(V$6,'Restaurant Base (Hidden)'!$A$1:$Z$1,0)),"")</f>
        <v/>
      </c>
      <c r="W51" s="65" t="str">
        <f>+IFERROR(INDEX('Restaurant Base (Hidden)'!$A$2:$Z$1048576,MATCH($C51,'Restaurant Base (Hidden)'!$C$2:$C$1048576,0),MATCH(W$6,'Restaurant Base (Hidden)'!$A$1:$Z$1,0)),"")</f>
        <v>84,70 %</v>
      </c>
      <c r="X51" s="1">
        <f>+IFERROR(INDEX('Restaurant Base (Hidden)'!$A$2:$Z$1048576,MATCH($C51,'Restaurant Base (Hidden)'!$C$2:$C$1048576,0),MATCH(X$6,'Restaurant Base (Hidden)'!$A$1:$Z$1,0)),"")</f>
        <v>3</v>
      </c>
      <c r="Y51" s="65" t="str">
        <f>+IFERROR(INDEX('Restaurant Base (Hidden)'!$A$2:$Z$1048576,MATCH($C51,'Restaurant Base (Hidden)'!$C$2:$C$1048576,0),MATCH(Y$6,'Restaurant Base (Hidden)'!$A$1:$Z$1,0)),"")</f>
        <v>67,40 %</v>
      </c>
      <c r="Z51" s="106">
        <f>+IFERROR(INDEX('Restaurant Base (Hidden)'!$A$2:$Z$1048576,MATCH($C51,'Restaurant Base (Hidden)'!$C$2:$C$1048576,0),MATCH(Z$6,'Restaurant Base (Hidden)'!$A$1:$Z$1,0)),"")</f>
        <v>2</v>
      </c>
      <c r="AA51" s="65" t="str">
        <f>+IFERROR(INDEX('Restaurant Base (Hidden)'!$A$2:$Z$1048576,MATCH($C51,'Restaurant Base (Hidden)'!$C$2:$C$1048576,0),MATCH(AA$6,'Restaurant Base (Hidden)'!$A$1:$Z$1,0)),"")</f>
        <v>82,20 %</v>
      </c>
      <c r="AB51" s="1">
        <f>+IFERROR(INDEX('Restaurant Base (Hidden)'!$A$2:$Z$1048576,MATCH($C51,'Restaurant Base (Hidden)'!$C$2:$C$1048576,0),MATCH(AB$6,'Restaurant Base (Hidden)'!$A$1:$Z$1,0)),"")</f>
        <v>2</v>
      </c>
      <c r="AC51" s="20" t="str">
        <f>+IFERROR(INDEX('Restaurant Base (Hidden)'!$A$2:$Z$1048576,MATCH($C51,'Restaurant Base (Hidden)'!$C$2:$C$1048576,0),MATCH(AC$6,'Restaurant Base (Hidden)'!$A$1:$Z$1,0)),"")</f>
        <v/>
      </c>
      <c r="AD51" s="65" t="str">
        <f>+IFERROR(INDEX('Restaurant Base (Hidden)'!$A$2:$Z$1048576,MATCH($C51,'Restaurant Base (Hidden)'!$C$2:$C$1048576,0),MATCH(AD$6,'Restaurant Base (Hidden)'!$A$1:$Z$1,0)),"")</f>
        <v>69,00 %</v>
      </c>
      <c r="AE51" s="1">
        <f>+IFERROR(INDEX('Restaurant Base (Hidden)'!$A$2:$Z$1048576,MATCH($C51,'Restaurant Base (Hidden)'!$C$2:$C$1048576,0),MATCH(AE$6,'Restaurant Base (Hidden)'!$A$1:$Z$1,0)),"")</f>
        <v>1</v>
      </c>
      <c r="AF51" s="65" t="str">
        <f>+IFERROR(INDEX('Restaurant Base (Hidden)'!$A$2:$Z$1048576,MATCH($C51,'Restaurant Base (Hidden)'!$C$2:$C$1048576,0),MATCH(AF$6,'Restaurant Base (Hidden)'!$A$1:$Z$1,0)),"")</f>
        <v>75,10 %</v>
      </c>
      <c r="AG51" s="1">
        <f>+IFERROR(INDEX('Restaurant Base (Hidden)'!$A$2:$Z$1048576,MATCH($C51,'Restaurant Base (Hidden)'!$C$2:$C$1048576,0),MATCH(AG$6,'Restaurant Base (Hidden)'!$A$1:$Z$1,0)),"")</f>
        <v>2</v>
      </c>
    </row>
    <row r="52" spans="1:33" x14ac:dyDescent="0.4">
      <c r="A52" s="163" t="str">
        <f>IF('Restaurant Base (Hidden)'!A238=0,"", 'Restaurant Base (Hidden)'!A238)</f>
        <v>Drew Fairbourne</v>
      </c>
      <c r="B52" s="163" t="str">
        <f>IF('Restaurant Base (Hidden)'!B238=0,"", 'Restaurant Base (Hidden)'!B238)</f>
        <v>Havenbrook Restaurants</v>
      </c>
      <c r="C52" s="163" t="str">
        <f>IF('Restaurant Base (Hidden)'!C238=0,"", 'Restaurant Base (Hidden)'!C238)</f>
        <v>Evergreen Meadows</v>
      </c>
      <c r="D52" s="104">
        <f t="shared" si="0"/>
        <v>44</v>
      </c>
      <c r="E52" s="105">
        <f>+IFERROR(INDEX('Restaurant Base (Hidden)'!$A$2:$Z$1048576,MATCH($C52,'Restaurant Base (Hidden)'!$C$2:$C$1048576,0),MATCH(E$6,'Restaurant Base (Hidden)'!$A$1:$Z$1,0)),"")</f>
        <v>3.55</v>
      </c>
      <c r="F52" s="2" t="str">
        <f>+IFERROR(INDEX('Restaurant Base (Hidden)'!$A$2:$Z$1048576,MATCH($C52,'Restaurant Base (Hidden)'!$C$2:$C$1048576,0),MATCH(F$6,'Restaurant Base (Hidden)'!$A$1:$Z$1,0)),"")</f>
        <v/>
      </c>
      <c r="G52" s="20" t="str">
        <f>+IFERROR(INDEX('Restaurant Base (Hidden)'!$A$2:$Z$1048576,MATCH($C52,'Restaurant Base (Hidden)'!$C$2:$C$1048576,0),MATCH(G$6,'Restaurant Base (Hidden)'!$A$1:$Z$1,0)),"")</f>
        <v>4,274</v>
      </c>
      <c r="H52" s="50">
        <f>+IFERROR(INDEX('Restaurant Base (Hidden)'!$A$2:$Z$1048576,MATCH($C52,'Restaurant Base (Hidden)'!$C$2:$C$1048576,0),MATCH(H$6,'Restaurant Base (Hidden)'!$A$1:$Z$1,0)),"")</f>
        <v>3</v>
      </c>
      <c r="I52" s="20" t="str">
        <f>+IFERROR(INDEX('Restaurant Base (Hidden)'!$A$2:$Z$1048576,MATCH($C52,'Restaurant Base (Hidden)'!$C$2:$C$1048576,0),MATCH(I$6,'Restaurant Base (Hidden)'!$A$1:$Z$1,0)),"")</f>
        <v>85,90 %</v>
      </c>
      <c r="J52" s="49">
        <f>+IFERROR(INDEX('Restaurant Base (Hidden)'!$A$2:$Z$1048576,MATCH($C52,'Restaurant Base (Hidden)'!$C$2:$C$1048576,0),MATCH(J$6,'Restaurant Base (Hidden)'!$A$1:$Z$1,0)),"")</f>
        <v>3</v>
      </c>
      <c r="K52" s="20" t="str">
        <f>+IFERROR(INDEX('Restaurant Base (Hidden)'!$A$2:$Z$1048576,MATCH($C52,'Restaurant Base (Hidden)'!$C$2:$C$1048576,0),MATCH(K$6,'Restaurant Base (Hidden)'!$A$1:$Z$1,0)),"")</f>
        <v>0,175</v>
      </c>
      <c r="L52" s="51">
        <f>+IFERROR(INDEX('Restaurant Base (Hidden)'!$A$2:$Z$1048576,MATCH($C52,'Restaurant Base (Hidden)'!$C$2:$C$1048576,0),MATCH(L$6,'Restaurant Base (Hidden)'!$A$1:$Z$1,0)),"")</f>
        <v>2</v>
      </c>
      <c r="M52" s="2" t="str">
        <f>+IFERROR(INDEX('Restaurant Base (Hidden)'!$A$2:$Z$1048576,MATCH($C52,'Restaurant Base (Hidden)'!$C$2:$C$1048576,0),MATCH(M$6,'Restaurant Base (Hidden)'!$A$1:$Z$1,0)),"")</f>
        <v/>
      </c>
      <c r="N52" s="234" t="str">
        <f>+IFERROR(INDEX('Restaurant Base (Hidden)'!$A$2:$Z$1048576,MATCH($C52,'Restaurant Base (Hidden)'!$C$2:$C$1048576,0),MATCH(N$6,'Restaurant Base (Hidden)'!$A$1:$Z$1,0)),"")</f>
        <v>75,10 %</v>
      </c>
      <c r="O52" s="1">
        <f>+IFERROR(INDEX('Restaurant Base (Hidden)'!$A$2:$Z$1048576,MATCH($C52,'Restaurant Base (Hidden)'!$C$2:$C$1048576,0),MATCH(O$6,'Restaurant Base (Hidden)'!$A$1:$Z$1,0)),"")</f>
        <v>5</v>
      </c>
      <c r="P52" s="2" t="str">
        <f>+IFERROR(INDEX('Restaurant Base (Hidden)'!$A$2:$Z$1048576,MATCH($C52,'Restaurant Base (Hidden)'!$C$2:$C$1048576,0),MATCH(P$6,'Restaurant Base (Hidden)'!$A$1:$Z$1,0)),"")</f>
        <v/>
      </c>
      <c r="Q52" s="234" t="str">
        <f>+IFERROR(INDEX('Restaurant Base (Hidden)'!$A$2:$Z$1048576,MATCH($C52,'Restaurant Base (Hidden)'!$C$2:$C$1048576,0),MATCH(Q$6,'Restaurant Base (Hidden)'!$A$1:$Z$1,0)),"")</f>
        <v>76,20 %</v>
      </c>
      <c r="R52" s="1">
        <f>+IFERROR(INDEX('Restaurant Base (Hidden)'!$A$2:$Z$1048576,MATCH($C52,'Restaurant Base (Hidden)'!$C$2:$C$1048576,0),MATCH(R$6,'Restaurant Base (Hidden)'!$A$1:$Z$1,0)),"")</f>
        <v>5</v>
      </c>
      <c r="S52" s="2" t="str">
        <f>+IFERROR(INDEX('Restaurant Base (Hidden)'!$A$2:$Z$1048576,MATCH($C52,'Restaurant Base (Hidden)'!$C$2:$C$1048576,0),MATCH(S$6,'Restaurant Base (Hidden)'!$A$1:$Z$1,0)),"")</f>
        <v/>
      </c>
      <c r="T52" s="62">
        <f>+IFERROR(INDEX('Restaurant Base (Hidden)'!$A$2:$Z$1048576,MATCH($C52,'Restaurant Base (Hidden)'!$C$2:$C$1048576,0),MATCH(T$6,'Restaurant Base (Hidden)'!$A$1:$Z$1,0)),"")</f>
        <v>73</v>
      </c>
      <c r="U52" s="1">
        <f>+IFERROR(INDEX('Restaurant Base (Hidden)'!$A$2:$Z$1048576,MATCH($C52,'Restaurant Base (Hidden)'!$C$2:$C$1048576,0),MATCH(U$6,'Restaurant Base (Hidden)'!$A$1:$Z$1,0)),"")</f>
        <v>5</v>
      </c>
      <c r="V52" s="2" t="str">
        <f>+IFERROR(INDEX('Restaurant Base (Hidden)'!$A$2:$Z$1048576,MATCH($C52,'Restaurant Base (Hidden)'!$C$2:$C$1048576,0),MATCH(V$6,'Restaurant Base (Hidden)'!$A$1:$Z$1,0)),"")</f>
        <v/>
      </c>
      <c r="W52" s="65" t="str">
        <f>+IFERROR(INDEX('Restaurant Base (Hidden)'!$A$2:$Z$1048576,MATCH($C52,'Restaurant Base (Hidden)'!$C$2:$C$1048576,0),MATCH(W$6,'Restaurant Base (Hidden)'!$A$1:$Z$1,0)),"")</f>
        <v>77,10 %</v>
      </c>
      <c r="X52" s="1">
        <f>+IFERROR(INDEX('Restaurant Base (Hidden)'!$A$2:$Z$1048576,MATCH($C52,'Restaurant Base (Hidden)'!$C$2:$C$1048576,0),MATCH(X$6,'Restaurant Base (Hidden)'!$A$1:$Z$1,0)),"")</f>
        <v>2</v>
      </c>
      <c r="Y52" s="65" t="str">
        <f>+IFERROR(INDEX('Restaurant Base (Hidden)'!$A$2:$Z$1048576,MATCH($C52,'Restaurant Base (Hidden)'!$C$2:$C$1048576,0),MATCH(Y$6,'Restaurant Base (Hidden)'!$A$1:$Z$1,0)),"")</f>
        <v>58,80 %</v>
      </c>
      <c r="Z52" s="106">
        <f>+IFERROR(INDEX('Restaurant Base (Hidden)'!$A$2:$Z$1048576,MATCH($C52,'Restaurant Base (Hidden)'!$C$2:$C$1048576,0),MATCH(Z$6,'Restaurant Base (Hidden)'!$A$1:$Z$1,0)),"")</f>
        <v>1</v>
      </c>
      <c r="AA52" s="65" t="str">
        <f>+IFERROR(INDEX('Restaurant Base (Hidden)'!$A$2:$Z$1048576,MATCH($C52,'Restaurant Base (Hidden)'!$C$2:$C$1048576,0),MATCH(AA$6,'Restaurant Base (Hidden)'!$A$1:$Z$1,0)),"")</f>
        <v>96,00 %</v>
      </c>
      <c r="AB52" s="1">
        <f>+IFERROR(INDEX('Restaurant Base (Hidden)'!$A$2:$Z$1048576,MATCH($C52,'Restaurant Base (Hidden)'!$C$2:$C$1048576,0),MATCH(AB$6,'Restaurant Base (Hidden)'!$A$1:$Z$1,0)),"")</f>
        <v>4</v>
      </c>
      <c r="AC52" s="20" t="str">
        <f>+IFERROR(INDEX('Restaurant Base (Hidden)'!$A$2:$Z$1048576,MATCH($C52,'Restaurant Base (Hidden)'!$C$2:$C$1048576,0),MATCH(AC$6,'Restaurant Base (Hidden)'!$A$1:$Z$1,0)),"")</f>
        <v/>
      </c>
      <c r="AD52" s="65" t="str">
        <f>+IFERROR(INDEX('Restaurant Base (Hidden)'!$A$2:$Z$1048576,MATCH($C52,'Restaurant Base (Hidden)'!$C$2:$C$1048576,0),MATCH(AD$6,'Restaurant Base (Hidden)'!$A$1:$Z$1,0)),"")</f>
        <v>57,70 %</v>
      </c>
      <c r="AE52" s="1">
        <f>+IFERROR(INDEX('Restaurant Base (Hidden)'!$A$2:$Z$1048576,MATCH($C52,'Restaurant Base (Hidden)'!$C$2:$C$1048576,0),MATCH(AE$6,'Restaurant Base (Hidden)'!$A$1:$Z$1,0)),"")</f>
        <v>1</v>
      </c>
      <c r="AF52" s="65" t="str">
        <f>+IFERROR(INDEX('Restaurant Base (Hidden)'!$A$2:$Z$1048576,MATCH($C52,'Restaurant Base (Hidden)'!$C$2:$C$1048576,0),MATCH(AF$6,'Restaurant Base (Hidden)'!$A$1:$Z$1,0)),"")</f>
        <v>96,60 %</v>
      </c>
      <c r="AG52" s="1">
        <f>+IFERROR(INDEX('Restaurant Base (Hidden)'!$A$2:$Z$1048576,MATCH($C52,'Restaurant Base (Hidden)'!$C$2:$C$1048576,0),MATCH(AG$6,'Restaurant Base (Hidden)'!$A$1:$Z$1,0)),"")</f>
        <v>4</v>
      </c>
    </row>
    <row r="53" spans="1:33" x14ac:dyDescent="0.4">
      <c r="A53" s="163" t="str">
        <f>IF('Restaurant Base (Hidden)'!A329=0,"", 'Restaurant Base (Hidden)'!A329)</f>
        <v>Hayden Merriton</v>
      </c>
      <c r="B53" s="163" t="str">
        <f>IF('Restaurant Base (Hidden)'!B329=0,"", 'Restaurant Base (Hidden)'!B329)</f>
        <v>Rivermark Food Group</v>
      </c>
      <c r="C53" s="163" t="str">
        <f>IF('Restaurant Base (Hidden)'!C329=0,"", 'Restaurant Base (Hidden)'!C329)</f>
        <v>Elm Plaza</v>
      </c>
      <c r="D53" s="104">
        <f t="shared" si="0"/>
        <v>44</v>
      </c>
      <c r="E53" s="105">
        <f>+IFERROR(INDEX('Restaurant Base (Hidden)'!$A$2:$Z$1048576,MATCH($C53,'Restaurant Base (Hidden)'!$C$2:$C$1048576,0),MATCH(E$6,'Restaurant Base (Hidden)'!$A$1:$Z$1,0)),"")</f>
        <v>3.55</v>
      </c>
      <c r="F53" s="2" t="str">
        <f>+IFERROR(INDEX('Restaurant Base (Hidden)'!$A$2:$Z$1048576,MATCH($C53,'Restaurant Base (Hidden)'!$C$2:$C$1048576,0),MATCH(F$6,'Restaurant Base (Hidden)'!$A$1:$Z$1,0)),"")</f>
        <v/>
      </c>
      <c r="G53" s="20" t="str">
        <f>+IFERROR(INDEX('Restaurant Base (Hidden)'!$A$2:$Z$1048576,MATCH($C53,'Restaurant Base (Hidden)'!$C$2:$C$1048576,0),MATCH(G$6,'Restaurant Base (Hidden)'!$A$1:$Z$1,0)),"")</f>
        <v>4,147</v>
      </c>
      <c r="H53" s="50">
        <f>+IFERROR(INDEX('Restaurant Base (Hidden)'!$A$2:$Z$1048576,MATCH($C53,'Restaurant Base (Hidden)'!$C$2:$C$1048576,0),MATCH(H$6,'Restaurant Base (Hidden)'!$A$1:$Z$1,0)),"")</f>
        <v>2</v>
      </c>
      <c r="I53" s="20" t="str">
        <f>+IFERROR(INDEX('Restaurant Base (Hidden)'!$A$2:$Z$1048576,MATCH($C53,'Restaurant Base (Hidden)'!$C$2:$C$1048576,0),MATCH(I$6,'Restaurant Base (Hidden)'!$A$1:$Z$1,0)),"")</f>
        <v>99,30 %</v>
      </c>
      <c r="J53" s="49">
        <f>+IFERROR(INDEX('Restaurant Base (Hidden)'!$A$2:$Z$1048576,MATCH($C53,'Restaurant Base (Hidden)'!$C$2:$C$1048576,0),MATCH(J$6,'Restaurant Base (Hidden)'!$A$1:$Z$1,0)),"")</f>
        <v>5</v>
      </c>
      <c r="K53" s="20" t="str">
        <f>+IFERROR(INDEX('Restaurant Base (Hidden)'!$A$2:$Z$1048576,MATCH($C53,'Restaurant Base (Hidden)'!$C$2:$C$1048576,0),MATCH(K$6,'Restaurant Base (Hidden)'!$A$1:$Z$1,0)),"")</f>
        <v>0,073</v>
      </c>
      <c r="L53" s="51">
        <f>+IFERROR(INDEX('Restaurant Base (Hidden)'!$A$2:$Z$1048576,MATCH($C53,'Restaurant Base (Hidden)'!$C$2:$C$1048576,0),MATCH(L$6,'Restaurant Base (Hidden)'!$A$1:$Z$1,0)),"")</f>
        <v>4</v>
      </c>
      <c r="M53" s="2" t="str">
        <f>+IFERROR(INDEX('Restaurant Base (Hidden)'!$A$2:$Z$1048576,MATCH($C53,'Restaurant Base (Hidden)'!$C$2:$C$1048576,0),MATCH(M$6,'Restaurant Base (Hidden)'!$A$1:$Z$1,0)),"")</f>
        <v/>
      </c>
      <c r="N53" s="234" t="str">
        <f>+IFERROR(INDEX('Restaurant Base (Hidden)'!$A$2:$Z$1048576,MATCH($C53,'Restaurant Base (Hidden)'!$C$2:$C$1048576,0),MATCH(N$6,'Restaurant Base (Hidden)'!$A$1:$Z$1,0)),"")</f>
        <v>82,70 %</v>
      </c>
      <c r="O53" s="1">
        <f>+IFERROR(INDEX('Restaurant Base (Hidden)'!$A$2:$Z$1048576,MATCH($C53,'Restaurant Base (Hidden)'!$C$2:$C$1048576,0),MATCH(O$6,'Restaurant Base (Hidden)'!$A$1:$Z$1,0)),"")</f>
        <v>5</v>
      </c>
      <c r="P53" s="2" t="str">
        <f>+IFERROR(INDEX('Restaurant Base (Hidden)'!$A$2:$Z$1048576,MATCH($C53,'Restaurant Base (Hidden)'!$C$2:$C$1048576,0),MATCH(P$6,'Restaurant Base (Hidden)'!$A$1:$Z$1,0)),"")</f>
        <v/>
      </c>
      <c r="Q53" s="234" t="str">
        <f>+IFERROR(INDEX('Restaurant Base (Hidden)'!$A$2:$Z$1048576,MATCH($C53,'Restaurant Base (Hidden)'!$C$2:$C$1048576,0),MATCH(Q$6,'Restaurant Base (Hidden)'!$A$1:$Z$1,0)),"")</f>
        <v>78,60 %</v>
      </c>
      <c r="R53" s="1">
        <f>+IFERROR(INDEX('Restaurant Base (Hidden)'!$A$2:$Z$1048576,MATCH($C53,'Restaurant Base (Hidden)'!$C$2:$C$1048576,0),MATCH(R$6,'Restaurant Base (Hidden)'!$A$1:$Z$1,0)),"")</f>
        <v>5</v>
      </c>
      <c r="S53" s="2" t="str">
        <f>+IFERROR(INDEX('Restaurant Base (Hidden)'!$A$2:$Z$1048576,MATCH($C53,'Restaurant Base (Hidden)'!$C$2:$C$1048576,0),MATCH(S$6,'Restaurant Base (Hidden)'!$A$1:$Z$1,0)),"")</f>
        <v/>
      </c>
      <c r="T53" s="62">
        <f>+IFERROR(INDEX('Restaurant Base (Hidden)'!$A$2:$Z$1048576,MATCH($C53,'Restaurant Base (Hidden)'!$C$2:$C$1048576,0),MATCH(T$6,'Restaurant Base (Hidden)'!$A$1:$Z$1,0)),"")</f>
        <v>58.4</v>
      </c>
      <c r="U53" s="1">
        <f>+IFERROR(INDEX('Restaurant Base (Hidden)'!$A$2:$Z$1048576,MATCH($C53,'Restaurant Base (Hidden)'!$C$2:$C$1048576,0),MATCH(U$6,'Restaurant Base (Hidden)'!$A$1:$Z$1,0)),"")</f>
        <v>2</v>
      </c>
      <c r="V53" s="2" t="str">
        <f>+IFERROR(INDEX('Restaurant Base (Hidden)'!$A$2:$Z$1048576,MATCH($C53,'Restaurant Base (Hidden)'!$C$2:$C$1048576,0),MATCH(V$6,'Restaurant Base (Hidden)'!$A$1:$Z$1,0)),"")</f>
        <v/>
      </c>
      <c r="W53" s="65" t="str">
        <f>+IFERROR(INDEX('Restaurant Base (Hidden)'!$A$2:$Z$1048576,MATCH($C53,'Restaurant Base (Hidden)'!$C$2:$C$1048576,0),MATCH(W$6,'Restaurant Base (Hidden)'!$A$1:$Z$1,0)),"")</f>
        <v>55,70 %</v>
      </c>
      <c r="X53" s="1">
        <f>+IFERROR(INDEX('Restaurant Base (Hidden)'!$A$2:$Z$1048576,MATCH($C53,'Restaurant Base (Hidden)'!$C$2:$C$1048576,0),MATCH(X$6,'Restaurant Base (Hidden)'!$A$1:$Z$1,0)),"")</f>
        <v>1</v>
      </c>
      <c r="Y53" s="65" t="str">
        <f>+IFERROR(INDEX('Restaurant Base (Hidden)'!$A$2:$Z$1048576,MATCH($C53,'Restaurant Base (Hidden)'!$C$2:$C$1048576,0),MATCH(Y$6,'Restaurant Base (Hidden)'!$A$1:$Z$1,0)),"")</f>
        <v>79,20 %</v>
      </c>
      <c r="Z53" s="106">
        <f>+IFERROR(INDEX('Restaurant Base (Hidden)'!$A$2:$Z$1048576,MATCH($C53,'Restaurant Base (Hidden)'!$C$2:$C$1048576,0),MATCH(Z$6,'Restaurant Base (Hidden)'!$A$1:$Z$1,0)),"")</f>
        <v>2</v>
      </c>
      <c r="AA53" s="65" t="str">
        <f>+IFERROR(INDEX('Restaurant Base (Hidden)'!$A$2:$Z$1048576,MATCH($C53,'Restaurant Base (Hidden)'!$C$2:$C$1048576,0),MATCH(AA$6,'Restaurant Base (Hidden)'!$A$1:$Z$1,0)),"")</f>
        <v>76,00 %</v>
      </c>
      <c r="AB53" s="1">
        <f>+IFERROR(INDEX('Restaurant Base (Hidden)'!$A$2:$Z$1048576,MATCH($C53,'Restaurant Base (Hidden)'!$C$2:$C$1048576,0),MATCH(AB$6,'Restaurant Base (Hidden)'!$A$1:$Z$1,0)),"")</f>
        <v>2</v>
      </c>
      <c r="AC53" s="20" t="str">
        <f>+IFERROR(INDEX('Restaurant Base (Hidden)'!$A$2:$Z$1048576,MATCH($C53,'Restaurant Base (Hidden)'!$C$2:$C$1048576,0),MATCH(AC$6,'Restaurant Base (Hidden)'!$A$1:$Z$1,0)),"")</f>
        <v/>
      </c>
      <c r="AD53" s="65" t="str">
        <f>+IFERROR(INDEX('Restaurant Base (Hidden)'!$A$2:$Z$1048576,MATCH($C53,'Restaurant Base (Hidden)'!$C$2:$C$1048576,0),MATCH(AD$6,'Restaurant Base (Hidden)'!$A$1:$Z$1,0)),"")</f>
        <v>92,80 %</v>
      </c>
      <c r="AE53" s="1">
        <f>+IFERROR(INDEX('Restaurant Base (Hidden)'!$A$2:$Z$1048576,MATCH($C53,'Restaurant Base (Hidden)'!$C$2:$C$1048576,0),MATCH(AE$6,'Restaurant Base (Hidden)'!$A$1:$Z$1,0)),"")</f>
        <v>4</v>
      </c>
      <c r="AF53" s="65" t="str">
        <f>+IFERROR(INDEX('Restaurant Base (Hidden)'!$A$2:$Z$1048576,MATCH($C53,'Restaurant Base (Hidden)'!$C$2:$C$1048576,0),MATCH(AF$6,'Restaurant Base (Hidden)'!$A$1:$Z$1,0)),"")</f>
        <v>91,60 %</v>
      </c>
      <c r="AG53" s="1">
        <f>+IFERROR(INDEX('Restaurant Base (Hidden)'!$A$2:$Z$1048576,MATCH($C53,'Restaurant Base (Hidden)'!$C$2:$C$1048576,0),MATCH(AG$6,'Restaurant Base (Hidden)'!$A$1:$Z$1,0)),"")</f>
        <v>3</v>
      </c>
    </row>
    <row r="54" spans="1:33" x14ac:dyDescent="0.4">
      <c r="A54" s="163" t="str">
        <f>IF('Restaurant Base (Hidden)'!A65=0,"", 'Restaurant Base (Hidden)'!A65)</f>
        <v>Elliot Hawthorne</v>
      </c>
      <c r="B54" s="163" t="str">
        <f>IF('Restaurant Base (Hidden)'!B65=0,"", 'Restaurant Base (Hidden)'!B65)</f>
        <v>Lakeshore Food Partners</v>
      </c>
      <c r="C54" s="163" t="str">
        <f>IF('Restaurant Base (Hidden)'!C65=0,"", 'Restaurant Base (Hidden)'!C65)</f>
        <v>Willow Junction</v>
      </c>
      <c r="D54" s="104">
        <f t="shared" si="0"/>
        <v>48</v>
      </c>
      <c r="E54" s="105">
        <f>+IFERROR(INDEX('Restaurant Base (Hidden)'!$A$2:$Z$1048576,MATCH($C54,'Restaurant Base (Hidden)'!$C$2:$C$1048576,0),MATCH(E$6,'Restaurant Base (Hidden)'!$A$1:$Z$1,0)),"")</f>
        <v>3.54</v>
      </c>
      <c r="F54" s="64" t="str">
        <f>+IFERROR(INDEX('Restaurant Base (Hidden)'!$A$2:$Z$1048576,MATCH($C54,'Restaurant Base (Hidden)'!$C$2:$C$1048576,0),MATCH(F$6,'Restaurant Base (Hidden)'!$A$1:$Z$1,0)),"")</f>
        <v/>
      </c>
      <c r="G54" s="20" t="str">
        <f>+IFERROR(INDEX('Restaurant Base (Hidden)'!$A$2:$Z$1048576,MATCH($C54,'Restaurant Base (Hidden)'!$C$2:$C$1048576,0),MATCH(G$6,'Restaurant Base (Hidden)'!$A$1:$Z$1,0)),"")</f>
        <v>4,165</v>
      </c>
      <c r="H54" s="50">
        <f>+IFERROR(INDEX('Restaurant Base (Hidden)'!$A$2:$Z$1048576,MATCH($C54,'Restaurant Base (Hidden)'!$C$2:$C$1048576,0),MATCH(H$6,'Restaurant Base (Hidden)'!$A$1:$Z$1,0)),"")</f>
        <v>2</v>
      </c>
      <c r="I54" s="20" t="str">
        <f>+IFERROR(INDEX('Restaurant Base (Hidden)'!$A$2:$Z$1048576,MATCH($C54,'Restaurant Base (Hidden)'!$C$2:$C$1048576,0),MATCH(I$6,'Restaurant Base (Hidden)'!$A$1:$Z$1,0)),"")</f>
        <v>85,20 %</v>
      </c>
      <c r="J54" s="49">
        <f>+IFERROR(INDEX('Restaurant Base (Hidden)'!$A$2:$Z$1048576,MATCH($C54,'Restaurant Base (Hidden)'!$C$2:$C$1048576,0),MATCH(J$6,'Restaurant Base (Hidden)'!$A$1:$Z$1,0)),"")</f>
        <v>3</v>
      </c>
      <c r="K54" s="20" t="str">
        <f>+IFERROR(INDEX('Restaurant Base (Hidden)'!$A$2:$Z$1048576,MATCH($C54,'Restaurant Base (Hidden)'!$C$2:$C$1048576,0),MATCH(K$6,'Restaurant Base (Hidden)'!$A$1:$Z$1,0)),"")</f>
        <v>0,038</v>
      </c>
      <c r="L54" s="51">
        <f>+IFERROR(INDEX('Restaurant Base (Hidden)'!$A$2:$Z$1048576,MATCH($C54,'Restaurant Base (Hidden)'!$C$2:$C$1048576,0),MATCH(L$6,'Restaurant Base (Hidden)'!$A$1:$Z$1,0)),"")</f>
        <v>5</v>
      </c>
      <c r="M54" s="2" t="str">
        <f>+IFERROR(INDEX('Restaurant Base (Hidden)'!$A$2:$Z$1048576,MATCH($C54,'Restaurant Base (Hidden)'!$C$2:$C$1048576,0),MATCH(M$6,'Restaurant Base (Hidden)'!$A$1:$Z$1,0)),"")</f>
        <v/>
      </c>
      <c r="N54" s="234" t="str">
        <f>+IFERROR(INDEX('Restaurant Base (Hidden)'!$A$2:$Z$1048576,MATCH($C54,'Restaurant Base (Hidden)'!$C$2:$C$1048576,0),MATCH(N$6,'Restaurant Base (Hidden)'!$A$1:$Z$1,0)),"")</f>
        <v>83,00 %</v>
      </c>
      <c r="O54" s="1">
        <f>+IFERROR(INDEX('Restaurant Base (Hidden)'!$A$2:$Z$1048576,MATCH($C54,'Restaurant Base (Hidden)'!$C$2:$C$1048576,0),MATCH(O$6,'Restaurant Base (Hidden)'!$A$1:$Z$1,0)),"")</f>
        <v>5</v>
      </c>
      <c r="P54" s="2" t="str">
        <f>+IFERROR(INDEX('Restaurant Base (Hidden)'!$A$2:$Z$1048576,MATCH($C54,'Restaurant Base (Hidden)'!$C$2:$C$1048576,0),MATCH(P$6,'Restaurant Base (Hidden)'!$A$1:$Z$1,0)),"")</f>
        <v/>
      </c>
      <c r="Q54" s="234" t="str">
        <f>+IFERROR(INDEX('Restaurant Base (Hidden)'!$A$2:$Z$1048576,MATCH($C54,'Restaurant Base (Hidden)'!$C$2:$C$1048576,0),MATCH(Q$6,'Restaurant Base (Hidden)'!$A$1:$Z$1,0)),"")</f>
        <v>85,10 %</v>
      </c>
      <c r="R54" s="1">
        <f>+IFERROR(INDEX('Restaurant Base (Hidden)'!$A$2:$Z$1048576,MATCH($C54,'Restaurant Base (Hidden)'!$C$2:$C$1048576,0),MATCH(R$6,'Restaurant Base (Hidden)'!$A$1:$Z$1,0)),"")</f>
        <v>5</v>
      </c>
      <c r="S54" s="2" t="str">
        <f>+IFERROR(INDEX('Restaurant Base (Hidden)'!$A$2:$Z$1048576,MATCH($C54,'Restaurant Base (Hidden)'!$C$2:$C$1048576,0),MATCH(S$6,'Restaurant Base (Hidden)'!$A$1:$Z$1,0)),"")</f>
        <v/>
      </c>
      <c r="T54" s="62">
        <f>+IFERROR(INDEX('Restaurant Base (Hidden)'!$A$2:$Z$1048576,MATCH($C54,'Restaurant Base (Hidden)'!$C$2:$C$1048576,0),MATCH(T$6,'Restaurant Base (Hidden)'!$A$1:$Z$1,0)),"")</f>
        <v>61.7</v>
      </c>
      <c r="U54" s="1">
        <f>+IFERROR(INDEX('Restaurant Base (Hidden)'!$A$2:$Z$1048576,MATCH($C54,'Restaurant Base (Hidden)'!$C$2:$C$1048576,0),MATCH(U$6,'Restaurant Base (Hidden)'!$A$1:$Z$1,0)),"")</f>
        <v>3</v>
      </c>
      <c r="V54" s="2" t="str">
        <f>+IFERROR(INDEX('Restaurant Base (Hidden)'!$A$2:$Z$1048576,MATCH($C54,'Restaurant Base (Hidden)'!$C$2:$C$1048576,0),MATCH(V$6,'Restaurant Base (Hidden)'!$A$1:$Z$1,0)),"")</f>
        <v/>
      </c>
      <c r="W54" s="65" t="str">
        <f>+IFERROR(INDEX('Restaurant Base (Hidden)'!$A$2:$Z$1048576,MATCH($C54,'Restaurant Base (Hidden)'!$C$2:$C$1048576,0),MATCH(W$6,'Restaurant Base (Hidden)'!$A$1:$Z$1,0)),"")</f>
        <v>96,10 %</v>
      </c>
      <c r="X54" s="1">
        <f>+IFERROR(INDEX('Restaurant Base (Hidden)'!$A$2:$Z$1048576,MATCH($C54,'Restaurant Base (Hidden)'!$C$2:$C$1048576,0),MATCH(X$6,'Restaurant Base (Hidden)'!$A$1:$Z$1,0)),"")</f>
        <v>4</v>
      </c>
      <c r="Y54" s="65" t="str">
        <f>+IFERROR(INDEX('Restaurant Base (Hidden)'!$A$2:$Z$1048576,MATCH($C54,'Restaurant Base (Hidden)'!$C$2:$C$1048576,0),MATCH(Y$6,'Restaurant Base (Hidden)'!$A$1:$Z$1,0)),"")</f>
        <v>97,20 %</v>
      </c>
      <c r="Z54" s="106">
        <f>+IFERROR(INDEX('Restaurant Base (Hidden)'!$A$2:$Z$1048576,MATCH($C54,'Restaurant Base (Hidden)'!$C$2:$C$1048576,0),MATCH(Z$6,'Restaurant Base (Hidden)'!$A$1:$Z$1,0)),"")</f>
        <v>4</v>
      </c>
      <c r="AA54" s="65" t="str">
        <f>+IFERROR(INDEX('Restaurant Base (Hidden)'!$A$2:$Z$1048576,MATCH($C54,'Restaurant Base (Hidden)'!$C$2:$C$1048576,0),MATCH(AA$6,'Restaurant Base (Hidden)'!$A$1:$Z$1,0)),"")</f>
        <v>77,00 %</v>
      </c>
      <c r="AB54" s="1">
        <f>+IFERROR(INDEX('Restaurant Base (Hidden)'!$A$2:$Z$1048576,MATCH($C54,'Restaurant Base (Hidden)'!$C$2:$C$1048576,0),MATCH(AB$6,'Restaurant Base (Hidden)'!$A$1:$Z$1,0)),"")</f>
        <v>2</v>
      </c>
      <c r="AC54" s="20" t="str">
        <f>+IFERROR(INDEX('Restaurant Base (Hidden)'!$A$2:$Z$1048576,MATCH($C54,'Restaurant Base (Hidden)'!$C$2:$C$1048576,0),MATCH(AC$6,'Restaurant Base (Hidden)'!$A$1:$Z$1,0)),"")</f>
        <v/>
      </c>
      <c r="AD54" s="65" t="str">
        <f>+IFERROR(INDEX('Restaurant Base (Hidden)'!$A$2:$Z$1048576,MATCH($C54,'Restaurant Base (Hidden)'!$C$2:$C$1048576,0),MATCH(AD$6,'Restaurant Base (Hidden)'!$A$1:$Z$1,0)),"")</f>
        <v>86,90 %</v>
      </c>
      <c r="AE54" s="1">
        <f>+IFERROR(INDEX('Restaurant Base (Hidden)'!$A$2:$Z$1048576,MATCH($C54,'Restaurant Base (Hidden)'!$C$2:$C$1048576,0),MATCH(AE$6,'Restaurant Base (Hidden)'!$A$1:$Z$1,0)),"")</f>
        <v>3</v>
      </c>
      <c r="AF54" s="65" t="str">
        <f>+IFERROR(INDEX('Restaurant Base (Hidden)'!$A$2:$Z$1048576,MATCH($C54,'Restaurant Base (Hidden)'!$C$2:$C$1048576,0),MATCH(AF$6,'Restaurant Base (Hidden)'!$A$1:$Z$1,0)),"")</f>
        <v>81,30 %</v>
      </c>
      <c r="AG54" s="1">
        <f>+IFERROR(INDEX('Restaurant Base (Hidden)'!$A$2:$Z$1048576,MATCH($C54,'Restaurant Base (Hidden)'!$C$2:$C$1048576,0),MATCH(AG$6,'Restaurant Base (Hidden)'!$A$1:$Z$1,0)),"")</f>
        <v>2</v>
      </c>
    </row>
    <row r="55" spans="1:33" x14ac:dyDescent="0.4">
      <c r="A55" s="163" t="str">
        <f>IF('Restaurant Base (Hidden)'!A119=0,"", 'Restaurant Base (Hidden)'!A119)</f>
        <v>Blake Bellamy</v>
      </c>
      <c r="B55" s="163" t="str">
        <f>IF('Restaurant Base (Hidden)'!B119=0,"", 'Restaurant Base (Hidden)'!B119)</f>
        <v>Pinecrest Hospitality</v>
      </c>
      <c r="C55" s="163" t="str">
        <f>IF('Restaurant Base (Hidden)'!C119=0,"", 'Restaurant Base (Hidden)'!C119)</f>
        <v>Oakridge Point</v>
      </c>
      <c r="D55" s="104">
        <f t="shared" si="0"/>
        <v>48</v>
      </c>
      <c r="E55" s="105">
        <f>+IFERROR(INDEX('Restaurant Base (Hidden)'!$A$2:$Z$1048576,MATCH($C55,'Restaurant Base (Hidden)'!$C$2:$C$1048576,0),MATCH(E$6,'Restaurant Base (Hidden)'!$A$1:$Z$1,0)),"")</f>
        <v>3.54</v>
      </c>
      <c r="F55" s="2" t="str">
        <f>+IFERROR(INDEX('Restaurant Base (Hidden)'!$A$2:$Z$1048576,MATCH($C55,'Restaurant Base (Hidden)'!$C$2:$C$1048576,0),MATCH(F$6,'Restaurant Base (Hidden)'!$A$1:$Z$1,0)),"")</f>
        <v/>
      </c>
      <c r="G55" s="20" t="str">
        <f>+IFERROR(INDEX('Restaurant Base (Hidden)'!$A$2:$Z$1048576,MATCH($C55,'Restaurant Base (Hidden)'!$C$2:$C$1048576,0),MATCH(G$6,'Restaurant Base (Hidden)'!$A$1:$Z$1,0)),"")</f>
        <v>4,517</v>
      </c>
      <c r="H55" s="50">
        <f>+IFERROR(INDEX('Restaurant Base (Hidden)'!$A$2:$Z$1048576,MATCH($C55,'Restaurant Base (Hidden)'!$C$2:$C$1048576,0),MATCH(H$6,'Restaurant Base (Hidden)'!$A$1:$Z$1,0)),"")</f>
        <v>5</v>
      </c>
      <c r="I55" s="20" t="str">
        <f>+IFERROR(INDEX('Restaurant Base (Hidden)'!$A$2:$Z$1048576,MATCH($C55,'Restaurant Base (Hidden)'!$C$2:$C$1048576,0),MATCH(I$6,'Restaurant Base (Hidden)'!$A$1:$Z$1,0)),"")</f>
        <v>61,30 %</v>
      </c>
      <c r="J55" s="49">
        <f>+IFERROR(INDEX('Restaurant Base (Hidden)'!$A$2:$Z$1048576,MATCH($C55,'Restaurant Base (Hidden)'!$C$2:$C$1048576,0),MATCH(J$6,'Restaurant Base (Hidden)'!$A$1:$Z$1,0)),"")</f>
        <v>1</v>
      </c>
      <c r="K55" s="20" t="str">
        <f>+IFERROR(INDEX('Restaurant Base (Hidden)'!$A$2:$Z$1048576,MATCH($C55,'Restaurant Base (Hidden)'!$C$2:$C$1048576,0),MATCH(K$6,'Restaurant Base (Hidden)'!$A$1:$Z$1,0)),"")</f>
        <v>0,111</v>
      </c>
      <c r="L55" s="51">
        <f>+IFERROR(INDEX('Restaurant Base (Hidden)'!$A$2:$Z$1048576,MATCH($C55,'Restaurant Base (Hidden)'!$C$2:$C$1048576,0),MATCH(L$6,'Restaurant Base (Hidden)'!$A$1:$Z$1,0)),"")</f>
        <v>3</v>
      </c>
      <c r="M55" s="2" t="str">
        <f>+IFERROR(INDEX('Restaurant Base (Hidden)'!$A$2:$Z$1048576,MATCH($C55,'Restaurant Base (Hidden)'!$C$2:$C$1048576,0),MATCH(M$6,'Restaurant Base (Hidden)'!$A$1:$Z$1,0)),"")</f>
        <v/>
      </c>
      <c r="N55" s="234" t="str">
        <f>+IFERROR(INDEX('Restaurant Base (Hidden)'!$A$2:$Z$1048576,MATCH($C55,'Restaurant Base (Hidden)'!$C$2:$C$1048576,0),MATCH(N$6,'Restaurant Base (Hidden)'!$A$1:$Z$1,0)),"")</f>
        <v>85,70 %</v>
      </c>
      <c r="O55" s="1">
        <f>+IFERROR(INDEX('Restaurant Base (Hidden)'!$A$2:$Z$1048576,MATCH($C55,'Restaurant Base (Hidden)'!$C$2:$C$1048576,0),MATCH(O$6,'Restaurant Base (Hidden)'!$A$1:$Z$1,0)),"")</f>
        <v>5</v>
      </c>
      <c r="P55" s="2" t="str">
        <f>+IFERROR(INDEX('Restaurant Base (Hidden)'!$A$2:$Z$1048576,MATCH($C55,'Restaurant Base (Hidden)'!$C$2:$C$1048576,0),MATCH(P$6,'Restaurant Base (Hidden)'!$A$1:$Z$1,0)),"")</f>
        <v/>
      </c>
      <c r="Q55" s="234" t="str">
        <f>+IFERROR(INDEX('Restaurant Base (Hidden)'!$A$2:$Z$1048576,MATCH($C55,'Restaurant Base (Hidden)'!$C$2:$C$1048576,0),MATCH(Q$6,'Restaurant Base (Hidden)'!$A$1:$Z$1,0)),"")</f>
        <v>81,00 %</v>
      </c>
      <c r="R55" s="1">
        <f>+IFERROR(INDEX('Restaurant Base (Hidden)'!$A$2:$Z$1048576,MATCH($C55,'Restaurant Base (Hidden)'!$C$2:$C$1048576,0),MATCH(R$6,'Restaurant Base (Hidden)'!$A$1:$Z$1,0)),"")</f>
        <v>5</v>
      </c>
      <c r="S55" s="2" t="str">
        <f>+IFERROR(INDEX('Restaurant Base (Hidden)'!$A$2:$Z$1048576,MATCH($C55,'Restaurant Base (Hidden)'!$C$2:$C$1048576,0),MATCH(S$6,'Restaurant Base (Hidden)'!$A$1:$Z$1,0)),"")</f>
        <v/>
      </c>
      <c r="T55" s="62">
        <f>+IFERROR(INDEX('Restaurant Base (Hidden)'!$A$2:$Z$1048576,MATCH($C55,'Restaurant Base (Hidden)'!$C$2:$C$1048576,0),MATCH(T$6,'Restaurant Base (Hidden)'!$A$1:$Z$1,0)),"")</f>
        <v>58.2</v>
      </c>
      <c r="U55" s="1">
        <f>+IFERROR(INDEX('Restaurant Base (Hidden)'!$A$2:$Z$1048576,MATCH($C55,'Restaurant Base (Hidden)'!$C$2:$C$1048576,0),MATCH(U$6,'Restaurant Base (Hidden)'!$A$1:$Z$1,0)),"")</f>
        <v>2</v>
      </c>
      <c r="V55" s="2" t="str">
        <f>+IFERROR(INDEX('Restaurant Base (Hidden)'!$A$2:$Z$1048576,MATCH($C55,'Restaurant Base (Hidden)'!$C$2:$C$1048576,0),MATCH(V$6,'Restaurant Base (Hidden)'!$A$1:$Z$1,0)),"")</f>
        <v/>
      </c>
      <c r="W55" s="65" t="str">
        <f>+IFERROR(INDEX('Restaurant Base (Hidden)'!$A$2:$Z$1048576,MATCH($C55,'Restaurant Base (Hidden)'!$C$2:$C$1048576,0),MATCH(W$6,'Restaurant Base (Hidden)'!$A$1:$Z$1,0)),"")</f>
        <v>97,50 %</v>
      </c>
      <c r="X55" s="1">
        <f>+IFERROR(INDEX('Restaurant Base (Hidden)'!$A$2:$Z$1048576,MATCH($C55,'Restaurant Base (Hidden)'!$C$2:$C$1048576,0),MATCH(X$6,'Restaurant Base (Hidden)'!$A$1:$Z$1,0)),"")</f>
        <v>5</v>
      </c>
      <c r="Y55" s="65" t="str">
        <f>+IFERROR(INDEX('Restaurant Base (Hidden)'!$A$2:$Z$1048576,MATCH($C55,'Restaurant Base (Hidden)'!$C$2:$C$1048576,0),MATCH(Y$6,'Restaurant Base (Hidden)'!$A$1:$Z$1,0)),"")</f>
        <v>73,70 %</v>
      </c>
      <c r="Z55" s="106">
        <f>+IFERROR(INDEX('Restaurant Base (Hidden)'!$A$2:$Z$1048576,MATCH($C55,'Restaurant Base (Hidden)'!$C$2:$C$1048576,0),MATCH(Z$6,'Restaurant Base (Hidden)'!$A$1:$Z$1,0)),"")</f>
        <v>2</v>
      </c>
      <c r="AA55" s="65" t="str">
        <f>+IFERROR(INDEX('Restaurant Base (Hidden)'!$A$2:$Z$1048576,MATCH($C55,'Restaurant Base (Hidden)'!$C$2:$C$1048576,0),MATCH(AA$6,'Restaurant Base (Hidden)'!$A$1:$Z$1,0)),"")</f>
        <v>68,30 %</v>
      </c>
      <c r="AB55" s="1">
        <f>+IFERROR(INDEX('Restaurant Base (Hidden)'!$A$2:$Z$1048576,MATCH($C55,'Restaurant Base (Hidden)'!$C$2:$C$1048576,0),MATCH(AB$6,'Restaurant Base (Hidden)'!$A$1:$Z$1,0)),"")</f>
        <v>2</v>
      </c>
      <c r="AC55" s="20" t="str">
        <f>+IFERROR(INDEX('Restaurant Base (Hidden)'!$A$2:$Z$1048576,MATCH($C55,'Restaurant Base (Hidden)'!$C$2:$C$1048576,0),MATCH(AC$6,'Restaurant Base (Hidden)'!$A$1:$Z$1,0)),"")</f>
        <v/>
      </c>
      <c r="AD55" s="65" t="str">
        <f>+IFERROR(INDEX('Restaurant Base (Hidden)'!$A$2:$Z$1048576,MATCH($C55,'Restaurant Base (Hidden)'!$C$2:$C$1048576,0),MATCH(AD$6,'Restaurant Base (Hidden)'!$A$1:$Z$1,0)),"")</f>
        <v>99,50 %</v>
      </c>
      <c r="AE55" s="1">
        <f>+IFERROR(INDEX('Restaurant Base (Hidden)'!$A$2:$Z$1048576,MATCH($C55,'Restaurant Base (Hidden)'!$C$2:$C$1048576,0),MATCH(AE$6,'Restaurant Base (Hidden)'!$A$1:$Z$1,0)),"")</f>
        <v>5</v>
      </c>
      <c r="AF55" s="65" t="str">
        <f>+IFERROR(INDEX('Restaurant Base (Hidden)'!$A$2:$Z$1048576,MATCH($C55,'Restaurant Base (Hidden)'!$C$2:$C$1048576,0),MATCH(AF$6,'Restaurant Base (Hidden)'!$A$1:$Z$1,0)),"")</f>
        <v>85,00 %</v>
      </c>
      <c r="AG55" s="1">
        <f>+IFERROR(INDEX('Restaurant Base (Hidden)'!$A$2:$Z$1048576,MATCH($C55,'Restaurant Base (Hidden)'!$C$2:$C$1048576,0),MATCH(AG$6,'Restaurant Base (Hidden)'!$A$1:$Z$1,0)),"")</f>
        <v>3</v>
      </c>
    </row>
    <row r="56" spans="1:33" x14ac:dyDescent="0.4">
      <c r="A56" s="163" t="str">
        <f>IF('Restaurant Base (Hidden)'!A245=0,"", 'Restaurant Base (Hidden)'!A245)</f>
        <v>Kendall Prescott</v>
      </c>
      <c r="B56" s="163" t="str">
        <f>IF('Restaurant Base (Hidden)'!B245=0,"", 'Restaurant Base (Hidden)'!B245)</f>
        <v>Oakbridge Restaurant Group</v>
      </c>
      <c r="C56" s="163" t="str">
        <f>IF('Restaurant Base (Hidden)'!C245=0,"", 'Restaurant Base (Hidden)'!C245)</f>
        <v>Meadow Plaza</v>
      </c>
      <c r="D56" s="104">
        <f t="shared" si="0"/>
        <v>48</v>
      </c>
      <c r="E56" s="105">
        <f>+IFERROR(INDEX('Restaurant Base (Hidden)'!$A$2:$Z$1048576,MATCH($C56,'Restaurant Base (Hidden)'!$C$2:$C$1048576,0),MATCH(E$6,'Restaurant Base (Hidden)'!$A$1:$Z$1,0)),"")</f>
        <v>3.54</v>
      </c>
      <c r="F56" s="2" t="str">
        <f>+IFERROR(INDEX('Restaurant Base (Hidden)'!$A$2:$Z$1048576,MATCH($C56,'Restaurant Base (Hidden)'!$C$2:$C$1048576,0),MATCH(F$6,'Restaurant Base (Hidden)'!$A$1:$Z$1,0)),"")</f>
        <v/>
      </c>
      <c r="G56" s="20" t="str">
        <f>+IFERROR(INDEX('Restaurant Base (Hidden)'!$A$2:$Z$1048576,MATCH($C56,'Restaurant Base (Hidden)'!$C$2:$C$1048576,0),MATCH(G$6,'Restaurant Base (Hidden)'!$A$1:$Z$1,0)),"")</f>
        <v>4,098</v>
      </c>
      <c r="H56" s="50">
        <f>+IFERROR(INDEX('Restaurant Base (Hidden)'!$A$2:$Z$1048576,MATCH($C56,'Restaurant Base (Hidden)'!$C$2:$C$1048576,0),MATCH(H$6,'Restaurant Base (Hidden)'!$A$1:$Z$1,0)),"")</f>
        <v>2</v>
      </c>
      <c r="I56" s="20" t="str">
        <f>+IFERROR(INDEX('Restaurant Base (Hidden)'!$A$2:$Z$1048576,MATCH($C56,'Restaurant Base (Hidden)'!$C$2:$C$1048576,0),MATCH(I$6,'Restaurant Base (Hidden)'!$A$1:$Z$1,0)),"")</f>
        <v>96,90 %</v>
      </c>
      <c r="J56" s="49">
        <f>+IFERROR(INDEX('Restaurant Base (Hidden)'!$A$2:$Z$1048576,MATCH($C56,'Restaurant Base (Hidden)'!$C$2:$C$1048576,0),MATCH(J$6,'Restaurant Base (Hidden)'!$A$1:$Z$1,0)),"")</f>
        <v>5</v>
      </c>
      <c r="K56" s="20" t="str">
        <f>+IFERROR(INDEX('Restaurant Base (Hidden)'!$A$2:$Z$1048576,MATCH($C56,'Restaurant Base (Hidden)'!$C$2:$C$1048576,0),MATCH(K$6,'Restaurant Base (Hidden)'!$A$1:$Z$1,0)),"")</f>
        <v>0,050</v>
      </c>
      <c r="L56" s="51">
        <f>+IFERROR(INDEX('Restaurant Base (Hidden)'!$A$2:$Z$1048576,MATCH($C56,'Restaurant Base (Hidden)'!$C$2:$C$1048576,0),MATCH(L$6,'Restaurant Base (Hidden)'!$A$1:$Z$1,0)),"")</f>
        <v>5</v>
      </c>
      <c r="M56" s="2" t="str">
        <f>+IFERROR(INDEX('Restaurant Base (Hidden)'!$A$2:$Z$1048576,MATCH($C56,'Restaurant Base (Hidden)'!$C$2:$C$1048576,0),MATCH(M$6,'Restaurant Base (Hidden)'!$A$1:$Z$1,0)),"")</f>
        <v/>
      </c>
      <c r="N56" s="234" t="str">
        <f>+IFERROR(INDEX('Restaurant Base (Hidden)'!$A$2:$Z$1048576,MATCH($C56,'Restaurant Base (Hidden)'!$C$2:$C$1048576,0),MATCH(N$6,'Restaurant Base (Hidden)'!$A$1:$Z$1,0)),"")</f>
        <v>72,30 %</v>
      </c>
      <c r="O56" s="1">
        <f>+IFERROR(INDEX('Restaurant Base (Hidden)'!$A$2:$Z$1048576,MATCH($C56,'Restaurant Base (Hidden)'!$C$2:$C$1048576,0),MATCH(O$6,'Restaurant Base (Hidden)'!$A$1:$Z$1,0)),"")</f>
        <v>5</v>
      </c>
      <c r="P56" s="2" t="str">
        <f>+IFERROR(INDEX('Restaurant Base (Hidden)'!$A$2:$Z$1048576,MATCH($C56,'Restaurant Base (Hidden)'!$C$2:$C$1048576,0),MATCH(P$6,'Restaurant Base (Hidden)'!$A$1:$Z$1,0)),"")</f>
        <v/>
      </c>
      <c r="Q56" s="234" t="str">
        <f>+IFERROR(INDEX('Restaurant Base (Hidden)'!$A$2:$Z$1048576,MATCH($C56,'Restaurant Base (Hidden)'!$C$2:$C$1048576,0),MATCH(Q$6,'Restaurant Base (Hidden)'!$A$1:$Z$1,0)),"")</f>
        <v>83,80 %</v>
      </c>
      <c r="R56" s="1">
        <f>+IFERROR(INDEX('Restaurant Base (Hidden)'!$A$2:$Z$1048576,MATCH($C56,'Restaurant Base (Hidden)'!$C$2:$C$1048576,0),MATCH(R$6,'Restaurant Base (Hidden)'!$A$1:$Z$1,0)),"")</f>
        <v>5</v>
      </c>
      <c r="S56" s="2" t="str">
        <f>+IFERROR(INDEX('Restaurant Base (Hidden)'!$A$2:$Z$1048576,MATCH($C56,'Restaurant Base (Hidden)'!$C$2:$C$1048576,0),MATCH(S$6,'Restaurant Base (Hidden)'!$A$1:$Z$1,0)),"")</f>
        <v/>
      </c>
      <c r="T56" s="62">
        <f>+IFERROR(INDEX('Restaurant Base (Hidden)'!$A$2:$Z$1048576,MATCH($C56,'Restaurant Base (Hidden)'!$C$2:$C$1048576,0),MATCH(T$6,'Restaurant Base (Hidden)'!$A$1:$Z$1,0)),"")</f>
        <v>61.5</v>
      </c>
      <c r="U56" s="1">
        <f>+IFERROR(INDEX('Restaurant Base (Hidden)'!$A$2:$Z$1048576,MATCH($C56,'Restaurant Base (Hidden)'!$C$2:$C$1048576,0),MATCH(U$6,'Restaurant Base (Hidden)'!$A$1:$Z$1,0)),"")</f>
        <v>3</v>
      </c>
      <c r="V56" s="2" t="str">
        <f>+IFERROR(INDEX('Restaurant Base (Hidden)'!$A$2:$Z$1048576,MATCH($C56,'Restaurant Base (Hidden)'!$C$2:$C$1048576,0),MATCH(V$6,'Restaurant Base (Hidden)'!$A$1:$Z$1,0)),"")</f>
        <v/>
      </c>
      <c r="W56" s="65" t="str">
        <f>+IFERROR(INDEX('Restaurant Base (Hidden)'!$A$2:$Z$1048576,MATCH($C56,'Restaurant Base (Hidden)'!$C$2:$C$1048576,0),MATCH(W$6,'Restaurant Base (Hidden)'!$A$1:$Z$1,0)),"")</f>
        <v>60,40 %</v>
      </c>
      <c r="X56" s="1">
        <f>+IFERROR(INDEX('Restaurant Base (Hidden)'!$A$2:$Z$1048576,MATCH($C56,'Restaurant Base (Hidden)'!$C$2:$C$1048576,0),MATCH(X$6,'Restaurant Base (Hidden)'!$A$1:$Z$1,0)),"")</f>
        <v>2</v>
      </c>
      <c r="Y56" s="65" t="str">
        <f>+IFERROR(INDEX('Restaurant Base (Hidden)'!$A$2:$Z$1048576,MATCH($C56,'Restaurant Base (Hidden)'!$C$2:$C$1048576,0),MATCH(Y$6,'Restaurant Base (Hidden)'!$A$1:$Z$1,0)),"")</f>
        <v>95,40 %</v>
      </c>
      <c r="Z56" s="106">
        <f>+IFERROR(INDEX('Restaurant Base (Hidden)'!$A$2:$Z$1048576,MATCH($C56,'Restaurant Base (Hidden)'!$C$2:$C$1048576,0),MATCH(Z$6,'Restaurant Base (Hidden)'!$A$1:$Z$1,0)),"")</f>
        <v>4</v>
      </c>
      <c r="AA56" s="65" t="str">
        <f>+IFERROR(INDEX('Restaurant Base (Hidden)'!$A$2:$Z$1048576,MATCH($C56,'Restaurant Base (Hidden)'!$C$2:$C$1048576,0),MATCH(AA$6,'Restaurant Base (Hidden)'!$A$1:$Z$1,0)),"")</f>
        <v>59,30 %</v>
      </c>
      <c r="AB56" s="1">
        <f>+IFERROR(INDEX('Restaurant Base (Hidden)'!$A$2:$Z$1048576,MATCH($C56,'Restaurant Base (Hidden)'!$C$2:$C$1048576,0),MATCH(AB$6,'Restaurant Base (Hidden)'!$A$1:$Z$1,0)),"")</f>
        <v>1</v>
      </c>
      <c r="AC56" s="20" t="str">
        <f>+IFERROR(INDEX('Restaurant Base (Hidden)'!$A$2:$Z$1048576,MATCH($C56,'Restaurant Base (Hidden)'!$C$2:$C$1048576,0),MATCH(AC$6,'Restaurant Base (Hidden)'!$A$1:$Z$1,0)),"")</f>
        <v/>
      </c>
      <c r="AD56" s="65" t="str">
        <f>+IFERROR(INDEX('Restaurant Base (Hidden)'!$A$2:$Z$1048576,MATCH($C56,'Restaurant Base (Hidden)'!$C$2:$C$1048576,0),MATCH(AD$6,'Restaurant Base (Hidden)'!$A$1:$Z$1,0)),"")</f>
        <v>63,00 %</v>
      </c>
      <c r="AE56" s="1">
        <f>+IFERROR(INDEX('Restaurant Base (Hidden)'!$A$2:$Z$1048576,MATCH($C56,'Restaurant Base (Hidden)'!$C$2:$C$1048576,0),MATCH(AE$6,'Restaurant Base (Hidden)'!$A$1:$Z$1,0)),"")</f>
        <v>1</v>
      </c>
      <c r="AF56" s="65" t="str">
        <f>+IFERROR(INDEX('Restaurant Base (Hidden)'!$A$2:$Z$1048576,MATCH($C56,'Restaurant Base (Hidden)'!$C$2:$C$1048576,0),MATCH(AF$6,'Restaurant Base (Hidden)'!$A$1:$Z$1,0)),"")</f>
        <v>85,80 %</v>
      </c>
      <c r="AG56" s="1">
        <f>+IFERROR(INDEX('Restaurant Base (Hidden)'!$A$2:$Z$1048576,MATCH($C56,'Restaurant Base (Hidden)'!$C$2:$C$1048576,0),MATCH(AG$6,'Restaurant Base (Hidden)'!$A$1:$Z$1,0)),"")</f>
        <v>3</v>
      </c>
    </row>
    <row r="57" spans="1:33" x14ac:dyDescent="0.4">
      <c r="A57" s="163" t="str">
        <f>IF('Restaurant Base (Hidden)'!A283=0,"", 'Restaurant Base (Hidden)'!A283)</f>
        <v>Taylor Hartwell</v>
      </c>
      <c r="B57" s="163" t="str">
        <f>IF('Restaurant Base (Hidden)'!B283=0,"", 'Restaurant Base (Hidden)'!B283)</f>
        <v>Bluecrest Food Partners</v>
      </c>
      <c r="C57" s="163" t="str">
        <f>IF('Restaurant Base (Hidden)'!C283=0,"", 'Restaurant Base (Hidden)'!C283)</f>
        <v>Ash Lodge</v>
      </c>
      <c r="D57" s="104">
        <f t="shared" si="0"/>
        <v>48</v>
      </c>
      <c r="E57" s="105">
        <f>+IFERROR(INDEX('Restaurant Base (Hidden)'!$A$2:$Z$1048576,MATCH($C57,'Restaurant Base (Hidden)'!$C$2:$C$1048576,0),MATCH(E$6,'Restaurant Base (Hidden)'!$A$1:$Z$1,0)),"")</f>
        <v>3.54</v>
      </c>
      <c r="F57" s="2" t="str">
        <f>+IFERROR(INDEX('Restaurant Base (Hidden)'!$A$2:$Z$1048576,MATCH($C57,'Restaurant Base (Hidden)'!$C$2:$C$1048576,0),MATCH(F$6,'Restaurant Base (Hidden)'!$A$1:$Z$1,0)),"")</f>
        <v/>
      </c>
      <c r="G57" s="20" t="str">
        <f>+IFERROR(INDEX('Restaurant Base (Hidden)'!$A$2:$Z$1048576,MATCH($C57,'Restaurant Base (Hidden)'!$C$2:$C$1048576,0),MATCH(G$6,'Restaurant Base (Hidden)'!$A$1:$Z$1,0)),"")</f>
        <v>4,779</v>
      </c>
      <c r="H57" s="50">
        <f>+IFERROR(INDEX('Restaurant Base (Hidden)'!$A$2:$Z$1048576,MATCH($C57,'Restaurant Base (Hidden)'!$C$2:$C$1048576,0),MATCH(H$6,'Restaurant Base (Hidden)'!$A$1:$Z$1,0)),"")</f>
        <v>5</v>
      </c>
      <c r="I57" s="20" t="str">
        <f>+IFERROR(INDEX('Restaurant Base (Hidden)'!$A$2:$Z$1048576,MATCH($C57,'Restaurant Base (Hidden)'!$C$2:$C$1048576,0),MATCH(I$6,'Restaurant Base (Hidden)'!$A$1:$Z$1,0)),"")</f>
        <v>88,30 %</v>
      </c>
      <c r="J57" s="49">
        <f>+IFERROR(INDEX('Restaurant Base (Hidden)'!$A$2:$Z$1048576,MATCH($C57,'Restaurant Base (Hidden)'!$C$2:$C$1048576,0),MATCH(J$6,'Restaurant Base (Hidden)'!$A$1:$Z$1,0)),"")</f>
        <v>4</v>
      </c>
      <c r="K57" s="20" t="str">
        <f>+IFERROR(INDEX('Restaurant Base (Hidden)'!$A$2:$Z$1048576,MATCH($C57,'Restaurant Base (Hidden)'!$C$2:$C$1048576,0),MATCH(K$6,'Restaurant Base (Hidden)'!$A$1:$Z$1,0)),"")</f>
        <v>0,178</v>
      </c>
      <c r="L57" s="51">
        <f>+IFERROR(INDEX('Restaurant Base (Hidden)'!$A$2:$Z$1048576,MATCH($C57,'Restaurant Base (Hidden)'!$C$2:$C$1048576,0),MATCH(L$6,'Restaurant Base (Hidden)'!$A$1:$Z$1,0)),"")</f>
        <v>2</v>
      </c>
      <c r="M57" s="2" t="str">
        <f>+IFERROR(INDEX('Restaurant Base (Hidden)'!$A$2:$Z$1048576,MATCH($C57,'Restaurant Base (Hidden)'!$C$2:$C$1048576,0),MATCH(M$6,'Restaurant Base (Hidden)'!$A$1:$Z$1,0)),"")</f>
        <v/>
      </c>
      <c r="N57" s="234" t="str">
        <f>+IFERROR(INDEX('Restaurant Base (Hidden)'!$A$2:$Z$1048576,MATCH($C57,'Restaurant Base (Hidden)'!$C$2:$C$1048576,0),MATCH(N$6,'Restaurant Base (Hidden)'!$A$1:$Z$1,0)),"")</f>
        <v>88,70 %</v>
      </c>
      <c r="O57" s="1">
        <f>+IFERROR(INDEX('Restaurant Base (Hidden)'!$A$2:$Z$1048576,MATCH($C57,'Restaurant Base (Hidden)'!$C$2:$C$1048576,0),MATCH(O$6,'Restaurant Base (Hidden)'!$A$1:$Z$1,0)),"")</f>
        <v>5</v>
      </c>
      <c r="P57" s="2" t="str">
        <f>+IFERROR(INDEX('Restaurant Base (Hidden)'!$A$2:$Z$1048576,MATCH($C57,'Restaurant Base (Hidden)'!$C$2:$C$1048576,0),MATCH(P$6,'Restaurant Base (Hidden)'!$A$1:$Z$1,0)),"")</f>
        <v/>
      </c>
      <c r="Q57" s="234" t="str">
        <f>+IFERROR(INDEX('Restaurant Base (Hidden)'!$A$2:$Z$1048576,MATCH($C57,'Restaurant Base (Hidden)'!$C$2:$C$1048576,0),MATCH(Q$6,'Restaurant Base (Hidden)'!$A$1:$Z$1,0)),"")</f>
        <v>86,90 %</v>
      </c>
      <c r="R57" s="1">
        <f>+IFERROR(INDEX('Restaurant Base (Hidden)'!$A$2:$Z$1048576,MATCH($C57,'Restaurant Base (Hidden)'!$C$2:$C$1048576,0),MATCH(R$6,'Restaurant Base (Hidden)'!$A$1:$Z$1,0)),"")</f>
        <v>5</v>
      </c>
      <c r="S57" s="2" t="str">
        <f>+IFERROR(INDEX('Restaurant Base (Hidden)'!$A$2:$Z$1048576,MATCH($C57,'Restaurant Base (Hidden)'!$C$2:$C$1048576,0),MATCH(S$6,'Restaurant Base (Hidden)'!$A$1:$Z$1,0)),"")</f>
        <v/>
      </c>
      <c r="T57" s="62">
        <f>+IFERROR(INDEX('Restaurant Base (Hidden)'!$A$2:$Z$1048576,MATCH($C57,'Restaurant Base (Hidden)'!$C$2:$C$1048576,0),MATCH(T$6,'Restaurant Base (Hidden)'!$A$1:$Z$1,0)),"")</f>
        <v>58.4</v>
      </c>
      <c r="U57" s="1">
        <f>+IFERROR(INDEX('Restaurant Base (Hidden)'!$A$2:$Z$1048576,MATCH($C57,'Restaurant Base (Hidden)'!$C$2:$C$1048576,0),MATCH(U$6,'Restaurant Base (Hidden)'!$A$1:$Z$1,0)),"")</f>
        <v>2</v>
      </c>
      <c r="V57" s="2" t="str">
        <f>+IFERROR(INDEX('Restaurant Base (Hidden)'!$A$2:$Z$1048576,MATCH($C57,'Restaurant Base (Hidden)'!$C$2:$C$1048576,0),MATCH(V$6,'Restaurant Base (Hidden)'!$A$1:$Z$1,0)),"")</f>
        <v/>
      </c>
      <c r="W57" s="65" t="str">
        <f>+IFERROR(INDEX('Restaurant Base (Hidden)'!$A$2:$Z$1048576,MATCH($C57,'Restaurant Base (Hidden)'!$C$2:$C$1048576,0),MATCH(W$6,'Restaurant Base (Hidden)'!$A$1:$Z$1,0)),"")</f>
        <v>89,30 %</v>
      </c>
      <c r="X57" s="1">
        <f>+IFERROR(INDEX('Restaurant Base (Hidden)'!$A$2:$Z$1048576,MATCH($C57,'Restaurant Base (Hidden)'!$C$2:$C$1048576,0),MATCH(X$6,'Restaurant Base (Hidden)'!$A$1:$Z$1,0)),"")</f>
        <v>3</v>
      </c>
      <c r="Y57" s="65" t="str">
        <f>+IFERROR(INDEX('Restaurant Base (Hidden)'!$A$2:$Z$1048576,MATCH($C57,'Restaurant Base (Hidden)'!$C$2:$C$1048576,0),MATCH(Y$6,'Restaurant Base (Hidden)'!$A$1:$Z$1,0)),"")</f>
        <v>72,40 %</v>
      </c>
      <c r="Z57" s="106">
        <f>+IFERROR(INDEX('Restaurant Base (Hidden)'!$A$2:$Z$1048576,MATCH($C57,'Restaurant Base (Hidden)'!$C$2:$C$1048576,0),MATCH(Z$6,'Restaurant Base (Hidden)'!$A$1:$Z$1,0)),"")</f>
        <v>2</v>
      </c>
      <c r="AA57" s="65" t="str">
        <f>+IFERROR(INDEX('Restaurant Base (Hidden)'!$A$2:$Z$1048576,MATCH($C57,'Restaurant Base (Hidden)'!$C$2:$C$1048576,0),MATCH(AA$6,'Restaurant Base (Hidden)'!$A$1:$Z$1,0)),"")</f>
        <v>83,50 %</v>
      </c>
      <c r="AB57" s="1">
        <f>+IFERROR(INDEX('Restaurant Base (Hidden)'!$A$2:$Z$1048576,MATCH($C57,'Restaurant Base (Hidden)'!$C$2:$C$1048576,0),MATCH(AB$6,'Restaurant Base (Hidden)'!$A$1:$Z$1,0)),"")</f>
        <v>2</v>
      </c>
      <c r="AC57" s="20" t="str">
        <f>+IFERROR(INDEX('Restaurant Base (Hidden)'!$A$2:$Z$1048576,MATCH($C57,'Restaurant Base (Hidden)'!$C$2:$C$1048576,0),MATCH(AC$6,'Restaurant Base (Hidden)'!$A$1:$Z$1,0)),"")</f>
        <v/>
      </c>
      <c r="AD57" s="65" t="str">
        <f>+IFERROR(INDEX('Restaurant Base (Hidden)'!$A$2:$Z$1048576,MATCH($C57,'Restaurant Base (Hidden)'!$C$2:$C$1048576,0),MATCH(AD$6,'Restaurant Base (Hidden)'!$A$1:$Z$1,0)),"")</f>
        <v>97,20 %</v>
      </c>
      <c r="AE57" s="1">
        <f>+IFERROR(INDEX('Restaurant Base (Hidden)'!$A$2:$Z$1048576,MATCH($C57,'Restaurant Base (Hidden)'!$C$2:$C$1048576,0),MATCH(AE$6,'Restaurant Base (Hidden)'!$A$1:$Z$1,0)),"")</f>
        <v>5</v>
      </c>
      <c r="AF57" s="65" t="str">
        <f>+IFERROR(INDEX('Restaurant Base (Hidden)'!$A$2:$Z$1048576,MATCH($C57,'Restaurant Base (Hidden)'!$C$2:$C$1048576,0),MATCH(AF$6,'Restaurant Base (Hidden)'!$A$1:$Z$1,0)),"")</f>
        <v>62,30 %</v>
      </c>
      <c r="AG57" s="1">
        <f>+IFERROR(INDEX('Restaurant Base (Hidden)'!$A$2:$Z$1048576,MATCH($C57,'Restaurant Base (Hidden)'!$C$2:$C$1048576,0),MATCH(AG$6,'Restaurant Base (Hidden)'!$A$1:$Z$1,0)),"")</f>
        <v>1</v>
      </c>
    </row>
    <row r="58" spans="1:33" x14ac:dyDescent="0.4">
      <c r="A58" s="163" t="str">
        <f>IF('Restaurant Base (Hidden)'!A106=0,"", 'Restaurant Base (Hidden)'!A106)</f>
        <v>Riley Wellington</v>
      </c>
      <c r="B58" s="163" t="str">
        <f>IF('Restaurant Base (Hidden)'!B106=0,"", 'Restaurant Base (Hidden)'!B106)</f>
        <v>Highland Crest Restaurants</v>
      </c>
      <c r="C58" s="163" t="str">
        <f>IF('Restaurant Base (Hidden)'!C106=0,"", 'Restaurant Base (Hidden)'!C106)</f>
        <v>Oak Gate</v>
      </c>
      <c r="D58" s="104">
        <f t="shared" si="0"/>
        <v>52</v>
      </c>
      <c r="E58" s="105">
        <f>+IFERROR(INDEX('Restaurant Base (Hidden)'!$A$2:$Z$1048576,MATCH($C58,'Restaurant Base (Hidden)'!$C$2:$C$1048576,0),MATCH(E$6,'Restaurant Base (Hidden)'!$A$1:$Z$1,0)),"")</f>
        <v>3.53</v>
      </c>
      <c r="F58" s="2" t="str">
        <f>+IFERROR(INDEX('Restaurant Base (Hidden)'!$A$2:$Z$1048576,MATCH($C58,'Restaurant Base (Hidden)'!$C$2:$C$1048576,0),MATCH(F$6,'Restaurant Base (Hidden)'!$A$1:$Z$1,0)),"")</f>
        <v/>
      </c>
      <c r="G58" s="20" t="str">
        <f>+IFERROR(INDEX('Restaurant Base (Hidden)'!$A$2:$Z$1048576,MATCH($C58,'Restaurant Base (Hidden)'!$C$2:$C$1048576,0),MATCH(G$6,'Restaurant Base (Hidden)'!$A$1:$Z$1,0)),"")</f>
        <v>4,420</v>
      </c>
      <c r="H58" s="50">
        <f>+IFERROR(INDEX('Restaurant Base (Hidden)'!$A$2:$Z$1048576,MATCH($C58,'Restaurant Base (Hidden)'!$C$2:$C$1048576,0),MATCH(H$6,'Restaurant Base (Hidden)'!$A$1:$Z$1,0)),"")</f>
        <v>4</v>
      </c>
      <c r="I58" s="20" t="str">
        <f>+IFERROR(INDEX('Restaurant Base (Hidden)'!$A$2:$Z$1048576,MATCH($C58,'Restaurant Base (Hidden)'!$C$2:$C$1048576,0),MATCH(I$6,'Restaurant Base (Hidden)'!$A$1:$Z$1,0)),"")</f>
        <v>87,70 %</v>
      </c>
      <c r="J58" s="49">
        <f>+IFERROR(INDEX('Restaurant Base (Hidden)'!$A$2:$Z$1048576,MATCH($C58,'Restaurant Base (Hidden)'!$C$2:$C$1048576,0),MATCH(J$6,'Restaurant Base (Hidden)'!$A$1:$Z$1,0)),"")</f>
        <v>3</v>
      </c>
      <c r="K58" s="20" t="str">
        <f>+IFERROR(INDEX('Restaurant Base (Hidden)'!$A$2:$Z$1048576,MATCH($C58,'Restaurant Base (Hidden)'!$C$2:$C$1048576,0),MATCH(K$6,'Restaurant Base (Hidden)'!$A$1:$Z$1,0)),"")</f>
        <v>0,161</v>
      </c>
      <c r="L58" s="51">
        <f>+IFERROR(INDEX('Restaurant Base (Hidden)'!$A$2:$Z$1048576,MATCH($C58,'Restaurant Base (Hidden)'!$C$2:$C$1048576,0),MATCH(L$6,'Restaurant Base (Hidden)'!$A$1:$Z$1,0)),"")</f>
        <v>2</v>
      </c>
      <c r="M58" s="2" t="str">
        <f>+IFERROR(INDEX('Restaurant Base (Hidden)'!$A$2:$Z$1048576,MATCH($C58,'Restaurant Base (Hidden)'!$C$2:$C$1048576,0),MATCH(M$6,'Restaurant Base (Hidden)'!$A$1:$Z$1,0)),"")</f>
        <v/>
      </c>
      <c r="N58" s="234" t="str">
        <f>+IFERROR(INDEX('Restaurant Base (Hidden)'!$A$2:$Z$1048576,MATCH($C58,'Restaurant Base (Hidden)'!$C$2:$C$1048576,0),MATCH(N$6,'Restaurant Base (Hidden)'!$A$1:$Z$1,0)),"")</f>
        <v>80,40 %</v>
      </c>
      <c r="O58" s="1">
        <f>+IFERROR(INDEX('Restaurant Base (Hidden)'!$A$2:$Z$1048576,MATCH($C58,'Restaurant Base (Hidden)'!$C$2:$C$1048576,0),MATCH(O$6,'Restaurant Base (Hidden)'!$A$1:$Z$1,0)),"")</f>
        <v>5</v>
      </c>
      <c r="P58" s="2" t="str">
        <f>+IFERROR(INDEX('Restaurant Base (Hidden)'!$A$2:$Z$1048576,MATCH($C58,'Restaurant Base (Hidden)'!$C$2:$C$1048576,0),MATCH(P$6,'Restaurant Base (Hidden)'!$A$1:$Z$1,0)),"")</f>
        <v/>
      </c>
      <c r="Q58" s="234" t="str">
        <f>+IFERROR(INDEX('Restaurant Base (Hidden)'!$A$2:$Z$1048576,MATCH($C58,'Restaurant Base (Hidden)'!$C$2:$C$1048576,0),MATCH(Q$6,'Restaurant Base (Hidden)'!$A$1:$Z$1,0)),"")</f>
        <v>90,20 %</v>
      </c>
      <c r="R58" s="1">
        <f>+IFERROR(INDEX('Restaurant Base (Hidden)'!$A$2:$Z$1048576,MATCH($C58,'Restaurant Base (Hidden)'!$C$2:$C$1048576,0),MATCH(R$6,'Restaurant Base (Hidden)'!$A$1:$Z$1,0)),"")</f>
        <v>5</v>
      </c>
      <c r="S58" s="2" t="str">
        <f>+IFERROR(INDEX('Restaurant Base (Hidden)'!$A$2:$Z$1048576,MATCH($C58,'Restaurant Base (Hidden)'!$C$2:$C$1048576,0),MATCH(S$6,'Restaurant Base (Hidden)'!$A$1:$Z$1,0)),"")</f>
        <v/>
      </c>
      <c r="T58" s="62">
        <f>+IFERROR(INDEX('Restaurant Base (Hidden)'!$A$2:$Z$1048576,MATCH($C58,'Restaurant Base (Hidden)'!$C$2:$C$1048576,0),MATCH(T$6,'Restaurant Base (Hidden)'!$A$1:$Z$1,0)),"")</f>
        <v>69.3</v>
      </c>
      <c r="U58" s="1">
        <f>+IFERROR(INDEX('Restaurant Base (Hidden)'!$A$2:$Z$1048576,MATCH($C58,'Restaurant Base (Hidden)'!$C$2:$C$1048576,0),MATCH(U$6,'Restaurant Base (Hidden)'!$A$1:$Z$1,0)),"")</f>
        <v>5</v>
      </c>
      <c r="V58" s="2" t="str">
        <f>+IFERROR(INDEX('Restaurant Base (Hidden)'!$A$2:$Z$1048576,MATCH($C58,'Restaurant Base (Hidden)'!$C$2:$C$1048576,0),MATCH(V$6,'Restaurant Base (Hidden)'!$A$1:$Z$1,0)),"")</f>
        <v/>
      </c>
      <c r="W58" s="65" t="str">
        <f>+IFERROR(INDEX('Restaurant Base (Hidden)'!$A$2:$Z$1048576,MATCH($C58,'Restaurant Base (Hidden)'!$C$2:$C$1048576,0),MATCH(W$6,'Restaurant Base (Hidden)'!$A$1:$Z$1,0)),"")</f>
        <v>62,20 %</v>
      </c>
      <c r="X58" s="1">
        <f>+IFERROR(INDEX('Restaurant Base (Hidden)'!$A$2:$Z$1048576,MATCH($C58,'Restaurant Base (Hidden)'!$C$2:$C$1048576,0),MATCH(X$6,'Restaurant Base (Hidden)'!$A$1:$Z$1,0)),"")</f>
        <v>2</v>
      </c>
      <c r="Y58" s="65" t="str">
        <f>+IFERROR(INDEX('Restaurant Base (Hidden)'!$A$2:$Z$1048576,MATCH($C58,'Restaurant Base (Hidden)'!$C$2:$C$1048576,0),MATCH(Y$6,'Restaurant Base (Hidden)'!$A$1:$Z$1,0)),"")</f>
        <v>81,80 %</v>
      </c>
      <c r="Z58" s="106">
        <f>+IFERROR(INDEX('Restaurant Base (Hidden)'!$A$2:$Z$1048576,MATCH($C58,'Restaurant Base (Hidden)'!$C$2:$C$1048576,0),MATCH(Z$6,'Restaurant Base (Hidden)'!$A$1:$Z$1,0)),"")</f>
        <v>2</v>
      </c>
      <c r="AA58" s="65" t="str">
        <f>+IFERROR(INDEX('Restaurant Base (Hidden)'!$A$2:$Z$1048576,MATCH($C58,'Restaurant Base (Hidden)'!$C$2:$C$1048576,0),MATCH(AA$6,'Restaurant Base (Hidden)'!$A$1:$Z$1,0)),"")</f>
        <v>72,80 %</v>
      </c>
      <c r="AB58" s="1">
        <f>+IFERROR(INDEX('Restaurant Base (Hidden)'!$A$2:$Z$1048576,MATCH($C58,'Restaurant Base (Hidden)'!$C$2:$C$1048576,0),MATCH(AB$6,'Restaurant Base (Hidden)'!$A$1:$Z$1,0)),"")</f>
        <v>2</v>
      </c>
      <c r="AC58" s="20" t="str">
        <f>+IFERROR(INDEX('Restaurant Base (Hidden)'!$A$2:$Z$1048576,MATCH($C58,'Restaurant Base (Hidden)'!$C$2:$C$1048576,0),MATCH(AC$6,'Restaurant Base (Hidden)'!$A$1:$Z$1,0)),"")</f>
        <v/>
      </c>
      <c r="AD58" s="65" t="str">
        <f>+IFERROR(INDEX('Restaurant Base (Hidden)'!$A$2:$Z$1048576,MATCH($C58,'Restaurant Base (Hidden)'!$C$2:$C$1048576,0),MATCH(AD$6,'Restaurant Base (Hidden)'!$A$1:$Z$1,0)),"")</f>
        <v>94,60 %</v>
      </c>
      <c r="AE58" s="1">
        <f>+IFERROR(INDEX('Restaurant Base (Hidden)'!$A$2:$Z$1048576,MATCH($C58,'Restaurant Base (Hidden)'!$C$2:$C$1048576,0),MATCH(AE$6,'Restaurant Base (Hidden)'!$A$1:$Z$1,0)),"")</f>
        <v>4</v>
      </c>
      <c r="AF58" s="65" t="str">
        <f>+IFERROR(INDEX('Restaurant Base (Hidden)'!$A$2:$Z$1048576,MATCH($C58,'Restaurant Base (Hidden)'!$C$2:$C$1048576,0),MATCH(AF$6,'Restaurant Base (Hidden)'!$A$1:$Z$1,0)),"")</f>
        <v>67,90 %</v>
      </c>
      <c r="AG58" s="1">
        <f>+IFERROR(INDEX('Restaurant Base (Hidden)'!$A$2:$Z$1048576,MATCH($C58,'Restaurant Base (Hidden)'!$C$2:$C$1048576,0),MATCH(AG$6,'Restaurant Base (Hidden)'!$A$1:$Z$1,0)),"")</f>
        <v>1</v>
      </c>
    </row>
    <row r="59" spans="1:33" x14ac:dyDescent="0.4">
      <c r="A59" s="163" t="str">
        <f>IF('Restaurant Base (Hidden)'!A391=0,"", 'Restaurant Base (Hidden)'!A391)</f>
        <v>Logan Redford</v>
      </c>
      <c r="B59" s="163" t="str">
        <f>IF('Restaurant Base (Hidden)'!B391=0,"", 'Restaurant Base (Hidden)'!B391)</f>
        <v>Rosebridge Hospitality</v>
      </c>
      <c r="C59" s="163" t="str">
        <f>IF('Restaurant Base (Hidden)'!C391=0,"", 'Restaurant Base (Hidden)'!C391)</f>
        <v>Lunar Boulevard</v>
      </c>
      <c r="D59" s="104">
        <f t="shared" si="0"/>
        <v>52</v>
      </c>
      <c r="E59" s="105">
        <f>+IFERROR(INDEX('Restaurant Base (Hidden)'!$A$2:$Z$1048576,MATCH($C59,'Restaurant Base (Hidden)'!$C$2:$C$1048576,0),MATCH(E$6,'Restaurant Base (Hidden)'!$A$1:$Z$1,0)),"")</f>
        <v>3.53</v>
      </c>
      <c r="F59" s="2" t="str">
        <f>+IFERROR(INDEX('Restaurant Base (Hidden)'!$A$2:$Z$1048576,MATCH($C59,'Restaurant Base (Hidden)'!$C$2:$C$1048576,0),MATCH(F$6,'Restaurant Base (Hidden)'!$A$1:$Z$1,0)),"")</f>
        <v/>
      </c>
      <c r="G59" s="20" t="str">
        <f>+IFERROR(INDEX('Restaurant Base (Hidden)'!$A$2:$Z$1048576,MATCH($C59,'Restaurant Base (Hidden)'!$C$2:$C$1048576,0),MATCH(G$6,'Restaurant Base (Hidden)'!$A$1:$Z$1,0)),"")</f>
        <v>4,643</v>
      </c>
      <c r="H59" s="50">
        <f>+IFERROR(INDEX('Restaurant Base (Hidden)'!$A$2:$Z$1048576,MATCH($C59,'Restaurant Base (Hidden)'!$C$2:$C$1048576,0),MATCH(H$6,'Restaurant Base (Hidden)'!$A$1:$Z$1,0)),"")</f>
        <v>5</v>
      </c>
      <c r="I59" s="20" t="str">
        <f>+IFERROR(INDEX('Restaurant Base (Hidden)'!$A$2:$Z$1048576,MATCH($C59,'Restaurant Base (Hidden)'!$C$2:$C$1048576,0),MATCH(I$6,'Restaurant Base (Hidden)'!$A$1:$Z$1,0)),"")</f>
        <v>76,20 %</v>
      </c>
      <c r="J59" s="49">
        <f>+IFERROR(INDEX('Restaurant Base (Hidden)'!$A$2:$Z$1048576,MATCH($C59,'Restaurant Base (Hidden)'!$C$2:$C$1048576,0),MATCH(J$6,'Restaurant Base (Hidden)'!$A$1:$Z$1,0)),"")</f>
        <v>1</v>
      </c>
      <c r="K59" s="20" t="str">
        <f>+IFERROR(INDEX('Restaurant Base (Hidden)'!$A$2:$Z$1048576,MATCH($C59,'Restaurant Base (Hidden)'!$C$2:$C$1048576,0),MATCH(K$6,'Restaurant Base (Hidden)'!$A$1:$Z$1,0)),"")</f>
        <v>0,035</v>
      </c>
      <c r="L59" s="51">
        <f>+IFERROR(INDEX('Restaurant Base (Hidden)'!$A$2:$Z$1048576,MATCH($C59,'Restaurant Base (Hidden)'!$C$2:$C$1048576,0),MATCH(L$6,'Restaurant Base (Hidden)'!$A$1:$Z$1,0)),"")</f>
        <v>5</v>
      </c>
      <c r="M59" s="2" t="str">
        <f>+IFERROR(INDEX('Restaurant Base (Hidden)'!$A$2:$Z$1048576,MATCH($C59,'Restaurant Base (Hidden)'!$C$2:$C$1048576,0),MATCH(M$6,'Restaurant Base (Hidden)'!$A$1:$Z$1,0)),"")</f>
        <v/>
      </c>
      <c r="N59" s="234" t="str">
        <f>+IFERROR(INDEX('Restaurant Base (Hidden)'!$A$2:$Z$1048576,MATCH($C59,'Restaurant Base (Hidden)'!$C$2:$C$1048576,0),MATCH(N$6,'Restaurant Base (Hidden)'!$A$1:$Z$1,0)),"")</f>
        <v>71,80 %</v>
      </c>
      <c r="O59" s="1">
        <f>+IFERROR(INDEX('Restaurant Base (Hidden)'!$A$2:$Z$1048576,MATCH($C59,'Restaurant Base (Hidden)'!$C$2:$C$1048576,0),MATCH(O$6,'Restaurant Base (Hidden)'!$A$1:$Z$1,0)),"")</f>
        <v>4</v>
      </c>
      <c r="P59" s="2" t="str">
        <f>+IFERROR(INDEX('Restaurant Base (Hidden)'!$A$2:$Z$1048576,MATCH($C59,'Restaurant Base (Hidden)'!$C$2:$C$1048576,0),MATCH(P$6,'Restaurant Base (Hidden)'!$A$1:$Z$1,0)),"")</f>
        <v/>
      </c>
      <c r="Q59" s="234" t="str">
        <f>+IFERROR(INDEX('Restaurant Base (Hidden)'!$A$2:$Z$1048576,MATCH($C59,'Restaurant Base (Hidden)'!$C$2:$C$1048576,0),MATCH(Q$6,'Restaurant Base (Hidden)'!$A$1:$Z$1,0)),"")</f>
        <v>98,70 %</v>
      </c>
      <c r="R59" s="1">
        <f>+IFERROR(INDEX('Restaurant Base (Hidden)'!$A$2:$Z$1048576,MATCH($C59,'Restaurant Base (Hidden)'!$C$2:$C$1048576,0),MATCH(R$6,'Restaurant Base (Hidden)'!$A$1:$Z$1,0)),"")</f>
        <v>5</v>
      </c>
      <c r="S59" s="2" t="str">
        <f>+IFERROR(INDEX('Restaurant Base (Hidden)'!$A$2:$Z$1048576,MATCH($C59,'Restaurant Base (Hidden)'!$C$2:$C$1048576,0),MATCH(S$6,'Restaurant Base (Hidden)'!$A$1:$Z$1,0)),"")</f>
        <v/>
      </c>
      <c r="T59" s="62">
        <f>+IFERROR(INDEX('Restaurant Base (Hidden)'!$A$2:$Z$1048576,MATCH($C59,'Restaurant Base (Hidden)'!$C$2:$C$1048576,0),MATCH(T$6,'Restaurant Base (Hidden)'!$A$1:$Z$1,0)),"")</f>
        <v>62.4</v>
      </c>
      <c r="U59" s="1">
        <f>+IFERROR(INDEX('Restaurant Base (Hidden)'!$A$2:$Z$1048576,MATCH($C59,'Restaurant Base (Hidden)'!$C$2:$C$1048576,0),MATCH(U$6,'Restaurant Base (Hidden)'!$A$1:$Z$1,0)),"")</f>
        <v>3</v>
      </c>
      <c r="V59" s="2" t="str">
        <f>+IFERROR(INDEX('Restaurant Base (Hidden)'!$A$2:$Z$1048576,MATCH($C59,'Restaurant Base (Hidden)'!$C$2:$C$1048576,0),MATCH(V$6,'Restaurant Base (Hidden)'!$A$1:$Z$1,0)),"")</f>
        <v/>
      </c>
      <c r="W59" s="65" t="str">
        <f>+IFERROR(INDEX('Restaurant Base (Hidden)'!$A$2:$Z$1048576,MATCH($C59,'Restaurant Base (Hidden)'!$C$2:$C$1048576,0),MATCH(W$6,'Restaurant Base (Hidden)'!$A$1:$Z$1,0)),"")</f>
        <v>90,60 %</v>
      </c>
      <c r="X59" s="1">
        <f>+IFERROR(INDEX('Restaurant Base (Hidden)'!$A$2:$Z$1048576,MATCH($C59,'Restaurant Base (Hidden)'!$C$2:$C$1048576,0),MATCH(X$6,'Restaurant Base (Hidden)'!$A$1:$Z$1,0)),"")</f>
        <v>3</v>
      </c>
      <c r="Y59" s="65" t="str">
        <f>+IFERROR(INDEX('Restaurant Base (Hidden)'!$A$2:$Z$1048576,MATCH($C59,'Restaurant Base (Hidden)'!$C$2:$C$1048576,0),MATCH(Y$6,'Restaurant Base (Hidden)'!$A$1:$Z$1,0)),"")</f>
        <v>75,10 %</v>
      </c>
      <c r="Z59" s="106">
        <f>+IFERROR(INDEX('Restaurant Base (Hidden)'!$A$2:$Z$1048576,MATCH($C59,'Restaurant Base (Hidden)'!$C$2:$C$1048576,0),MATCH(Z$6,'Restaurant Base (Hidden)'!$A$1:$Z$1,0)),"")</f>
        <v>2</v>
      </c>
      <c r="AA59" s="65" t="str">
        <f>+IFERROR(INDEX('Restaurant Base (Hidden)'!$A$2:$Z$1048576,MATCH($C59,'Restaurant Base (Hidden)'!$C$2:$C$1048576,0),MATCH(AA$6,'Restaurant Base (Hidden)'!$A$1:$Z$1,0)),"")</f>
        <v>82,00 %</v>
      </c>
      <c r="AB59" s="1">
        <f>+IFERROR(INDEX('Restaurant Base (Hidden)'!$A$2:$Z$1048576,MATCH($C59,'Restaurant Base (Hidden)'!$C$2:$C$1048576,0),MATCH(AB$6,'Restaurant Base (Hidden)'!$A$1:$Z$1,0)),"")</f>
        <v>2</v>
      </c>
      <c r="AC59" s="20" t="str">
        <f>+IFERROR(INDEX('Restaurant Base (Hidden)'!$A$2:$Z$1048576,MATCH($C59,'Restaurant Base (Hidden)'!$C$2:$C$1048576,0),MATCH(AC$6,'Restaurant Base (Hidden)'!$A$1:$Z$1,0)),"")</f>
        <v/>
      </c>
      <c r="AD59" s="65" t="str">
        <f>+IFERROR(INDEX('Restaurant Base (Hidden)'!$A$2:$Z$1048576,MATCH($C59,'Restaurant Base (Hidden)'!$C$2:$C$1048576,0),MATCH(AD$6,'Restaurant Base (Hidden)'!$A$1:$Z$1,0)),"")</f>
        <v>96,80 %</v>
      </c>
      <c r="AE59" s="1">
        <f>+IFERROR(INDEX('Restaurant Base (Hidden)'!$A$2:$Z$1048576,MATCH($C59,'Restaurant Base (Hidden)'!$C$2:$C$1048576,0),MATCH(AE$6,'Restaurant Base (Hidden)'!$A$1:$Z$1,0)),"")</f>
        <v>5</v>
      </c>
      <c r="AF59" s="65" t="str">
        <f>+IFERROR(INDEX('Restaurant Base (Hidden)'!$A$2:$Z$1048576,MATCH($C59,'Restaurant Base (Hidden)'!$C$2:$C$1048576,0),MATCH(AF$6,'Restaurant Base (Hidden)'!$A$1:$Z$1,0)),"")</f>
        <v>90,20 %</v>
      </c>
      <c r="AG59" s="1">
        <f>+IFERROR(INDEX('Restaurant Base (Hidden)'!$A$2:$Z$1048576,MATCH($C59,'Restaurant Base (Hidden)'!$C$2:$C$1048576,0),MATCH(AG$6,'Restaurant Base (Hidden)'!$A$1:$Z$1,0)),"")</f>
        <v>3</v>
      </c>
    </row>
    <row r="60" spans="1:33" x14ac:dyDescent="0.4">
      <c r="A60" s="163" t="str">
        <f>IF('Restaurant Base (Hidden)'!A29=0,"", 'Restaurant Base (Hidden)'!A29)</f>
        <v>Sawyer Thornfield</v>
      </c>
      <c r="B60" s="163" t="str">
        <f>IF('Restaurant Base (Hidden)'!B29=0,"", 'Restaurant Base (Hidden)'!B29)</f>
        <v>Westfield Food Group</v>
      </c>
      <c r="C60" s="163" t="str">
        <f>IF('Restaurant Base (Hidden)'!C29=0,"", 'Restaurant Base (Hidden)'!C29)</f>
        <v>Crestfield Grove</v>
      </c>
      <c r="D60" s="104">
        <f t="shared" si="0"/>
        <v>54</v>
      </c>
      <c r="E60" s="105">
        <f>+IFERROR(INDEX('Restaurant Base (Hidden)'!$A$2:$Z$1048576,MATCH($C60,'Restaurant Base (Hidden)'!$C$2:$C$1048576,0),MATCH(E$6,'Restaurant Base (Hidden)'!$A$1:$Z$1,0)),"")</f>
        <v>3.52</v>
      </c>
      <c r="F60" s="64" t="str">
        <f>+IFERROR(INDEX('Restaurant Base (Hidden)'!$A$2:$Z$1048576,MATCH($C60,'Restaurant Base (Hidden)'!$C$2:$C$1048576,0),MATCH(F$6,'Restaurant Base (Hidden)'!$A$1:$Z$1,0)),"")</f>
        <v/>
      </c>
      <c r="G60" s="20" t="str">
        <f>+IFERROR(INDEX('Restaurant Base (Hidden)'!$A$2:$Z$1048576,MATCH($C60,'Restaurant Base (Hidden)'!$C$2:$C$1048576,0),MATCH(G$6,'Restaurant Base (Hidden)'!$A$1:$Z$1,0)),"")</f>
        <v>4,149</v>
      </c>
      <c r="H60" s="50">
        <f>+IFERROR(INDEX('Restaurant Base (Hidden)'!$A$2:$Z$1048576,MATCH($C60,'Restaurant Base (Hidden)'!$C$2:$C$1048576,0),MATCH(H$6,'Restaurant Base (Hidden)'!$A$1:$Z$1,0)),"")</f>
        <v>2</v>
      </c>
      <c r="I60" s="20" t="str">
        <f>+IFERROR(INDEX('Restaurant Base (Hidden)'!$A$2:$Z$1048576,MATCH($C60,'Restaurant Base (Hidden)'!$C$2:$C$1048576,0),MATCH(I$6,'Restaurant Base (Hidden)'!$A$1:$Z$1,0)),"")</f>
        <v>56,60 %</v>
      </c>
      <c r="J60" s="49">
        <f>+IFERROR(INDEX('Restaurant Base (Hidden)'!$A$2:$Z$1048576,MATCH($C60,'Restaurant Base (Hidden)'!$C$2:$C$1048576,0),MATCH(J$6,'Restaurant Base (Hidden)'!$A$1:$Z$1,0)),"")</f>
        <v>1</v>
      </c>
      <c r="K60" s="20" t="str">
        <f>+IFERROR(INDEX('Restaurant Base (Hidden)'!$A$2:$Z$1048576,MATCH($C60,'Restaurant Base (Hidden)'!$C$2:$C$1048576,0),MATCH(K$6,'Restaurant Base (Hidden)'!$A$1:$Z$1,0)),"")</f>
        <v>0,053</v>
      </c>
      <c r="L60" s="51">
        <f>+IFERROR(INDEX('Restaurant Base (Hidden)'!$A$2:$Z$1048576,MATCH($C60,'Restaurant Base (Hidden)'!$C$2:$C$1048576,0),MATCH(L$6,'Restaurant Base (Hidden)'!$A$1:$Z$1,0)),"")</f>
        <v>5</v>
      </c>
      <c r="M60" s="2" t="str">
        <f>+IFERROR(INDEX('Restaurant Base (Hidden)'!$A$2:$Z$1048576,MATCH($C60,'Restaurant Base (Hidden)'!$C$2:$C$1048576,0),MATCH(M$6,'Restaurant Base (Hidden)'!$A$1:$Z$1,0)),"")</f>
        <v/>
      </c>
      <c r="N60" s="234" t="str">
        <f>+IFERROR(INDEX('Restaurant Base (Hidden)'!$A$2:$Z$1048576,MATCH($C60,'Restaurant Base (Hidden)'!$C$2:$C$1048576,0),MATCH(N$6,'Restaurant Base (Hidden)'!$A$1:$Z$1,0)),"")</f>
        <v>73,40 %</v>
      </c>
      <c r="O60" s="1">
        <f>+IFERROR(INDEX('Restaurant Base (Hidden)'!$A$2:$Z$1048576,MATCH($C60,'Restaurant Base (Hidden)'!$C$2:$C$1048576,0),MATCH(O$6,'Restaurant Base (Hidden)'!$A$1:$Z$1,0)),"")</f>
        <v>5</v>
      </c>
      <c r="P60" s="2" t="str">
        <f>+IFERROR(INDEX('Restaurant Base (Hidden)'!$A$2:$Z$1048576,MATCH($C60,'Restaurant Base (Hidden)'!$C$2:$C$1048576,0),MATCH(P$6,'Restaurant Base (Hidden)'!$A$1:$Z$1,0)),"")</f>
        <v/>
      </c>
      <c r="Q60" s="234" t="str">
        <f>+IFERROR(INDEX('Restaurant Base (Hidden)'!$A$2:$Z$1048576,MATCH($C60,'Restaurant Base (Hidden)'!$C$2:$C$1048576,0),MATCH(Q$6,'Restaurant Base (Hidden)'!$A$1:$Z$1,0)),"")</f>
        <v>71,00 %</v>
      </c>
      <c r="R60" s="1">
        <f>+IFERROR(INDEX('Restaurant Base (Hidden)'!$A$2:$Z$1048576,MATCH($C60,'Restaurant Base (Hidden)'!$C$2:$C$1048576,0),MATCH(R$6,'Restaurant Base (Hidden)'!$A$1:$Z$1,0)),"")</f>
        <v>4</v>
      </c>
      <c r="S60" s="2" t="str">
        <f>+IFERROR(INDEX('Restaurant Base (Hidden)'!$A$2:$Z$1048576,MATCH($C60,'Restaurant Base (Hidden)'!$C$2:$C$1048576,0),MATCH(S$6,'Restaurant Base (Hidden)'!$A$1:$Z$1,0)),"")</f>
        <v/>
      </c>
      <c r="T60" s="62">
        <f>+IFERROR(INDEX('Restaurant Base (Hidden)'!$A$2:$Z$1048576,MATCH($C60,'Restaurant Base (Hidden)'!$C$2:$C$1048576,0),MATCH(T$6,'Restaurant Base (Hidden)'!$A$1:$Z$1,0)),"")</f>
        <v>67.3</v>
      </c>
      <c r="U60" s="1">
        <f>+IFERROR(INDEX('Restaurant Base (Hidden)'!$A$2:$Z$1048576,MATCH($C60,'Restaurant Base (Hidden)'!$C$2:$C$1048576,0),MATCH(U$6,'Restaurant Base (Hidden)'!$A$1:$Z$1,0)),"")</f>
        <v>4</v>
      </c>
      <c r="V60" s="2" t="str">
        <f>+IFERROR(INDEX('Restaurant Base (Hidden)'!$A$2:$Z$1048576,MATCH($C60,'Restaurant Base (Hidden)'!$C$2:$C$1048576,0),MATCH(V$6,'Restaurant Base (Hidden)'!$A$1:$Z$1,0)),"")</f>
        <v/>
      </c>
      <c r="W60" s="65" t="str">
        <f>+IFERROR(INDEX('Restaurant Base (Hidden)'!$A$2:$Z$1048576,MATCH($C60,'Restaurant Base (Hidden)'!$C$2:$C$1048576,0),MATCH(W$6,'Restaurant Base (Hidden)'!$A$1:$Z$1,0)),"")</f>
        <v>86,50 %</v>
      </c>
      <c r="X60" s="1">
        <f>+IFERROR(INDEX('Restaurant Base (Hidden)'!$A$2:$Z$1048576,MATCH($C60,'Restaurant Base (Hidden)'!$C$2:$C$1048576,0),MATCH(X$6,'Restaurant Base (Hidden)'!$A$1:$Z$1,0)),"")</f>
        <v>3</v>
      </c>
      <c r="Y60" s="65" t="str">
        <f>+IFERROR(INDEX('Restaurant Base (Hidden)'!$A$2:$Z$1048576,MATCH($C60,'Restaurant Base (Hidden)'!$C$2:$C$1048576,0),MATCH(Y$6,'Restaurant Base (Hidden)'!$A$1:$Z$1,0)),"")</f>
        <v>93,30 %</v>
      </c>
      <c r="Z60" s="106">
        <f>+IFERROR(INDEX('Restaurant Base (Hidden)'!$A$2:$Z$1048576,MATCH($C60,'Restaurant Base (Hidden)'!$C$2:$C$1048576,0),MATCH(Z$6,'Restaurant Base (Hidden)'!$A$1:$Z$1,0)),"")</f>
        <v>3</v>
      </c>
      <c r="AA60" s="65" t="str">
        <f>+IFERROR(INDEX('Restaurant Base (Hidden)'!$A$2:$Z$1048576,MATCH($C60,'Restaurant Base (Hidden)'!$C$2:$C$1048576,0),MATCH(AA$6,'Restaurant Base (Hidden)'!$A$1:$Z$1,0)),"")</f>
        <v>90,20 %</v>
      </c>
      <c r="AB60" s="1">
        <f>+IFERROR(INDEX('Restaurant Base (Hidden)'!$A$2:$Z$1048576,MATCH($C60,'Restaurant Base (Hidden)'!$C$2:$C$1048576,0),MATCH(AB$6,'Restaurant Base (Hidden)'!$A$1:$Z$1,0)),"")</f>
        <v>3</v>
      </c>
      <c r="AC60" s="20" t="str">
        <f>+IFERROR(INDEX('Restaurant Base (Hidden)'!$A$2:$Z$1048576,MATCH($C60,'Restaurant Base (Hidden)'!$C$2:$C$1048576,0),MATCH(AC$6,'Restaurant Base (Hidden)'!$A$1:$Z$1,0)),"")</f>
        <v/>
      </c>
      <c r="AD60" s="65" t="str">
        <f>+IFERROR(INDEX('Restaurant Base (Hidden)'!$A$2:$Z$1048576,MATCH($C60,'Restaurant Base (Hidden)'!$C$2:$C$1048576,0),MATCH(AD$6,'Restaurant Base (Hidden)'!$A$1:$Z$1,0)),"")</f>
        <v>90,90 %</v>
      </c>
      <c r="AE60" s="1">
        <f>+IFERROR(INDEX('Restaurant Base (Hidden)'!$A$2:$Z$1048576,MATCH($C60,'Restaurant Base (Hidden)'!$C$2:$C$1048576,0),MATCH(AE$6,'Restaurant Base (Hidden)'!$A$1:$Z$1,0)),"")</f>
        <v>4</v>
      </c>
      <c r="AF60" s="65" t="str">
        <f>+IFERROR(INDEX('Restaurant Base (Hidden)'!$A$2:$Z$1048576,MATCH($C60,'Restaurant Base (Hidden)'!$C$2:$C$1048576,0),MATCH(AF$6,'Restaurant Base (Hidden)'!$A$1:$Z$1,0)),"")</f>
        <v>97,50 %</v>
      </c>
      <c r="AG60" s="1">
        <f>+IFERROR(INDEX('Restaurant Base (Hidden)'!$A$2:$Z$1048576,MATCH($C60,'Restaurant Base (Hidden)'!$C$2:$C$1048576,0),MATCH(AG$6,'Restaurant Base (Hidden)'!$A$1:$Z$1,0)),"")</f>
        <v>4</v>
      </c>
    </row>
    <row r="61" spans="1:33" x14ac:dyDescent="0.4">
      <c r="A61" s="163" t="str">
        <f>IF('Restaurant Base (Hidden)'!A121=0,"", 'Restaurant Base (Hidden)'!A121)</f>
        <v>Cameron Creston</v>
      </c>
      <c r="B61" s="163" t="str">
        <f>IF('Restaurant Base (Hidden)'!B121=0,"", 'Restaurant Base (Hidden)'!B121)</f>
        <v>Sunridge Food Partners</v>
      </c>
      <c r="C61" s="163" t="str">
        <f>IF('Restaurant Base (Hidden)'!C121=0,"", 'Restaurant Base (Hidden)'!C121)</f>
        <v>Brightmoor Point</v>
      </c>
      <c r="D61" s="104">
        <f t="shared" si="0"/>
        <v>54</v>
      </c>
      <c r="E61" s="105">
        <f>+IFERROR(INDEX('Restaurant Base (Hidden)'!$A$2:$Z$1048576,MATCH($C61,'Restaurant Base (Hidden)'!$C$2:$C$1048576,0),MATCH(E$6,'Restaurant Base (Hidden)'!$A$1:$Z$1,0)),"")</f>
        <v>3.52</v>
      </c>
      <c r="F61" s="2" t="str">
        <f>+IFERROR(INDEX('Restaurant Base (Hidden)'!$A$2:$Z$1048576,MATCH($C61,'Restaurant Base (Hidden)'!$C$2:$C$1048576,0),MATCH(F$6,'Restaurant Base (Hidden)'!$A$1:$Z$1,0)),"")</f>
        <v/>
      </c>
      <c r="G61" s="20" t="str">
        <f>+IFERROR(INDEX('Restaurant Base (Hidden)'!$A$2:$Z$1048576,MATCH($C61,'Restaurant Base (Hidden)'!$C$2:$C$1048576,0),MATCH(G$6,'Restaurant Base (Hidden)'!$A$1:$Z$1,0)),"")</f>
        <v>4,490</v>
      </c>
      <c r="H61" s="50">
        <f>+IFERROR(INDEX('Restaurant Base (Hidden)'!$A$2:$Z$1048576,MATCH($C61,'Restaurant Base (Hidden)'!$C$2:$C$1048576,0),MATCH(H$6,'Restaurant Base (Hidden)'!$A$1:$Z$1,0)),"")</f>
        <v>4</v>
      </c>
      <c r="I61" s="20" t="str">
        <f>+IFERROR(INDEX('Restaurant Base (Hidden)'!$A$2:$Z$1048576,MATCH($C61,'Restaurant Base (Hidden)'!$C$2:$C$1048576,0),MATCH(I$6,'Restaurant Base (Hidden)'!$A$1:$Z$1,0)),"")</f>
        <v>90,50 %</v>
      </c>
      <c r="J61" s="49">
        <f>+IFERROR(INDEX('Restaurant Base (Hidden)'!$A$2:$Z$1048576,MATCH($C61,'Restaurant Base (Hidden)'!$C$2:$C$1048576,0),MATCH(J$6,'Restaurant Base (Hidden)'!$A$1:$Z$1,0)),"")</f>
        <v>4</v>
      </c>
      <c r="K61" s="20" t="str">
        <f>+IFERROR(INDEX('Restaurant Base (Hidden)'!$A$2:$Z$1048576,MATCH($C61,'Restaurant Base (Hidden)'!$C$2:$C$1048576,0),MATCH(K$6,'Restaurant Base (Hidden)'!$A$1:$Z$1,0)),"")</f>
        <v>0,094</v>
      </c>
      <c r="L61" s="51">
        <f>+IFERROR(INDEX('Restaurant Base (Hidden)'!$A$2:$Z$1048576,MATCH($C61,'Restaurant Base (Hidden)'!$C$2:$C$1048576,0),MATCH(L$6,'Restaurant Base (Hidden)'!$A$1:$Z$1,0)),"")</f>
        <v>4</v>
      </c>
      <c r="M61" s="2" t="str">
        <f>+IFERROR(INDEX('Restaurant Base (Hidden)'!$A$2:$Z$1048576,MATCH($C61,'Restaurant Base (Hidden)'!$C$2:$C$1048576,0),MATCH(M$6,'Restaurant Base (Hidden)'!$A$1:$Z$1,0)),"")</f>
        <v/>
      </c>
      <c r="N61" s="234" t="str">
        <f>+IFERROR(INDEX('Restaurant Base (Hidden)'!$A$2:$Z$1048576,MATCH($C61,'Restaurant Base (Hidden)'!$C$2:$C$1048576,0),MATCH(N$6,'Restaurant Base (Hidden)'!$A$1:$Z$1,0)),"")</f>
        <v>65,20 %</v>
      </c>
      <c r="O61" s="1">
        <f>+IFERROR(INDEX('Restaurant Base (Hidden)'!$A$2:$Z$1048576,MATCH($C61,'Restaurant Base (Hidden)'!$C$2:$C$1048576,0),MATCH(O$6,'Restaurant Base (Hidden)'!$A$1:$Z$1,0)),"")</f>
        <v>3</v>
      </c>
      <c r="P61" s="2" t="str">
        <f>+IFERROR(INDEX('Restaurant Base (Hidden)'!$A$2:$Z$1048576,MATCH($C61,'Restaurant Base (Hidden)'!$C$2:$C$1048576,0),MATCH(P$6,'Restaurant Base (Hidden)'!$A$1:$Z$1,0)),"")</f>
        <v/>
      </c>
      <c r="Q61" s="234" t="str">
        <f>+IFERROR(INDEX('Restaurant Base (Hidden)'!$A$2:$Z$1048576,MATCH($C61,'Restaurant Base (Hidden)'!$C$2:$C$1048576,0),MATCH(Q$6,'Restaurant Base (Hidden)'!$A$1:$Z$1,0)),"")</f>
        <v>91,40 %</v>
      </c>
      <c r="R61" s="1">
        <f>+IFERROR(INDEX('Restaurant Base (Hidden)'!$A$2:$Z$1048576,MATCH($C61,'Restaurant Base (Hidden)'!$C$2:$C$1048576,0),MATCH(R$6,'Restaurant Base (Hidden)'!$A$1:$Z$1,0)),"")</f>
        <v>5</v>
      </c>
      <c r="S61" s="2" t="str">
        <f>+IFERROR(INDEX('Restaurant Base (Hidden)'!$A$2:$Z$1048576,MATCH($C61,'Restaurant Base (Hidden)'!$C$2:$C$1048576,0),MATCH(S$6,'Restaurant Base (Hidden)'!$A$1:$Z$1,0)),"")</f>
        <v/>
      </c>
      <c r="T61" s="62">
        <f>+IFERROR(INDEX('Restaurant Base (Hidden)'!$A$2:$Z$1048576,MATCH($C61,'Restaurant Base (Hidden)'!$C$2:$C$1048576,0),MATCH(T$6,'Restaurant Base (Hidden)'!$A$1:$Z$1,0)),"")</f>
        <v>76.8</v>
      </c>
      <c r="U61" s="1">
        <f>+IFERROR(INDEX('Restaurant Base (Hidden)'!$A$2:$Z$1048576,MATCH($C61,'Restaurant Base (Hidden)'!$C$2:$C$1048576,0),MATCH(U$6,'Restaurant Base (Hidden)'!$A$1:$Z$1,0)),"")</f>
        <v>5</v>
      </c>
      <c r="V61" s="2" t="str">
        <f>+IFERROR(INDEX('Restaurant Base (Hidden)'!$A$2:$Z$1048576,MATCH($C61,'Restaurant Base (Hidden)'!$C$2:$C$1048576,0),MATCH(V$6,'Restaurant Base (Hidden)'!$A$1:$Z$1,0)),"")</f>
        <v/>
      </c>
      <c r="W61" s="65" t="str">
        <f>+IFERROR(INDEX('Restaurant Base (Hidden)'!$A$2:$Z$1048576,MATCH($C61,'Restaurant Base (Hidden)'!$C$2:$C$1048576,0),MATCH(W$6,'Restaurant Base (Hidden)'!$A$1:$Z$1,0)),"")</f>
        <v>63,10 %</v>
      </c>
      <c r="X61" s="1">
        <f>+IFERROR(INDEX('Restaurant Base (Hidden)'!$A$2:$Z$1048576,MATCH($C61,'Restaurant Base (Hidden)'!$C$2:$C$1048576,0),MATCH(X$6,'Restaurant Base (Hidden)'!$A$1:$Z$1,0)),"")</f>
        <v>2</v>
      </c>
      <c r="Y61" s="65" t="str">
        <f>+IFERROR(INDEX('Restaurant Base (Hidden)'!$A$2:$Z$1048576,MATCH($C61,'Restaurant Base (Hidden)'!$C$2:$C$1048576,0),MATCH(Y$6,'Restaurant Base (Hidden)'!$A$1:$Z$1,0)),"")</f>
        <v>94,80 %</v>
      </c>
      <c r="Z61" s="106">
        <f>+IFERROR(INDEX('Restaurant Base (Hidden)'!$A$2:$Z$1048576,MATCH($C61,'Restaurant Base (Hidden)'!$C$2:$C$1048576,0),MATCH(Z$6,'Restaurant Base (Hidden)'!$A$1:$Z$1,0)),"")</f>
        <v>4</v>
      </c>
      <c r="AA61" s="65" t="str">
        <f>+IFERROR(INDEX('Restaurant Base (Hidden)'!$A$2:$Z$1048576,MATCH($C61,'Restaurant Base (Hidden)'!$C$2:$C$1048576,0),MATCH(AA$6,'Restaurant Base (Hidden)'!$A$1:$Z$1,0)),"")</f>
        <v>78,30 %</v>
      </c>
      <c r="AB61" s="1">
        <f>+IFERROR(INDEX('Restaurant Base (Hidden)'!$A$2:$Z$1048576,MATCH($C61,'Restaurant Base (Hidden)'!$C$2:$C$1048576,0),MATCH(AB$6,'Restaurant Base (Hidden)'!$A$1:$Z$1,0)),"")</f>
        <v>2</v>
      </c>
      <c r="AC61" s="20" t="str">
        <f>+IFERROR(INDEX('Restaurant Base (Hidden)'!$A$2:$Z$1048576,MATCH($C61,'Restaurant Base (Hidden)'!$C$2:$C$1048576,0),MATCH(AC$6,'Restaurant Base (Hidden)'!$A$1:$Z$1,0)),"")</f>
        <v/>
      </c>
      <c r="AD61" s="65" t="str">
        <f>+IFERROR(INDEX('Restaurant Base (Hidden)'!$A$2:$Z$1048576,MATCH($C61,'Restaurant Base (Hidden)'!$C$2:$C$1048576,0),MATCH(AD$6,'Restaurant Base (Hidden)'!$A$1:$Z$1,0)),"")</f>
        <v>61,70 %</v>
      </c>
      <c r="AE61" s="1">
        <f>+IFERROR(INDEX('Restaurant Base (Hidden)'!$A$2:$Z$1048576,MATCH($C61,'Restaurant Base (Hidden)'!$C$2:$C$1048576,0),MATCH(AE$6,'Restaurant Base (Hidden)'!$A$1:$Z$1,0)),"")</f>
        <v>1</v>
      </c>
      <c r="AF61" s="65" t="str">
        <f>+IFERROR(INDEX('Restaurant Base (Hidden)'!$A$2:$Z$1048576,MATCH($C61,'Restaurant Base (Hidden)'!$C$2:$C$1048576,0),MATCH(AF$6,'Restaurant Base (Hidden)'!$A$1:$Z$1,0)),"")</f>
        <v>86,40 %</v>
      </c>
      <c r="AG61" s="1">
        <f>+IFERROR(INDEX('Restaurant Base (Hidden)'!$A$2:$Z$1048576,MATCH($C61,'Restaurant Base (Hidden)'!$C$2:$C$1048576,0),MATCH(AG$6,'Restaurant Base (Hidden)'!$A$1:$Z$1,0)),"")</f>
        <v>3</v>
      </c>
    </row>
    <row r="62" spans="1:33" x14ac:dyDescent="0.4">
      <c r="A62" s="163" t="str">
        <f>IF('Restaurant Base (Hidden)'!A184=0,"", 'Restaurant Base (Hidden)'!A184)</f>
        <v>Hayden Merriton</v>
      </c>
      <c r="B62" s="163" t="str">
        <f>IF('Restaurant Base (Hidden)'!B184=0,"", 'Restaurant Base (Hidden)'!B184)</f>
        <v>Brookvale Dining</v>
      </c>
      <c r="C62" s="163" t="str">
        <f>IF('Restaurant Base (Hidden)'!C184=0,"", 'Restaurant Base (Hidden)'!C184)</f>
        <v>Brightmoor Landing</v>
      </c>
      <c r="D62" s="104">
        <f t="shared" si="0"/>
        <v>54</v>
      </c>
      <c r="E62" s="105">
        <f>+IFERROR(INDEX('Restaurant Base (Hidden)'!$A$2:$Z$1048576,MATCH($C62,'Restaurant Base (Hidden)'!$C$2:$C$1048576,0),MATCH(E$6,'Restaurant Base (Hidden)'!$A$1:$Z$1,0)),"")</f>
        <v>3.52</v>
      </c>
      <c r="F62" s="2" t="str">
        <f>+IFERROR(INDEX('Restaurant Base (Hidden)'!$A$2:$Z$1048576,MATCH($C62,'Restaurant Base (Hidden)'!$C$2:$C$1048576,0),MATCH(F$6,'Restaurant Base (Hidden)'!$A$1:$Z$1,0)),"")</f>
        <v/>
      </c>
      <c r="G62" s="20" t="str">
        <f>+IFERROR(INDEX('Restaurant Base (Hidden)'!$A$2:$Z$1048576,MATCH($C62,'Restaurant Base (Hidden)'!$C$2:$C$1048576,0),MATCH(G$6,'Restaurant Base (Hidden)'!$A$1:$Z$1,0)),"")</f>
        <v>4,662</v>
      </c>
      <c r="H62" s="50">
        <f>+IFERROR(INDEX('Restaurant Base (Hidden)'!$A$2:$Z$1048576,MATCH($C62,'Restaurant Base (Hidden)'!$C$2:$C$1048576,0),MATCH(H$6,'Restaurant Base (Hidden)'!$A$1:$Z$1,0)),"")</f>
        <v>5</v>
      </c>
      <c r="I62" s="20" t="str">
        <f>+IFERROR(INDEX('Restaurant Base (Hidden)'!$A$2:$Z$1048576,MATCH($C62,'Restaurant Base (Hidden)'!$C$2:$C$1048576,0),MATCH(I$6,'Restaurant Base (Hidden)'!$A$1:$Z$1,0)),"")</f>
        <v>88,50 %</v>
      </c>
      <c r="J62" s="49">
        <f>+IFERROR(INDEX('Restaurant Base (Hidden)'!$A$2:$Z$1048576,MATCH($C62,'Restaurant Base (Hidden)'!$C$2:$C$1048576,0),MATCH(J$6,'Restaurant Base (Hidden)'!$A$1:$Z$1,0)),"")</f>
        <v>4</v>
      </c>
      <c r="K62" s="20" t="str">
        <f>+IFERROR(INDEX('Restaurant Base (Hidden)'!$A$2:$Z$1048576,MATCH($C62,'Restaurant Base (Hidden)'!$C$2:$C$1048576,0),MATCH(K$6,'Restaurant Base (Hidden)'!$A$1:$Z$1,0)),"")</f>
        <v>0,102</v>
      </c>
      <c r="L62" s="51">
        <f>+IFERROR(INDEX('Restaurant Base (Hidden)'!$A$2:$Z$1048576,MATCH($C62,'Restaurant Base (Hidden)'!$C$2:$C$1048576,0),MATCH(L$6,'Restaurant Base (Hidden)'!$A$1:$Z$1,0)),"")</f>
        <v>3</v>
      </c>
      <c r="M62" s="2" t="str">
        <f>+IFERROR(INDEX('Restaurant Base (Hidden)'!$A$2:$Z$1048576,MATCH($C62,'Restaurant Base (Hidden)'!$C$2:$C$1048576,0),MATCH(M$6,'Restaurant Base (Hidden)'!$A$1:$Z$1,0)),"")</f>
        <v/>
      </c>
      <c r="N62" s="234" t="str">
        <f>+IFERROR(INDEX('Restaurant Base (Hidden)'!$A$2:$Z$1048576,MATCH($C62,'Restaurant Base (Hidden)'!$C$2:$C$1048576,0),MATCH(N$6,'Restaurant Base (Hidden)'!$A$1:$Z$1,0)),"")</f>
        <v>96,80 %</v>
      </c>
      <c r="O62" s="1">
        <f>+IFERROR(INDEX('Restaurant Base (Hidden)'!$A$2:$Z$1048576,MATCH($C62,'Restaurant Base (Hidden)'!$C$2:$C$1048576,0),MATCH(O$6,'Restaurant Base (Hidden)'!$A$1:$Z$1,0)),"")</f>
        <v>5</v>
      </c>
      <c r="P62" s="2" t="str">
        <f>+IFERROR(INDEX('Restaurant Base (Hidden)'!$A$2:$Z$1048576,MATCH($C62,'Restaurant Base (Hidden)'!$C$2:$C$1048576,0),MATCH(P$6,'Restaurant Base (Hidden)'!$A$1:$Z$1,0)),"")</f>
        <v/>
      </c>
      <c r="Q62" s="234" t="str">
        <f>+IFERROR(INDEX('Restaurant Base (Hidden)'!$A$2:$Z$1048576,MATCH($C62,'Restaurant Base (Hidden)'!$C$2:$C$1048576,0),MATCH(Q$6,'Restaurant Base (Hidden)'!$A$1:$Z$1,0)),"")</f>
        <v>81,20 %</v>
      </c>
      <c r="R62" s="1">
        <f>+IFERROR(INDEX('Restaurant Base (Hidden)'!$A$2:$Z$1048576,MATCH($C62,'Restaurant Base (Hidden)'!$C$2:$C$1048576,0),MATCH(R$6,'Restaurant Base (Hidden)'!$A$1:$Z$1,0)),"")</f>
        <v>5</v>
      </c>
      <c r="S62" s="2" t="str">
        <f>+IFERROR(INDEX('Restaurant Base (Hidden)'!$A$2:$Z$1048576,MATCH($C62,'Restaurant Base (Hidden)'!$C$2:$C$1048576,0),MATCH(S$6,'Restaurant Base (Hidden)'!$A$1:$Z$1,0)),"")</f>
        <v/>
      </c>
      <c r="T62" s="62">
        <f>+IFERROR(INDEX('Restaurant Base (Hidden)'!$A$2:$Z$1048576,MATCH($C62,'Restaurant Base (Hidden)'!$C$2:$C$1048576,0),MATCH(T$6,'Restaurant Base (Hidden)'!$A$1:$Z$1,0)),"")</f>
        <v>57.7</v>
      </c>
      <c r="U62" s="1">
        <f>+IFERROR(INDEX('Restaurant Base (Hidden)'!$A$2:$Z$1048576,MATCH($C62,'Restaurant Base (Hidden)'!$C$2:$C$1048576,0),MATCH(U$6,'Restaurant Base (Hidden)'!$A$1:$Z$1,0)),"")</f>
        <v>2</v>
      </c>
      <c r="V62" s="2" t="str">
        <f>+IFERROR(INDEX('Restaurant Base (Hidden)'!$A$2:$Z$1048576,MATCH($C62,'Restaurant Base (Hidden)'!$C$2:$C$1048576,0),MATCH(V$6,'Restaurant Base (Hidden)'!$A$1:$Z$1,0)),"")</f>
        <v/>
      </c>
      <c r="W62" s="65" t="str">
        <f>+IFERROR(INDEX('Restaurant Base (Hidden)'!$A$2:$Z$1048576,MATCH($C62,'Restaurant Base (Hidden)'!$C$2:$C$1048576,0),MATCH(W$6,'Restaurant Base (Hidden)'!$A$1:$Z$1,0)),"")</f>
        <v>62,40 %</v>
      </c>
      <c r="X62" s="1">
        <f>+IFERROR(INDEX('Restaurant Base (Hidden)'!$A$2:$Z$1048576,MATCH($C62,'Restaurant Base (Hidden)'!$C$2:$C$1048576,0),MATCH(X$6,'Restaurant Base (Hidden)'!$A$1:$Z$1,0)),"")</f>
        <v>2</v>
      </c>
      <c r="Y62" s="65" t="str">
        <f>+IFERROR(INDEX('Restaurant Base (Hidden)'!$A$2:$Z$1048576,MATCH($C62,'Restaurant Base (Hidden)'!$C$2:$C$1048576,0),MATCH(Y$6,'Restaurant Base (Hidden)'!$A$1:$Z$1,0)),"")</f>
        <v>64,60 %</v>
      </c>
      <c r="Z62" s="106">
        <f>+IFERROR(INDEX('Restaurant Base (Hidden)'!$A$2:$Z$1048576,MATCH($C62,'Restaurant Base (Hidden)'!$C$2:$C$1048576,0),MATCH(Z$6,'Restaurant Base (Hidden)'!$A$1:$Z$1,0)),"")</f>
        <v>2</v>
      </c>
      <c r="AA62" s="65" t="str">
        <f>+IFERROR(INDEX('Restaurant Base (Hidden)'!$A$2:$Z$1048576,MATCH($C62,'Restaurant Base (Hidden)'!$C$2:$C$1048576,0),MATCH(AA$6,'Restaurant Base (Hidden)'!$A$1:$Z$1,0)),"")</f>
        <v>85,90 %</v>
      </c>
      <c r="AB62" s="1">
        <f>+IFERROR(INDEX('Restaurant Base (Hidden)'!$A$2:$Z$1048576,MATCH($C62,'Restaurant Base (Hidden)'!$C$2:$C$1048576,0),MATCH(AB$6,'Restaurant Base (Hidden)'!$A$1:$Z$1,0)),"")</f>
        <v>3</v>
      </c>
      <c r="AC62" s="20" t="str">
        <f>+IFERROR(INDEX('Restaurant Base (Hidden)'!$A$2:$Z$1048576,MATCH($C62,'Restaurant Base (Hidden)'!$C$2:$C$1048576,0),MATCH(AC$6,'Restaurant Base (Hidden)'!$A$1:$Z$1,0)),"")</f>
        <v/>
      </c>
      <c r="AD62" s="65" t="str">
        <f>+IFERROR(INDEX('Restaurant Base (Hidden)'!$A$2:$Z$1048576,MATCH($C62,'Restaurant Base (Hidden)'!$C$2:$C$1048576,0),MATCH(AD$6,'Restaurant Base (Hidden)'!$A$1:$Z$1,0)),"")</f>
        <v>94,40 %</v>
      </c>
      <c r="AE62" s="1">
        <f>+IFERROR(INDEX('Restaurant Base (Hidden)'!$A$2:$Z$1048576,MATCH($C62,'Restaurant Base (Hidden)'!$C$2:$C$1048576,0),MATCH(AE$6,'Restaurant Base (Hidden)'!$A$1:$Z$1,0)),"")</f>
        <v>4</v>
      </c>
      <c r="AF62" s="65" t="str">
        <f>+IFERROR(INDEX('Restaurant Base (Hidden)'!$A$2:$Z$1048576,MATCH($C62,'Restaurant Base (Hidden)'!$C$2:$C$1048576,0),MATCH(AF$6,'Restaurant Base (Hidden)'!$A$1:$Z$1,0)),"")</f>
        <v>63,80 %</v>
      </c>
      <c r="AG62" s="1">
        <f>+IFERROR(INDEX('Restaurant Base (Hidden)'!$A$2:$Z$1048576,MATCH($C62,'Restaurant Base (Hidden)'!$C$2:$C$1048576,0),MATCH(AG$6,'Restaurant Base (Hidden)'!$A$1:$Z$1,0)),"")</f>
        <v>1</v>
      </c>
    </row>
    <row r="63" spans="1:33" x14ac:dyDescent="0.4">
      <c r="A63" s="163" t="str">
        <f>IF('Restaurant Base (Hidden)'!A278=0,"", 'Restaurant Base (Hidden)'!A278)</f>
        <v>Quinn Westbrook</v>
      </c>
      <c r="B63" s="163" t="str">
        <f>IF('Restaurant Base (Hidden)'!B278=0,"", 'Restaurant Base (Hidden)'!B278)</f>
        <v>Havenbrook Restaurants</v>
      </c>
      <c r="C63" s="163" t="str">
        <f>IF('Restaurant Base (Hidden)'!C278=0,"", 'Restaurant Base (Hidden)'!C278)</f>
        <v>Evergreen Ridge</v>
      </c>
      <c r="D63" s="104">
        <f t="shared" si="0"/>
        <v>54</v>
      </c>
      <c r="E63" s="105">
        <f>+IFERROR(INDEX('Restaurant Base (Hidden)'!$A$2:$Z$1048576,MATCH($C63,'Restaurant Base (Hidden)'!$C$2:$C$1048576,0),MATCH(E$6,'Restaurant Base (Hidden)'!$A$1:$Z$1,0)),"")</f>
        <v>3.52</v>
      </c>
      <c r="F63" s="2" t="str">
        <f>+IFERROR(INDEX('Restaurant Base (Hidden)'!$A$2:$Z$1048576,MATCH($C63,'Restaurant Base (Hidden)'!$C$2:$C$1048576,0),MATCH(F$6,'Restaurant Base (Hidden)'!$A$1:$Z$1,0)),"")</f>
        <v/>
      </c>
      <c r="G63" s="20" t="str">
        <f>+IFERROR(INDEX('Restaurant Base (Hidden)'!$A$2:$Z$1048576,MATCH($C63,'Restaurant Base (Hidden)'!$C$2:$C$1048576,0),MATCH(G$6,'Restaurant Base (Hidden)'!$A$1:$Z$1,0)),"")</f>
        <v>4,743</v>
      </c>
      <c r="H63" s="50">
        <f>+IFERROR(INDEX('Restaurant Base (Hidden)'!$A$2:$Z$1048576,MATCH($C63,'Restaurant Base (Hidden)'!$C$2:$C$1048576,0),MATCH(H$6,'Restaurant Base (Hidden)'!$A$1:$Z$1,0)),"")</f>
        <v>5</v>
      </c>
      <c r="I63" s="20" t="str">
        <f>+IFERROR(INDEX('Restaurant Base (Hidden)'!$A$2:$Z$1048576,MATCH($C63,'Restaurant Base (Hidden)'!$C$2:$C$1048576,0),MATCH(I$6,'Restaurant Base (Hidden)'!$A$1:$Z$1,0)),"")</f>
        <v>78,40 %</v>
      </c>
      <c r="J63" s="49">
        <f>+IFERROR(INDEX('Restaurant Base (Hidden)'!$A$2:$Z$1048576,MATCH($C63,'Restaurant Base (Hidden)'!$C$2:$C$1048576,0),MATCH(J$6,'Restaurant Base (Hidden)'!$A$1:$Z$1,0)),"")</f>
        <v>2</v>
      </c>
      <c r="K63" s="20" t="str">
        <f>+IFERROR(INDEX('Restaurant Base (Hidden)'!$A$2:$Z$1048576,MATCH($C63,'Restaurant Base (Hidden)'!$C$2:$C$1048576,0),MATCH(K$6,'Restaurant Base (Hidden)'!$A$1:$Z$1,0)),"")</f>
        <v>0,057</v>
      </c>
      <c r="L63" s="51">
        <f>+IFERROR(INDEX('Restaurant Base (Hidden)'!$A$2:$Z$1048576,MATCH($C63,'Restaurant Base (Hidden)'!$C$2:$C$1048576,0),MATCH(L$6,'Restaurant Base (Hidden)'!$A$1:$Z$1,0)),"")</f>
        <v>5</v>
      </c>
      <c r="M63" s="2" t="str">
        <f>+IFERROR(INDEX('Restaurant Base (Hidden)'!$A$2:$Z$1048576,MATCH($C63,'Restaurant Base (Hidden)'!$C$2:$C$1048576,0),MATCH(M$6,'Restaurant Base (Hidden)'!$A$1:$Z$1,0)),"")</f>
        <v/>
      </c>
      <c r="N63" s="234" t="str">
        <f>+IFERROR(INDEX('Restaurant Base (Hidden)'!$A$2:$Z$1048576,MATCH($C63,'Restaurant Base (Hidden)'!$C$2:$C$1048576,0),MATCH(N$6,'Restaurant Base (Hidden)'!$A$1:$Z$1,0)),"")</f>
        <v>93,10 %</v>
      </c>
      <c r="O63" s="1">
        <f>+IFERROR(INDEX('Restaurant Base (Hidden)'!$A$2:$Z$1048576,MATCH($C63,'Restaurant Base (Hidden)'!$C$2:$C$1048576,0),MATCH(O$6,'Restaurant Base (Hidden)'!$A$1:$Z$1,0)),"")</f>
        <v>5</v>
      </c>
      <c r="P63" s="2" t="str">
        <f>+IFERROR(INDEX('Restaurant Base (Hidden)'!$A$2:$Z$1048576,MATCH($C63,'Restaurant Base (Hidden)'!$C$2:$C$1048576,0),MATCH(P$6,'Restaurant Base (Hidden)'!$A$1:$Z$1,0)),"")</f>
        <v/>
      </c>
      <c r="Q63" s="234" t="str">
        <f>+IFERROR(INDEX('Restaurant Base (Hidden)'!$A$2:$Z$1048576,MATCH($C63,'Restaurant Base (Hidden)'!$C$2:$C$1048576,0),MATCH(Q$6,'Restaurant Base (Hidden)'!$A$1:$Z$1,0)),"")</f>
        <v>96,10 %</v>
      </c>
      <c r="R63" s="1">
        <f>+IFERROR(INDEX('Restaurant Base (Hidden)'!$A$2:$Z$1048576,MATCH($C63,'Restaurant Base (Hidden)'!$C$2:$C$1048576,0),MATCH(R$6,'Restaurant Base (Hidden)'!$A$1:$Z$1,0)),"")</f>
        <v>5</v>
      </c>
      <c r="S63" s="2" t="str">
        <f>+IFERROR(INDEX('Restaurant Base (Hidden)'!$A$2:$Z$1048576,MATCH($C63,'Restaurant Base (Hidden)'!$C$2:$C$1048576,0),MATCH(S$6,'Restaurant Base (Hidden)'!$A$1:$Z$1,0)),"")</f>
        <v/>
      </c>
      <c r="T63" s="62">
        <f>+IFERROR(INDEX('Restaurant Base (Hidden)'!$A$2:$Z$1048576,MATCH($C63,'Restaurant Base (Hidden)'!$C$2:$C$1048576,0),MATCH(T$6,'Restaurant Base (Hidden)'!$A$1:$Z$1,0)),"")</f>
        <v>54.5</v>
      </c>
      <c r="U63" s="1">
        <f>+IFERROR(INDEX('Restaurant Base (Hidden)'!$A$2:$Z$1048576,MATCH($C63,'Restaurant Base (Hidden)'!$C$2:$C$1048576,0),MATCH(U$6,'Restaurant Base (Hidden)'!$A$1:$Z$1,0)),"")</f>
        <v>1</v>
      </c>
      <c r="V63" s="2" t="str">
        <f>+IFERROR(INDEX('Restaurant Base (Hidden)'!$A$2:$Z$1048576,MATCH($C63,'Restaurant Base (Hidden)'!$C$2:$C$1048576,0),MATCH(V$6,'Restaurant Base (Hidden)'!$A$1:$Z$1,0)),"")</f>
        <v/>
      </c>
      <c r="W63" s="65" t="str">
        <f>+IFERROR(INDEX('Restaurant Base (Hidden)'!$A$2:$Z$1048576,MATCH($C63,'Restaurant Base (Hidden)'!$C$2:$C$1048576,0),MATCH(W$6,'Restaurant Base (Hidden)'!$A$1:$Z$1,0)),"")</f>
        <v>66,70 %</v>
      </c>
      <c r="X63" s="1">
        <f>+IFERROR(INDEX('Restaurant Base (Hidden)'!$A$2:$Z$1048576,MATCH($C63,'Restaurant Base (Hidden)'!$C$2:$C$1048576,0),MATCH(X$6,'Restaurant Base (Hidden)'!$A$1:$Z$1,0)),"")</f>
        <v>2</v>
      </c>
      <c r="Y63" s="65" t="str">
        <f>+IFERROR(INDEX('Restaurant Base (Hidden)'!$A$2:$Z$1048576,MATCH($C63,'Restaurant Base (Hidden)'!$C$2:$C$1048576,0),MATCH(Y$6,'Restaurant Base (Hidden)'!$A$1:$Z$1,0)),"")</f>
        <v>75,50 %</v>
      </c>
      <c r="Z63" s="106">
        <f>+IFERROR(INDEX('Restaurant Base (Hidden)'!$A$2:$Z$1048576,MATCH($C63,'Restaurant Base (Hidden)'!$C$2:$C$1048576,0),MATCH(Z$6,'Restaurant Base (Hidden)'!$A$1:$Z$1,0)),"")</f>
        <v>2</v>
      </c>
      <c r="AA63" s="65" t="str">
        <f>+IFERROR(INDEX('Restaurant Base (Hidden)'!$A$2:$Z$1048576,MATCH($C63,'Restaurant Base (Hidden)'!$C$2:$C$1048576,0),MATCH(AA$6,'Restaurant Base (Hidden)'!$A$1:$Z$1,0)),"")</f>
        <v>63,30 %</v>
      </c>
      <c r="AB63" s="1">
        <f>+IFERROR(INDEX('Restaurant Base (Hidden)'!$A$2:$Z$1048576,MATCH($C63,'Restaurant Base (Hidden)'!$C$2:$C$1048576,0),MATCH(AB$6,'Restaurant Base (Hidden)'!$A$1:$Z$1,0)),"")</f>
        <v>2</v>
      </c>
      <c r="AC63" s="20" t="str">
        <f>+IFERROR(INDEX('Restaurant Base (Hidden)'!$A$2:$Z$1048576,MATCH($C63,'Restaurant Base (Hidden)'!$C$2:$C$1048576,0),MATCH(AC$6,'Restaurant Base (Hidden)'!$A$1:$Z$1,0)),"")</f>
        <v/>
      </c>
      <c r="AD63" s="65" t="str">
        <f>+IFERROR(INDEX('Restaurant Base (Hidden)'!$A$2:$Z$1048576,MATCH($C63,'Restaurant Base (Hidden)'!$C$2:$C$1048576,0),MATCH(AD$6,'Restaurant Base (Hidden)'!$A$1:$Z$1,0)),"")</f>
        <v>98,20 %</v>
      </c>
      <c r="AE63" s="1">
        <f>+IFERROR(INDEX('Restaurant Base (Hidden)'!$A$2:$Z$1048576,MATCH($C63,'Restaurant Base (Hidden)'!$C$2:$C$1048576,0),MATCH(AE$6,'Restaurant Base (Hidden)'!$A$1:$Z$1,0)),"")</f>
        <v>5</v>
      </c>
      <c r="AF63" s="65" t="str">
        <f>+IFERROR(INDEX('Restaurant Base (Hidden)'!$A$2:$Z$1048576,MATCH($C63,'Restaurant Base (Hidden)'!$C$2:$C$1048576,0),MATCH(AF$6,'Restaurant Base (Hidden)'!$A$1:$Z$1,0)),"")</f>
        <v>84,30 %</v>
      </c>
      <c r="AG63" s="1">
        <f>+IFERROR(INDEX('Restaurant Base (Hidden)'!$A$2:$Z$1048576,MATCH($C63,'Restaurant Base (Hidden)'!$C$2:$C$1048576,0),MATCH(AG$6,'Restaurant Base (Hidden)'!$A$1:$Z$1,0)),"")</f>
        <v>3</v>
      </c>
    </row>
    <row r="64" spans="1:33" x14ac:dyDescent="0.4">
      <c r="A64" s="163" t="str">
        <f>IF('Restaurant Base (Hidden)'!A143=0,"", 'Restaurant Base (Hidden)'!A143)</f>
        <v>Marlowe Ellington</v>
      </c>
      <c r="B64" s="163" t="str">
        <f>IF('Restaurant Base (Hidden)'!B143=0,"", 'Restaurant Base (Hidden)'!B143)</f>
        <v>Goldenridge Hospitality</v>
      </c>
      <c r="C64" s="163" t="str">
        <f>IF('Restaurant Base (Hidden)'!C143=0,"", 'Restaurant Base (Hidden)'!C143)</f>
        <v>Meadow Grove</v>
      </c>
      <c r="D64" s="104">
        <f t="shared" si="0"/>
        <v>58</v>
      </c>
      <c r="E64" s="105">
        <f>+IFERROR(INDEX('Restaurant Base (Hidden)'!$A$2:$Z$1048576,MATCH($C64,'Restaurant Base (Hidden)'!$C$2:$C$1048576,0),MATCH(E$6,'Restaurant Base (Hidden)'!$A$1:$Z$1,0)),"")</f>
        <v>3.51</v>
      </c>
      <c r="F64" s="2" t="str">
        <f>+IFERROR(INDEX('Restaurant Base (Hidden)'!$A$2:$Z$1048576,MATCH($C64,'Restaurant Base (Hidden)'!$C$2:$C$1048576,0),MATCH(F$6,'Restaurant Base (Hidden)'!$A$1:$Z$1,0)),"")</f>
        <v/>
      </c>
      <c r="G64" s="20" t="str">
        <f>+IFERROR(INDEX('Restaurant Base (Hidden)'!$A$2:$Z$1048576,MATCH($C64,'Restaurant Base (Hidden)'!$C$2:$C$1048576,0),MATCH(G$6,'Restaurant Base (Hidden)'!$A$1:$Z$1,0)),"")</f>
        <v>4,352</v>
      </c>
      <c r="H64" s="50">
        <f>+IFERROR(INDEX('Restaurant Base (Hidden)'!$A$2:$Z$1048576,MATCH($C64,'Restaurant Base (Hidden)'!$C$2:$C$1048576,0),MATCH(H$6,'Restaurant Base (Hidden)'!$A$1:$Z$1,0)),"")</f>
        <v>4</v>
      </c>
      <c r="I64" s="20" t="str">
        <f>+IFERROR(INDEX('Restaurant Base (Hidden)'!$A$2:$Z$1048576,MATCH($C64,'Restaurant Base (Hidden)'!$C$2:$C$1048576,0),MATCH(I$6,'Restaurant Base (Hidden)'!$A$1:$Z$1,0)),"")</f>
        <v>95,80 %</v>
      </c>
      <c r="J64" s="49">
        <f>+IFERROR(INDEX('Restaurant Base (Hidden)'!$A$2:$Z$1048576,MATCH($C64,'Restaurant Base (Hidden)'!$C$2:$C$1048576,0),MATCH(J$6,'Restaurant Base (Hidden)'!$A$1:$Z$1,0)),"")</f>
        <v>5</v>
      </c>
      <c r="K64" s="20" t="str">
        <f>+IFERROR(INDEX('Restaurant Base (Hidden)'!$A$2:$Z$1048576,MATCH($C64,'Restaurant Base (Hidden)'!$C$2:$C$1048576,0),MATCH(K$6,'Restaurant Base (Hidden)'!$A$1:$Z$1,0)),"")</f>
        <v>0,190</v>
      </c>
      <c r="L64" s="51">
        <f>+IFERROR(INDEX('Restaurant Base (Hidden)'!$A$2:$Z$1048576,MATCH($C64,'Restaurant Base (Hidden)'!$C$2:$C$1048576,0),MATCH(L$6,'Restaurant Base (Hidden)'!$A$1:$Z$1,0)),"")</f>
        <v>1</v>
      </c>
      <c r="M64" s="2" t="str">
        <f>+IFERROR(INDEX('Restaurant Base (Hidden)'!$A$2:$Z$1048576,MATCH($C64,'Restaurant Base (Hidden)'!$C$2:$C$1048576,0),MATCH(M$6,'Restaurant Base (Hidden)'!$A$1:$Z$1,0)),"")</f>
        <v/>
      </c>
      <c r="N64" s="234" t="str">
        <f>+IFERROR(INDEX('Restaurant Base (Hidden)'!$A$2:$Z$1048576,MATCH($C64,'Restaurant Base (Hidden)'!$C$2:$C$1048576,0),MATCH(N$6,'Restaurant Base (Hidden)'!$A$1:$Z$1,0)),"")</f>
        <v>56,20 %</v>
      </c>
      <c r="O64" s="1">
        <f>+IFERROR(INDEX('Restaurant Base (Hidden)'!$A$2:$Z$1048576,MATCH($C64,'Restaurant Base (Hidden)'!$C$2:$C$1048576,0),MATCH(O$6,'Restaurant Base (Hidden)'!$A$1:$Z$1,0)),"")</f>
        <v>1</v>
      </c>
      <c r="P64" s="2" t="str">
        <f>+IFERROR(INDEX('Restaurant Base (Hidden)'!$A$2:$Z$1048576,MATCH($C64,'Restaurant Base (Hidden)'!$C$2:$C$1048576,0),MATCH(P$6,'Restaurant Base (Hidden)'!$A$1:$Z$1,0)),"")</f>
        <v/>
      </c>
      <c r="Q64" s="234" t="str">
        <f>+IFERROR(INDEX('Restaurant Base (Hidden)'!$A$2:$Z$1048576,MATCH($C64,'Restaurant Base (Hidden)'!$C$2:$C$1048576,0),MATCH(Q$6,'Restaurant Base (Hidden)'!$A$1:$Z$1,0)),"")</f>
        <v>74,30 %</v>
      </c>
      <c r="R64" s="1">
        <f>+IFERROR(INDEX('Restaurant Base (Hidden)'!$A$2:$Z$1048576,MATCH($C64,'Restaurant Base (Hidden)'!$C$2:$C$1048576,0),MATCH(R$6,'Restaurant Base (Hidden)'!$A$1:$Z$1,0)),"")</f>
        <v>5</v>
      </c>
      <c r="S64" s="2" t="str">
        <f>+IFERROR(INDEX('Restaurant Base (Hidden)'!$A$2:$Z$1048576,MATCH($C64,'Restaurant Base (Hidden)'!$C$2:$C$1048576,0),MATCH(S$6,'Restaurant Base (Hidden)'!$A$1:$Z$1,0)),"")</f>
        <v/>
      </c>
      <c r="T64" s="62">
        <f>+IFERROR(INDEX('Restaurant Base (Hidden)'!$A$2:$Z$1048576,MATCH($C64,'Restaurant Base (Hidden)'!$C$2:$C$1048576,0),MATCH(T$6,'Restaurant Base (Hidden)'!$A$1:$Z$1,0)),"")</f>
        <v>67.400000000000006</v>
      </c>
      <c r="U64" s="1">
        <f>+IFERROR(INDEX('Restaurant Base (Hidden)'!$A$2:$Z$1048576,MATCH($C64,'Restaurant Base (Hidden)'!$C$2:$C$1048576,0),MATCH(U$6,'Restaurant Base (Hidden)'!$A$1:$Z$1,0)),"")</f>
        <v>4</v>
      </c>
      <c r="V64" s="2" t="str">
        <f>+IFERROR(INDEX('Restaurant Base (Hidden)'!$A$2:$Z$1048576,MATCH($C64,'Restaurant Base (Hidden)'!$C$2:$C$1048576,0),MATCH(V$6,'Restaurant Base (Hidden)'!$A$1:$Z$1,0)),"")</f>
        <v/>
      </c>
      <c r="W64" s="65" t="str">
        <f>+IFERROR(INDEX('Restaurant Base (Hidden)'!$A$2:$Z$1048576,MATCH($C64,'Restaurant Base (Hidden)'!$C$2:$C$1048576,0),MATCH(W$6,'Restaurant Base (Hidden)'!$A$1:$Z$1,0)),"")</f>
        <v>86,90 %</v>
      </c>
      <c r="X64" s="1">
        <f>+IFERROR(INDEX('Restaurant Base (Hidden)'!$A$2:$Z$1048576,MATCH($C64,'Restaurant Base (Hidden)'!$C$2:$C$1048576,0),MATCH(X$6,'Restaurant Base (Hidden)'!$A$1:$Z$1,0)),"")</f>
        <v>3</v>
      </c>
      <c r="Y64" s="65" t="str">
        <f>+IFERROR(INDEX('Restaurant Base (Hidden)'!$A$2:$Z$1048576,MATCH($C64,'Restaurant Base (Hidden)'!$C$2:$C$1048576,0),MATCH(Y$6,'Restaurant Base (Hidden)'!$A$1:$Z$1,0)),"")</f>
        <v>76,60 %</v>
      </c>
      <c r="Z64" s="106">
        <f>+IFERROR(INDEX('Restaurant Base (Hidden)'!$A$2:$Z$1048576,MATCH($C64,'Restaurant Base (Hidden)'!$C$2:$C$1048576,0),MATCH(Z$6,'Restaurant Base (Hidden)'!$A$1:$Z$1,0)),"")</f>
        <v>2</v>
      </c>
      <c r="AA64" s="65" t="str">
        <f>+IFERROR(INDEX('Restaurant Base (Hidden)'!$A$2:$Z$1048576,MATCH($C64,'Restaurant Base (Hidden)'!$C$2:$C$1048576,0),MATCH(AA$6,'Restaurant Base (Hidden)'!$A$1:$Z$1,0)),"")</f>
        <v>96,80 %</v>
      </c>
      <c r="AB64" s="1">
        <f>+IFERROR(INDEX('Restaurant Base (Hidden)'!$A$2:$Z$1048576,MATCH($C64,'Restaurant Base (Hidden)'!$C$2:$C$1048576,0),MATCH(AB$6,'Restaurant Base (Hidden)'!$A$1:$Z$1,0)),"")</f>
        <v>4</v>
      </c>
      <c r="AC64" s="20" t="str">
        <f>+IFERROR(INDEX('Restaurant Base (Hidden)'!$A$2:$Z$1048576,MATCH($C64,'Restaurant Base (Hidden)'!$C$2:$C$1048576,0),MATCH(AC$6,'Restaurant Base (Hidden)'!$A$1:$Z$1,0)),"")</f>
        <v/>
      </c>
      <c r="AD64" s="65" t="str">
        <f>+IFERROR(INDEX('Restaurant Base (Hidden)'!$A$2:$Z$1048576,MATCH($C64,'Restaurant Base (Hidden)'!$C$2:$C$1048576,0),MATCH(AD$6,'Restaurant Base (Hidden)'!$A$1:$Z$1,0)),"")</f>
        <v>93,30 %</v>
      </c>
      <c r="AE64" s="1">
        <f>+IFERROR(INDEX('Restaurant Base (Hidden)'!$A$2:$Z$1048576,MATCH($C64,'Restaurant Base (Hidden)'!$C$2:$C$1048576,0),MATCH(AE$6,'Restaurant Base (Hidden)'!$A$1:$Z$1,0)),"")</f>
        <v>4</v>
      </c>
      <c r="AF64" s="65" t="str">
        <f>+IFERROR(INDEX('Restaurant Base (Hidden)'!$A$2:$Z$1048576,MATCH($C64,'Restaurant Base (Hidden)'!$C$2:$C$1048576,0),MATCH(AF$6,'Restaurant Base (Hidden)'!$A$1:$Z$1,0)),"")</f>
        <v>96,70 %</v>
      </c>
      <c r="AG64" s="1">
        <f>+IFERROR(INDEX('Restaurant Base (Hidden)'!$A$2:$Z$1048576,MATCH($C64,'Restaurant Base (Hidden)'!$C$2:$C$1048576,0),MATCH(AG$6,'Restaurant Base (Hidden)'!$A$1:$Z$1,0)),"")</f>
        <v>4</v>
      </c>
    </row>
    <row r="65" spans="1:33" x14ac:dyDescent="0.4">
      <c r="A65" s="163" t="str">
        <f>IF('Restaurant Base (Hidden)'!A280=0,"", 'Restaurant Base (Hidden)'!A280)</f>
        <v>Riley Wellington</v>
      </c>
      <c r="B65" s="163" t="str">
        <f>IF('Restaurant Base (Hidden)'!B280=0,"", 'Restaurant Base (Hidden)'!B280)</f>
        <v>Elmwood Dining Group</v>
      </c>
      <c r="C65" s="163" t="str">
        <f>IF('Restaurant Base (Hidden)'!C280=0,"", 'Restaurant Base (Hidden)'!C280)</f>
        <v>Bright Gardens</v>
      </c>
      <c r="D65" s="104">
        <f t="shared" si="0"/>
        <v>58</v>
      </c>
      <c r="E65" s="105">
        <f>+IFERROR(INDEX('Restaurant Base (Hidden)'!$A$2:$Z$1048576,MATCH($C65,'Restaurant Base (Hidden)'!$C$2:$C$1048576,0),MATCH(E$6,'Restaurant Base (Hidden)'!$A$1:$Z$1,0)),"")</f>
        <v>3.51</v>
      </c>
      <c r="F65" s="2" t="str">
        <f>+IFERROR(INDEX('Restaurant Base (Hidden)'!$A$2:$Z$1048576,MATCH($C65,'Restaurant Base (Hidden)'!$C$2:$C$1048576,0),MATCH(F$6,'Restaurant Base (Hidden)'!$A$1:$Z$1,0)),"")</f>
        <v/>
      </c>
      <c r="G65" s="20" t="str">
        <f>+IFERROR(INDEX('Restaurant Base (Hidden)'!$A$2:$Z$1048576,MATCH($C65,'Restaurant Base (Hidden)'!$C$2:$C$1048576,0),MATCH(G$6,'Restaurant Base (Hidden)'!$A$1:$Z$1,0)),"")</f>
        <v>4,215</v>
      </c>
      <c r="H65" s="50">
        <f>+IFERROR(INDEX('Restaurant Base (Hidden)'!$A$2:$Z$1048576,MATCH($C65,'Restaurant Base (Hidden)'!$C$2:$C$1048576,0),MATCH(H$6,'Restaurant Base (Hidden)'!$A$1:$Z$1,0)),"")</f>
        <v>3</v>
      </c>
      <c r="I65" s="20" t="str">
        <f>+IFERROR(INDEX('Restaurant Base (Hidden)'!$A$2:$Z$1048576,MATCH($C65,'Restaurant Base (Hidden)'!$C$2:$C$1048576,0),MATCH(I$6,'Restaurant Base (Hidden)'!$A$1:$Z$1,0)),"")</f>
        <v>92,50 %</v>
      </c>
      <c r="J65" s="49">
        <f>+IFERROR(INDEX('Restaurant Base (Hidden)'!$A$2:$Z$1048576,MATCH($C65,'Restaurant Base (Hidden)'!$C$2:$C$1048576,0),MATCH(J$6,'Restaurant Base (Hidden)'!$A$1:$Z$1,0)),"")</f>
        <v>4</v>
      </c>
      <c r="K65" s="20" t="str">
        <f>+IFERROR(INDEX('Restaurant Base (Hidden)'!$A$2:$Z$1048576,MATCH($C65,'Restaurant Base (Hidden)'!$C$2:$C$1048576,0),MATCH(K$6,'Restaurant Base (Hidden)'!$A$1:$Z$1,0)),"")</f>
        <v>0,073</v>
      </c>
      <c r="L65" s="51">
        <f>+IFERROR(INDEX('Restaurant Base (Hidden)'!$A$2:$Z$1048576,MATCH($C65,'Restaurant Base (Hidden)'!$C$2:$C$1048576,0),MATCH(L$6,'Restaurant Base (Hidden)'!$A$1:$Z$1,0)),"")</f>
        <v>4</v>
      </c>
      <c r="M65" s="2" t="str">
        <f>+IFERROR(INDEX('Restaurant Base (Hidden)'!$A$2:$Z$1048576,MATCH($C65,'Restaurant Base (Hidden)'!$C$2:$C$1048576,0),MATCH(M$6,'Restaurant Base (Hidden)'!$A$1:$Z$1,0)),"")</f>
        <v/>
      </c>
      <c r="N65" s="234" t="str">
        <f>+IFERROR(INDEX('Restaurant Base (Hidden)'!$A$2:$Z$1048576,MATCH($C65,'Restaurant Base (Hidden)'!$C$2:$C$1048576,0),MATCH(N$6,'Restaurant Base (Hidden)'!$A$1:$Z$1,0)),"")</f>
        <v>81,60 %</v>
      </c>
      <c r="O65" s="1">
        <f>+IFERROR(INDEX('Restaurant Base (Hidden)'!$A$2:$Z$1048576,MATCH($C65,'Restaurant Base (Hidden)'!$C$2:$C$1048576,0),MATCH(O$6,'Restaurant Base (Hidden)'!$A$1:$Z$1,0)),"")</f>
        <v>5</v>
      </c>
      <c r="P65" s="2" t="str">
        <f>+IFERROR(INDEX('Restaurant Base (Hidden)'!$A$2:$Z$1048576,MATCH($C65,'Restaurant Base (Hidden)'!$C$2:$C$1048576,0),MATCH(P$6,'Restaurant Base (Hidden)'!$A$1:$Z$1,0)),"")</f>
        <v/>
      </c>
      <c r="Q65" s="234" t="str">
        <f>+IFERROR(INDEX('Restaurant Base (Hidden)'!$A$2:$Z$1048576,MATCH($C65,'Restaurant Base (Hidden)'!$C$2:$C$1048576,0),MATCH(Q$6,'Restaurant Base (Hidden)'!$A$1:$Z$1,0)),"")</f>
        <v>73,40 %</v>
      </c>
      <c r="R65" s="1">
        <f>+IFERROR(INDEX('Restaurant Base (Hidden)'!$A$2:$Z$1048576,MATCH($C65,'Restaurant Base (Hidden)'!$C$2:$C$1048576,0),MATCH(R$6,'Restaurant Base (Hidden)'!$A$1:$Z$1,0)),"")</f>
        <v>5</v>
      </c>
      <c r="S65" s="2" t="str">
        <f>+IFERROR(INDEX('Restaurant Base (Hidden)'!$A$2:$Z$1048576,MATCH($C65,'Restaurant Base (Hidden)'!$C$2:$C$1048576,0),MATCH(S$6,'Restaurant Base (Hidden)'!$A$1:$Z$1,0)),"")</f>
        <v/>
      </c>
      <c r="T65" s="62">
        <f>+IFERROR(INDEX('Restaurant Base (Hidden)'!$A$2:$Z$1048576,MATCH($C65,'Restaurant Base (Hidden)'!$C$2:$C$1048576,0),MATCH(T$6,'Restaurant Base (Hidden)'!$A$1:$Z$1,0)),"")</f>
        <v>68.7</v>
      </c>
      <c r="U65" s="1">
        <f>+IFERROR(INDEX('Restaurant Base (Hidden)'!$A$2:$Z$1048576,MATCH($C65,'Restaurant Base (Hidden)'!$C$2:$C$1048576,0),MATCH(U$6,'Restaurant Base (Hidden)'!$A$1:$Z$1,0)),"")</f>
        <v>4</v>
      </c>
      <c r="V65" s="2" t="str">
        <f>+IFERROR(INDEX('Restaurant Base (Hidden)'!$A$2:$Z$1048576,MATCH($C65,'Restaurant Base (Hidden)'!$C$2:$C$1048576,0),MATCH(V$6,'Restaurant Base (Hidden)'!$A$1:$Z$1,0)),"")</f>
        <v/>
      </c>
      <c r="W65" s="65" t="str">
        <f>+IFERROR(INDEX('Restaurant Base (Hidden)'!$A$2:$Z$1048576,MATCH($C65,'Restaurant Base (Hidden)'!$C$2:$C$1048576,0),MATCH(W$6,'Restaurant Base (Hidden)'!$A$1:$Z$1,0)),"")</f>
        <v>67,60 %</v>
      </c>
      <c r="X65" s="1">
        <f>+IFERROR(INDEX('Restaurant Base (Hidden)'!$A$2:$Z$1048576,MATCH($C65,'Restaurant Base (Hidden)'!$C$2:$C$1048576,0),MATCH(X$6,'Restaurant Base (Hidden)'!$A$1:$Z$1,0)),"")</f>
        <v>2</v>
      </c>
      <c r="Y65" s="65" t="str">
        <f>+IFERROR(INDEX('Restaurant Base (Hidden)'!$A$2:$Z$1048576,MATCH($C65,'Restaurant Base (Hidden)'!$C$2:$C$1048576,0),MATCH(Y$6,'Restaurant Base (Hidden)'!$A$1:$Z$1,0)),"")</f>
        <v>86,40 %</v>
      </c>
      <c r="Z65" s="106">
        <f>+IFERROR(INDEX('Restaurant Base (Hidden)'!$A$2:$Z$1048576,MATCH($C65,'Restaurant Base (Hidden)'!$C$2:$C$1048576,0),MATCH(Z$6,'Restaurant Base (Hidden)'!$A$1:$Z$1,0)),"")</f>
        <v>3</v>
      </c>
      <c r="AA65" s="65" t="str">
        <f>+IFERROR(INDEX('Restaurant Base (Hidden)'!$A$2:$Z$1048576,MATCH($C65,'Restaurant Base (Hidden)'!$C$2:$C$1048576,0),MATCH(AA$6,'Restaurant Base (Hidden)'!$A$1:$Z$1,0)),"")</f>
        <v>93,60 %</v>
      </c>
      <c r="AB65" s="1">
        <f>+IFERROR(INDEX('Restaurant Base (Hidden)'!$A$2:$Z$1048576,MATCH($C65,'Restaurant Base (Hidden)'!$C$2:$C$1048576,0),MATCH(AB$6,'Restaurant Base (Hidden)'!$A$1:$Z$1,0)),"")</f>
        <v>3</v>
      </c>
      <c r="AC65" s="20" t="str">
        <f>+IFERROR(INDEX('Restaurant Base (Hidden)'!$A$2:$Z$1048576,MATCH($C65,'Restaurant Base (Hidden)'!$C$2:$C$1048576,0),MATCH(AC$6,'Restaurant Base (Hidden)'!$A$1:$Z$1,0)),"")</f>
        <v/>
      </c>
      <c r="AD65" s="65" t="str">
        <f>+IFERROR(INDEX('Restaurant Base (Hidden)'!$A$2:$Z$1048576,MATCH($C65,'Restaurant Base (Hidden)'!$C$2:$C$1048576,0),MATCH(AD$6,'Restaurant Base (Hidden)'!$A$1:$Z$1,0)),"")</f>
        <v>80,70 %</v>
      </c>
      <c r="AE65" s="1">
        <f>+IFERROR(INDEX('Restaurant Base (Hidden)'!$A$2:$Z$1048576,MATCH($C65,'Restaurant Base (Hidden)'!$C$2:$C$1048576,0),MATCH(AE$6,'Restaurant Base (Hidden)'!$A$1:$Z$1,0)),"")</f>
        <v>2</v>
      </c>
      <c r="AF65" s="65" t="str">
        <f>+IFERROR(INDEX('Restaurant Base (Hidden)'!$A$2:$Z$1048576,MATCH($C65,'Restaurant Base (Hidden)'!$C$2:$C$1048576,0),MATCH(AF$6,'Restaurant Base (Hidden)'!$A$1:$Z$1,0)),"")</f>
        <v>66,40 %</v>
      </c>
      <c r="AG65" s="1">
        <f>+IFERROR(INDEX('Restaurant Base (Hidden)'!$A$2:$Z$1048576,MATCH($C65,'Restaurant Base (Hidden)'!$C$2:$C$1048576,0),MATCH(AG$6,'Restaurant Base (Hidden)'!$A$1:$Z$1,0)),"")</f>
        <v>1</v>
      </c>
    </row>
    <row r="66" spans="1:33" x14ac:dyDescent="0.4">
      <c r="A66" s="163" t="str">
        <f>IF('Restaurant Base (Hidden)'!A301=0,"", 'Restaurant Base (Hidden)'!A301)</f>
        <v>Jamie Northcott</v>
      </c>
      <c r="B66" s="163" t="str">
        <f>IF('Restaurant Base (Hidden)'!B301=0,"", 'Restaurant Base (Hidden)'!B301)</f>
        <v>Parkstone Restaurant Group</v>
      </c>
      <c r="C66" s="163" t="str">
        <f>IF('Restaurant Base (Hidden)'!C301=0,"", 'Restaurant Base (Hidden)'!C301)</f>
        <v>Maple Gardens</v>
      </c>
      <c r="D66" s="104">
        <f t="shared" si="0"/>
        <v>58</v>
      </c>
      <c r="E66" s="105">
        <f>+IFERROR(INDEX('Restaurant Base (Hidden)'!$A$2:$Z$1048576,MATCH($C66,'Restaurant Base (Hidden)'!$C$2:$C$1048576,0),MATCH(E$6,'Restaurant Base (Hidden)'!$A$1:$Z$1,0)),"")</f>
        <v>3.51</v>
      </c>
      <c r="F66" s="2" t="str">
        <f>+IFERROR(INDEX('Restaurant Base (Hidden)'!$A$2:$Z$1048576,MATCH($C66,'Restaurant Base (Hidden)'!$C$2:$C$1048576,0),MATCH(F$6,'Restaurant Base (Hidden)'!$A$1:$Z$1,0)),"")</f>
        <v/>
      </c>
      <c r="G66" s="20" t="str">
        <f>+IFERROR(INDEX('Restaurant Base (Hidden)'!$A$2:$Z$1048576,MATCH($C66,'Restaurant Base (Hidden)'!$C$2:$C$1048576,0),MATCH(G$6,'Restaurant Base (Hidden)'!$A$1:$Z$1,0)),"")</f>
        <v>4,780</v>
      </c>
      <c r="H66" s="50">
        <f>+IFERROR(INDEX('Restaurant Base (Hidden)'!$A$2:$Z$1048576,MATCH($C66,'Restaurant Base (Hidden)'!$C$2:$C$1048576,0),MATCH(H$6,'Restaurant Base (Hidden)'!$A$1:$Z$1,0)),"")</f>
        <v>5</v>
      </c>
      <c r="I66" s="20" t="str">
        <f>+IFERROR(INDEX('Restaurant Base (Hidden)'!$A$2:$Z$1048576,MATCH($C66,'Restaurant Base (Hidden)'!$C$2:$C$1048576,0),MATCH(I$6,'Restaurant Base (Hidden)'!$A$1:$Z$1,0)),"")</f>
        <v>93,40 %</v>
      </c>
      <c r="J66" s="49">
        <f>+IFERROR(INDEX('Restaurant Base (Hidden)'!$A$2:$Z$1048576,MATCH($C66,'Restaurant Base (Hidden)'!$C$2:$C$1048576,0),MATCH(J$6,'Restaurant Base (Hidden)'!$A$1:$Z$1,0)),"")</f>
        <v>4</v>
      </c>
      <c r="K66" s="20" t="str">
        <f>+IFERROR(INDEX('Restaurant Base (Hidden)'!$A$2:$Z$1048576,MATCH($C66,'Restaurant Base (Hidden)'!$C$2:$C$1048576,0),MATCH(K$6,'Restaurant Base (Hidden)'!$A$1:$Z$1,0)),"")</f>
        <v>0,154</v>
      </c>
      <c r="L66" s="51">
        <f>+IFERROR(INDEX('Restaurant Base (Hidden)'!$A$2:$Z$1048576,MATCH($C66,'Restaurant Base (Hidden)'!$C$2:$C$1048576,0),MATCH(L$6,'Restaurant Base (Hidden)'!$A$1:$Z$1,0)),"")</f>
        <v>2</v>
      </c>
      <c r="M66" s="2" t="str">
        <f>+IFERROR(INDEX('Restaurant Base (Hidden)'!$A$2:$Z$1048576,MATCH($C66,'Restaurant Base (Hidden)'!$C$2:$C$1048576,0),MATCH(M$6,'Restaurant Base (Hidden)'!$A$1:$Z$1,0)),"")</f>
        <v/>
      </c>
      <c r="N66" s="234" t="str">
        <f>+IFERROR(INDEX('Restaurant Base (Hidden)'!$A$2:$Z$1048576,MATCH($C66,'Restaurant Base (Hidden)'!$C$2:$C$1048576,0),MATCH(N$6,'Restaurant Base (Hidden)'!$A$1:$Z$1,0)),"")</f>
        <v>77,70 %</v>
      </c>
      <c r="O66" s="1">
        <f>+IFERROR(INDEX('Restaurant Base (Hidden)'!$A$2:$Z$1048576,MATCH($C66,'Restaurant Base (Hidden)'!$C$2:$C$1048576,0),MATCH(O$6,'Restaurant Base (Hidden)'!$A$1:$Z$1,0)),"")</f>
        <v>5</v>
      </c>
      <c r="P66" s="2" t="str">
        <f>+IFERROR(INDEX('Restaurant Base (Hidden)'!$A$2:$Z$1048576,MATCH($C66,'Restaurant Base (Hidden)'!$C$2:$C$1048576,0),MATCH(P$6,'Restaurant Base (Hidden)'!$A$1:$Z$1,0)),"")</f>
        <v/>
      </c>
      <c r="Q66" s="234" t="str">
        <f>+IFERROR(INDEX('Restaurant Base (Hidden)'!$A$2:$Z$1048576,MATCH($C66,'Restaurant Base (Hidden)'!$C$2:$C$1048576,0),MATCH(Q$6,'Restaurant Base (Hidden)'!$A$1:$Z$1,0)),"")</f>
        <v>73,80 %</v>
      </c>
      <c r="R66" s="1">
        <f>+IFERROR(INDEX('Restaurant Base (Hidden)'!$A$2:$Z$1048576,MATCH($C66,'Restaurant Base (Hidden)'!$C$2:$C$1048576,0),MATCH(R$6,'Restaurant Base (Hidden)'!$A$1:$Z$1,0)),"")</f>
        <v>5</v>
      </c>
      <c r="S66" s="2" t="str">
        <f>+IFERROR(INDEX('Restaurant Base (Hidden)'!$A$2:$Z$1048576,MATCH($C66,'Restaurant Base (Hidden)'!$C$2:$C$1048576,0),MATCH(S$6,'Restaurant Base (Hidden)'!$A$1:$Z$1,0)),"")</f>
        <v/>
      </c>
      <c r="T66" s="62">
        <f>+IFERROR(INDEX('Restaurant Base (Hidden)'!$A$2:$Z$1048576,MATCH($C66,'Restaurant Base (Hidden)'!$C$2:$C$1048576,0),MATCH(T$6,'Restaurant Base (Hidden)'!$A$1:$Z$1,0)),"")</f>
        <v>74.599999999999994</v>
      </c>
      <c r="U66" s="1">
        <f>+IFERROR(INDEX('Restaurant Base (Hidden)'!$A$2:$Z$1048576,MATCH($C66,'Restaurant Base (Hidden)'!$C$2:$C$1048576,0),MATCH(U$6,'Restaurant Base (Hidden)'!$A$1:$Z$1,0)),"")</f>
        <v>5</v>
      </c>
      <c r="V66" s="2" t="str">
        <f>+IFERROR(INDEX('Restaurant Base (Hidden)'!$A$2:$Z$1048576,MATCH($C66,'Restaurant Base (Hidden)'!$C$2:$C$1048576,0),MATCH(V$6,'Restaurant Base (Hidden)'!$A$1:$Z$1,0)),"")</f>
        <v/>
      </c>
      <c r="W66" s="65" t="str">
        <f>+IFERROR(INDEX('Restaurant Base (Hidden)'!$A$2:$Z$1048576,MATCH($C66,'Restaurant Base (Hidden)'!$C$2:$C$1048576,0),MATCH(W$6,'Restaurant Base (Hidden)'!$A$1:$Z$1,0)),"")</f>
        <v>62,40 %</v>
      </c>
      <c r="X66" s="1">
        <f>+IFERROR(INDEX('Restaurant Base (Hidden)'!$A$2:$Z$1048576,MATCH($C66,'Restaurant Base (Hidden)'!$C$2:$C$1048576,0),MATCH(X$6,'Restaurant Base (Hidden)'!$A$1:$Z$1,0)),"")</f>
        <v>2</v>
      </c>
      <c r="Y66" s="65" t="str">
        <f>+IFERROR(INDEX('Restaurant Base (Hidden)'!$A$2:$Z$1048576,MATCH($C66,'Restaurant Base (Hidden)'!$C$2:$C$1048576,0),MATCH(Y$6,'Restaurant Base (Hidden)'!$A$1:$Z$1,0)),"")</f>
        <v>55,10 %</v>
      </c>
      <c r="Z66" s="106">
        <f>+IFERROR(INDEX('Restaurant Base (Hidden)'!$A$2:$Z$1048576,MATCH($C66,'Restaurant Base (Hidden)'!$C$2:$C$1048576,0),MATCH(Z$6,'Restaurant Base (Hidden)'!$A$1:$Z$1,0)),"")</f>
        <v>1</v>
      </c>
      <c r="AA66" s="65" t="str">
        <f>+IFERROR(INDEX('Restaurant Base (Hidden)'!$A$2:$Z$1048576,MATCH($C66,'Restaurant Base (Hidden)'!$C$2:$C$1048576,0),MATCH(AA$6,'Restaurant Base (Hidden)'!$A$1:$Z$1,0)),"")</f>
        <v>68,00 %</v>
      </c>
      <c r="AB66" s="1">
        <f>+IFERROR(INDEX('Restaurant Base (Hidden)'!$A$2:$Z$1048576,MATCH($C66,'Restaurant Base (Hidden)'!$C$2:$C$1048576,0),MATCH(AB$6,'Restaurant Base (Hidden)'!$A$1:$Z$1,0)),"")</f>
        <v>2</v>
      </c>
      <c r="AC66" s="20" t="str">
        <f>+IFERROR(INDEX('Restaurant Base (Hidden)'!$A$2:$Z$1048576,MATCH($C66,'Restaurant Base (Hidden)'!$C$2:$C$1048576,0),MATCH(AC$6,'Restaurant Base (Hidden)'!$A$1:$Z$1,0)),"")</f>
        <v/>
      </c>
      <c r="AD66" s="65" t="str">
        <f>+IFERROR(INDEX('Restaurant Base (Hidden)'!$A$2:$Z$1048576,MATCH($C66,'Restaurant Base (Hidden)'!$C$2:$C$1048576,0),MATCH(AD$6,'Restaurant Base (Hidden)'!$A$1:$Z$1,0)),"")</f>
        <v>62,00 %</v>
      </c>
      <c r="AE66" s="1">
        <f>+IFERROR(INDEX('Restaurant Base (Hidden)'!$A$2:$Z$1048576,MATCH($C66,'Restaurant Base (Hidden)'!$C$2:$C$1048576,0),MATCH(AE$6,'Restaurant Base (Hidden)'!$A$1:$Z$1,0)),"")</f>
        <v>1</v>
      </c>
      <c r="AF66" s="65" t="str">
        <f>+IFERROR(INDEX('Restaurant Base (Hidden)'!$A$2:$Z$1048576,MATCH($C66,'Restaurant Base (Hidden)'!$C$2:$C$1048576,0),MATCH(AF$6,'Restaurant Base (Hidden)'!$A$1:$Z$1,0)),"")</f>
        <v>79,90 %</v>
      </c>
      <c r="AG66" s="1">
        <f>+IFERROR(INDEX('Restaurant Base (Hidden)'!$A$2:$Z$1048576,MATCH($C66,'Restaurant Base (Hidden)'!$C$2:$C$1048576,0),MATCH(AG$6,'Restaurant Base (Hidden)'!$A$1:$Z$1,0)),"")</f>
        <v>2</v>
      </c>
    </row>
    <row r="67" spans="1:33" x14ac:dyDescent="0.4">
      <c r="A67" s="163" t="str">
        <f>IF('Restaurant Base (Hidden)'!A160=0,"", 'Restaurant Base (Hidden)'!A160)</f>
        <v>Morgan Rivington</v>
      </c>
      <c r="B67" s="163" t="str">
        <f>IF('Restaurant Base (Hidden)'!B160=0,"", 'Restaurant Base (Hidden)'!B160)</f>
        <v>Elmwood Dining Group</v>
      </c>
      <c r="C67" s="163" t="str">
        <f>IF('Restaurant Base (Hidden)'!C160=0,"", 'Restaurant Base (Hidden)'!C160)</f>
        <v>Silver Corner</v>
      </c>
      <c r="D67" s="104">
        <f t="shared" si="0"/>
        <v>61</v>
      </c>
      <c r="E67" s="105">
        <f>+IFERROR(INDEX('Restaurant Base (Hidden)'!$A$2:$Z$1048576,MATCH($C67,'Restaurant Base (Hidden)'!$C$2:$C$1048576,0),MATCH(E$6,'Restaurant Base (Hidden)'!$A$1:$Z$1,0)),"")</f>
        <v>3.5</v>
      </c>
      <c r="F67" s="2" t="str">
        <f>+IFERROR(INDEX('Restaurant Base (Hidden)'!$A$2:$Z$1048576,MATCH($C67,'Restaurant Base (Hidden)'!$C$2:$C$1048576,0),MATCH(F$6,'Restaurant Base (Hidden)'!$A$1:$Z$1,0)),"")</f>
        <v/>
      </c>
      <c r="G67" s="20" t="str">
        <f>+IFERROR(INDEX('Restaurant Base (Hidden)'!$A$2:$Z$1048576,MATCH($C67,'Restaurant Base (Hidden)'!$C$2:$C$1048576,0),MATCH(G$6,'Restaurant Base (Hidden)'!$A$1:$Z$1,0)),"")</f>
        <v>4,354</v>
      </c>
      <c r="H67" s="50">
        <f>+IFERROR(INDEX('Restaurant Base (Hidden)'!$A$2:$Z$1048576,MATCH($C67,'Restaurant Base (Hidden)'!$C$2:$C$1048576,0),MATCH(H$6,'Restaurant Base (Hidden)'!$A$1:$Z$1,0)),"")</f>
        <v>4</v>
      </c>
      <c r="I67" s="20" t="str">
        <f>+IFERROR(INDEX('Restaurant Base (Hidden)'!$A$2:$Z$1048576,MATCH($C67,'Restaurant Base (Hidden)'!$C$2:$C$1048576,0),MATCH(I$6,'Restaurant Base (Hidden)'!$A$1:$Z$1,0)),"")</f>
        <v>56,20 %</v>
      </c>
      <c r="J67" s="49">
        <f>+IFERROR(INDEX('Restaurant Base (Hidden)'!$A$2:$Z$1048576,MATCH($C67,'Restaurant Base (Hidden)'!$C$2:$C$1048576,0),MATCH(J$6,'Restaurant Base (Hidden)'!$A$1:$Z$1,0)),"")</f>
        <v>1</v>
      </c>
      <c r="K67" s="20" t="str">
        <f>+IFERROR(INDEX('Restaurant Base (Hidden)'!$A$2:$Z$1048576,MATCH($C67,'Restaurant Base (Hidden)'!$C$2:$C$1048576,0),MATCH(K$6,'Restaurant Base (Hidden)'!$A$1:$Z$1,0)),"")</f>
        <v>0,070</v>
      </c>
      <c r="L67" s="51">
        <f>+IFERROR(INDEX('Restaurant Base (Hidden)'!$A$2:$Z$1048576,MATCH($C67,'Restaurant Base (Hidden)'!$C$2:$C$1048576,0),MATCH(L$6,'Restaurant Base (Hidden)'!$A$1:$Z$1,0)),"")</f>
        <v>4</v>
      </c>
      <c r="M67" s="2" t="str">
        <f>+IFERROR(INDEX('Restaurant Base (Hidden)'!$A$2:$Z$1048576,MATCH($C67,'Restaurant Base (Hidden)'!$C$2:$C$1048576,0),MATCH(M$6,'Restaurant Base (Hidden)'!$A$1:$Z$1,0)),"")</f>
        <v/>
      </c>
      <c r="N67" s="234" t="str">
        <f>+IFERROR(INDEX('Restaurant Base (Hidden)'!$A$2:$Z$1048576,MATCH($C67,'Restaurant Base (Hidden)'!$C$2:$C$1048576,0),MATCH(N$6,'Restaurant Base (Hidden)'!$A$1:$Z$1,0)),"")</f>
        <v>72,20 %</v>
      </c>
      <c r="O67" s="1">
        <f>+IFERROR(INDEX('Restaurant Base (Hidden)'!$A$2:$Z$1048576,MATCH($C67,'Restaurant Base (Hidden)'!$C$2:$C$1048576,0),MATCH(O$6,'Restaurant Base (Hidden)'!$A$1:$Z$1,0)),"")</f>
        <v>5</v>
      </c>
      <c r="P67" s="2" t="str">
        <f>+IFERROR(INDEX('Restaurant Base (Hidden)'!$A$2:$Z$1048576,MATCH($C67,'Restaurant Base (Hidden)'!$C$2:$C$1048576,0),MATCH(P$6,'Restaurant Base (Hidden)'!$A$1:$Z$1,0)),"")</f>
        <v/>
      </c>
      <c r="Q67" s="234" t="str">
        <f>+IFERROR(INDEX('Restaurant Base (Hidden)'!$A$2:$Z$1048576,MATCH($C67,'Restaurant Base (Hidden)'!$C$2:$C$1048576,0),MATCH(Q$6,'Restaurant Base (Hidden)'!$A$1:$Z$1,0)),"")</f>
        <v>92,70 %</v>
      </c>
      <c r="R67" s="1">
        <f>+IFERROR(INDEX('Restaurant Base (Hidden)'!$A$2:$Z$1048576,MATCH($C67,'Restaurant Base (Hidden)'!$C$2:$C$1048576,0),MATCH(R$6,'Restaurant Base (Hidden)'!$A$1:$Z$1,0)),"")</f>
        <v>5</v>
      </c>
      <c r="S67" s="2" t="str">
        <f>+IFERROR(INDEX('Restaurant Base (Hidden)'!$A$2:$Z$1048576,MATCH($C67,'Restaurant Base (Hidden)'!$C$2:$C$1048576,0),MATCH(S$6,'Restaurant Base (Hidden)'!$A$1:$Z$1,0)),"")</f>
        <v/>
      </c>
      <c r="T67" s="62">
        <f>+IFERROR(INDEX('Restaurant Base (Hidden)'!$A$2:$Z$1048576,MATCH($C67,'Restaurant Base (Hidden)'!$C$2:$C$1048576,0),MATCH(T$6,'Restaurant Base (Hidden)'!$A$1:$Z$1,0)),"")</f>
        <v>68.8</v>
      </c>
      <c r="U67" s="1">
        <f>+IFERROR(INDEX('Restaurant Base (Hidden)'!$A$2:$Z$1048576,MATCH($C67,'Restaurant Base (Hidden)'!$C$2:$C$1048576,0),MATCH(U$6,'Restaurant Base (Hidden)'!$A$1:$Z$1,0)),"")</f>
        <v>4</v>
      </c>
      <c r="V67" s="2" t="str">
        <f>+IFERROR(INDEX('Restaurant Base (Hidden)'!$A$2:$Z$1048576,MATCH($C67,'Restaurant Base (Hidden)'!$C$2:$C$1048576,0),MATCH(V$6,'Restaurant Base (Hidden)'!$A$1:$Z$1,0)),"")</f>
        <v/>
      </c>
      <c r="W67" s="65" t="str">
        <f>+IFERROR(INDEX('Restaurant Base (Hidden)'!$A$2:$Z$1048576,MATCH($C67,'Restaurant Base (Hidden)'!$C$2:$C$1048576,0),MATCH(W$6,'Restaurant Base (Hidden)'!$A$1:$Z$1,0)),"")</f>
        <v>84,20 %</v>
      </c>
      <c r="X67" s="1">
        <f>+IFERROR(INDEX('Restaurant Base (Hidden)'!$A$2:$Z$1048576,MATCH($C67,'Restaurant Base (Hidden)'!$C$2:$C$1048576,0),MATCH(X$6,'Restaurant Base (Hidden)'!$A$1:$Z$1,0)),"")</f>
        <v>3</v>
      </c>
      <c r="Y67" s="65" t="str">
        <f>+IFERROR(INDEX('Restaurant Base (Hidden)'!$A$2:$Z$1048576,MATCH($C67,'Restaurant Base (Hidden)'!$C$2:$C$1048576,0),MATCH(Y$6,'Restaurant Base (Hidden)'!$A$1:$Z$1,0)),"")</f>
        <v>99,00 %</v>
      </c>
      <c r="Z67" s="106">
        <f>+IFERROR(INDEX('Restaurant Base (Hidden)'!$A$2:$Z$1048576,MATCH($C67,'Restaurant Base (Hidden)'!$C$2:$C$1048576,0),MATCH(Z$6,'Restaurant Base (Hidden)'!$A$1:$Z$1,0)),"")</f>
        <v>5</v>
      </c>
      <c r="AA67" s="65" t="str">
        <f>+IFERROR(INDEX('Restaurant Base (Hidden)'!$A$2:$Z$1048576,MATCH($C67,'Restaurant Base (Hidden)'!$C$2:$C$1048576,0),MATCH(AA$6,'Restaurant Base (Hidden)'!$A$1:$Z$1,0)),"")</f>
        <v>69,00 %</v>
      </c>
      <c r="AB67" s="1">
        <f>+IFERROR(INDEX('Restaurant Base (Hidden)'!$A$2:$Z$1048576,MATCH($C67,'Restaurant Base (Hidden)'!$C$2:$C$1048576,0),MATCH(AB$6,'Restaurant Base (Hidden)'!$A$1:$Z$1,0)),"")</f>
        <v>2</v>
      </c>
      <c r="AC67" s="20" t="str">
        <f>+IFERROR(INDEX('Restaurant Base (Hidden)'!$A$2:$Z$1048576,MATCH($C67,'Restaurant Base (Hidden)'!$C$2:$C$1048576,0),MATCH(AC$6,'Restaurant Base (Hidden)'!$A$1:$Z$1,0)),"")</f>
        <v/>
      </c>
      <c r="AD67" s="65" t="str">
        <f>+IFERROR(INDEX('Restaurant Base (Hidden)'!$A$2:$Z$1048576,MATCH($C67,'Restaurant Base (Hidden)'!$C$2:$C$1048576,0),MATCH(AD$6,'Restaurant Base (Hidden)'!$A$1:$Z$1,0)),"")</f>
        <v>90,10 %</v>
      </c>
      <c r="AE67" s="1">
        <f>+IFERROR(INDEX('Restaurant Base (Hidden)'!$A$2:$Z$1048576,MATCH($C67,'Restaurant Base (Hidden)'!$C$2:$C$1048576,0),MATCH(AE$6,'Restaurant Base (Hidden)'!$A$1:$Z$1,0)),"")</f>
        <v>4</v>
      </c>
      <c r="AF67" s="65" t="str">
        <f>+IFERROR(INDEX('Restaurant Base (Hidden)'!$A$2:$Z$1048576,MATCH($C67,'Restaurant Base (Hidden)'!$C$2:$C$1048576,0),MATCH(AF$6,'Restaurant Base (Hidden)'!$A$1:$Z$1,0)),"")</f>
        <v>67,90 %</v>
      </c>
      <c r="AG67" s="1">
        <f>+IFERROR(INDEX('Restaurant Base (Hidden)'!$A$2:$Z$1048576,MATCH($C67,'Restaurant Base (Hidden)'!$C$2:$C$1048576,0),MATCH(AG$6,'Restaurant Base (Hidden)'!$A$1:$Z$1,0)),"")</f>
        <v>1</v>
      </c>
    </row>
    <row r="68" spans="1:33" x14ac:dyDescent="0.4">
      <c r="A68" s="163" t="str">
        <f>IF('Restaurant Base (Hidden)'!A234=0,"", 'Restaurant Base (Hidden)'!A234)</f>
        <v>Avery Ashford</v>
      </c>
      <c r="B68" s="163" t="str">
        <f>IF('Restaurant Base (Hidden)'!B234=0,"", 'Restaurant Base (Hidden)'!B234)</f>
        <v>Ridgeway Restaurants</v>
      </c>
      <c r="C68" s="163" t="str">
        <f>IF('Restaurant Base (Hidden)'!C234=0,"", 'Restaurant Base (Hidden)'!C234)</f>
        <v>Briar Corner</v>
      </c>
      <c r="D68" s="104">
        <f t="shared" si="0"/>
        <v>61</v>
      </c>
      <c r="E68" s="105">
        <f>+IFERROR(INDEX('Restaurant Base (Hidden)'!$A$2:$Z$1048576,MATCH($C68,'Restaurant Base (Hidden)'!$C$2:$C$1048576,0),MATCH(E$6,'Restaurant Base (Hidden)'!$A$1:$Z$1,0)),"")</f>
        <v>3.5</v>
      </c>
      <c r="F68" s="2" t="str">
        <f>+IFERROR(INDEX('Restaurant Base (Hidden)'!$A$2:$Z$1048576,MATCH($C68,'Restaurant Base (Hidden)'!$C$2:$C$1048576,0),MATCH(F$6,'Restaurant Base (Hidden)'!$A$1:$Z$1,0)),"")</f>
        <v/>
      </c>
      <c r="G68" s="20" t="str">
        <f>+IFERROR(INDEX('Restaurant Base (Hidden)'!$A$2:$Z$1048576,MATCH($C68,'Restaurant Base (Hidden)'!$C$2:$C$1048576,0),MATCH(G$6,'Restaurant Base (Hidden)'!$A$1:$Z$1,0)),"")</f>
        <v>4,320</v>
      </c>
      <c r="H68" s="50">
        <f>+IFERROR(INDEX('Restaurant Base (Hidden)'!$A$2:$Z$1048576,MATCH($C68,'Restaurant Base (Hidden)'!$C$2:$C$1048576,0),MATCH(H$6,'Restaurant Base (Hidden)'!$A$1:$Z$1,0)),"")</f>
        <v>3</v>
      </c>
      <c r="I68" s="20" t="str">
        <f>+IFERROR(INDEX('Restaurant Base (Hidden)'!$A$2:$Z$1048576,MATCH($C68,'Restaurant Base (Hidden)'!$C$2:$C$1048576,0),MATCH(I$6,'Restaurant Base (Hidden)'!$A$1:$Z$1,0)),"")</f>
        <v>87,90 %</v>
      </c>
      <c r="J68" s="49">
        <f>+IFERROR(INDEX('Restaurant Base (Hidden)'!$A$2:$Z$1048576,MATCH($C68,'Restaurant Base (Hidden)'!$C$2:$C$1048576,0),MATCH(J$6,'Restaurant Base (Hidden)'!$A$1:$Z$1,0)),"")</f>
        <v>3</v>
      </c>
      <c r="K68" s="20" t="str">
        <f>+IFERROR(INDEX('Restaurant Base (Hidden)'!$A$2:$Z$1048576,MATCH($C68,'Restaurant Base (Hidden)'!$C$2:$C$1048576,0),MATCH(K$6,'Restaurant Base (Hidden)'!$A$1:$Z$1,0)),"")</f>
        <v>0,041</v>
      </c>
      <c r="L68" s="51">
        <f>+IFERROR(INDEX('Restaurant Base (Hidden)'!$A$2:$Z$1048576,MATCH($C68,'Restaurant Base (Hidden)'!$C$2:$C$1048576,0),MATCH(L$6,'Restaurant Base (Hidden)'!$A$1:$Z$1,0)),"")</f>
        <v>5</v>
      </c>
      <c r="M68" s="2" t="str">
        <f>+IFERROR(INDEX('Restaurant Base (Hidden)'!$A$2:$Z$1048576,MATCH($C68,'Restaurant Base (Hidden)'!$C$2:$C$1048576,0),MATCH(M$6,'Restaurant Base (Hidden)'!$A$1:$Z$1,0)),"")</f>
        <v/>
      </c>
      <c r="N68" s="234" t="str">
        <f>+IFERROR(INDEX('Restaurant Base (Hidden)'!$A$2:$Z$1048576,MATCH($C68,'Restaurant Base (Hidden)'!$C$2:$C$1048576,0),MATCH(N$6,'Restaurant Base (Hidden)'!$A$1:$Z$1,0)),"")</f>
        <v>86,40 %</v>
      </c>
      <c r="O68" s="1">
        <f>+IFERROR(INDEX('Restaurant Base (Hidden)'!$A$2:$Z$1048576,MATCH($C68,'Restaurant Base (Hidden)'!$C$2:$C$1048576,0),MATCH(O$6,'Restaurant Base (Hidden)'!$A$1:$Z$1,0)),"")</f>
        <v>5</v>
      </c>
      <c r="P68" s="2" t="str">
        <f>+IFERROR(INDEX('Restaurant Base (Hidden)'!$A$2:$Z$1048576,MATCH($C68,'Restaurant Base (Hidden)'!$C$2:$C$1048576,0),MATCH(P$6,'Restaurant Base (Hidden)'!$A$1:$Z$1,0)),"")</f>
        <v/>
      </c>
      <c r="Q68" s="234" t="str">
        <f>+IFERROR(INDEX('Restaurant Base (Hidden)'!$A$2:$Z$1048576,MATCH($C68,'Restaurant Base (Hidden)'!$C$2:$C$1048576,0),MATCH(Q$6,'Restaurant Base (Hidden)'!$A$1:$Z$1,0)),"")</f>
        <v>77,20 %</v>
      </c>
      <c r="R68" s="1">
        <f>+IFERROR(INDEX('Restaurant Base (Hidden)'!$A$2:$Z$1048576,MATCH($C68,'Restaurant Base (Hidden)'!$C$2:$C$1048576,0),MATCH(R$6,'Restaurant Base (Hidden)'!$A$1:$Z$1,0)),"")</f>
        <v>5</v>
      </c>
      <c r="S68" s="2" t="str">
        <f>+IFERROR(INDEX('Restaurant Base (Hidden)'!$A$2:$Z$1048576,MATCH($C68,'Restaurant Base (Hidden)'!$C$2:$C$1048576,0),MATCH(S$6,'Restaurant Base (Hidden)'!$A$1:$Z$1,0)),"")</f>
        <v/>
      </c>
      <c r="T68" s="62">
        <f>+IFERROR(INDEX('Restaurant Base (Hidden)'!$A$2:$Z$1048576,MATCH($C68,'Restaurant Base (Hidden)'!$C$2:$C$1048576,0),MATCH(T$6,'Restaurant Base (Hidden)'!$A$1:$Z$1,0)),"")</f>
        <v>56.5</v>
      </c>
      <c r="U68" s="1">
        <f>+IFERROR(INDEX('Restaurant Base (Hidden)'!$A$2:$Z$1048576,MATCH($C68,'Restaurant Base (Hidden)'!$C$2:$C$1048576,0),MATCH(U$6,'Restaurant Base (Hidden)'!$A$1:$Z$1,0)),"")</f>
        <v>1</v>
      </c>
      <c r="V68" s="2" t="str">
        <f>+IFERROR(INDEX('Restaurant Base (Hidden)'!$A$2:$Z$1048576,MATCH($C68,'Restaurant Base (Hidden)'!$C$2:$C$1048576,0),MATCH(V$6,'Restaurant Base (Hidden)'!$A$1:$Z$1,0)),"")</f>
        <v/>
      </c>
      <c r="W68" s="65" t="str">
        <f>+IFERROR(INDEX('Restaurant Base (Hidden)'!$A$2:$Z$1048576,MATCH($C68,'Restaurant Base (Hidden)'!$C$2:$C$1048576,0),MATCH(W$6,'Restaurant Base (Hidden)'!$A$1:$Z$1,0)),"")</f>
        <v>98,00 %</v>
      </c>
      <c r="X68" s="1">
        <f>+IFERROR(INDEX('Restaurant Base (Hidden)'!$A$2:$Z$1048576,MATCH($C68,'Restaurant Base (Hidden)'!$C$2:$C$1048576,0),MATCH(X$6,'Restaurant Base (Hidden)'!$A$1:$Z$1,0)),"")</f>
        <v>5</v>
      </c>
      <c r="Y68" s="65" t="str">
        <f>+IFERROR(INDEX('Restaurant Base (Hidden)'!$A$2:$Z$1048576,MATCH($C68,'Restaurant Base (Hidden)'!$C$2:$C$1048576,0),MATCH(Y$6,'Restaurant Base (Hidden)'!$A$1:$Z$1,0)),"")</f>
        <v>93,70 %</v>
      </c>
      <c r="Z68" s="106">
        <f>+IFERROR(INDEX('Restaurant Base (Hidden)'!$A$2:$Z$1048576,MATCH($C68,'Restaurant Base (Hidden)'!$C$2:$C$1048576,0),MATCH(Z$6,'Restaurant Base (Hidden)'!$A$1:$Z$1,0)),"")</f>
        <v>3</v>
      </c>
      <c r="AA68" s="65" t="str">
        <f>+IFERROR(INDEX('Restaurant Base (Hidden)'!$A$2:$Z$1048576,MATCH($C68,'Restaurant Base (Hidden)'!$C$2:$C$1048576,0),MATCH(AA$6,'Restaurant Base (Hidden)'!$A$1:$Z$1,0)),"")</f>
        <v>64,60 %</v>
      </c>
      <c r="AB68" s="1">
        <f>+IFERROR(INDEX('Restaurant Base (Hidden)'!$A$2:$Z$1048576,MATCH($C68,'Restaurant Base (Hidden)'!$C$2:$C$1048576,0),MATCH(AB$6,'Restaurant Base (Hidden)'!$A$1:$Z$1,0)),"")</f>
        <v>2</v>
      </c>
      <c r="AC68" s="20" t="str">
        <f>+IFERROR(INDEX('Restaurant Base (Hidden)'!$A$2:$Z$1048576,MATCH($C68,'Restaurant Base (Hidden)'!$C$2:$C$1048576,0),MATCH(AC$6,'Restaurant Base (Hidden)'!$A$1:$Z$1,0)),"")</f>
        <v/>
      </c>
      <c r="AD68" s="65" t="str">
        <f>+IFERROR(INDEX('Restaurant Base (Hidden)'!$A$2:$Z$1048576,MATCH($C68,'Restaurant Base (Hidden)'!$C$2:$C$1048576,0),MATCH(AD$6,'Restaurant Base (Hidden)'!$A$1:$Z$1,0)),"")</f>
        <v>85,30 %</v>
      </c>
      <c r="AE68" s="1">
        <f>+IFERROR(INDEX('Restaurant Base (Hidden)'!$A$2:$Z$1048576,MATCH($C68,'Restaurant Base (Hidden)'!$C$2:$C$1048576,0),MATCH(AE$6,'Restaurant Base (Hidden)'!$A$1:$Z$1,0)),"")</f>
        <v>3</v>
      </c>
      <c r="AF68" s="65" t="str">
        <f>+IFERROR(INDEX('Restaurant Base (Hidden)'!$A$2:$Z$1048576,MATCH($C68,'Restaurant Base (Hidden)'!$C$2:$C$1048576,0),MATCH(AF$6,'Restaurant Base (Hidden)'!$A$1:$Z$1,0)),"")</f>
        <v>89,00 %</v>
      </c>
      <c r="AG68" s="1">
        <f>+IFERROR(INDEX('Restaurant Base (Hidden)'!$A$2:$Z$1048576,MATCH($C68,'Restaurant Base (Hidden)'!$C$2:$C$1048576,0),MATCH(AG$6,'Restaurant Base (Hidden)'!$A$1:$Z$1,0)),"")</f>
        <v>3</v>
      </c>
    </row>
    <row r="69" spans="1:33" x14ac:dyDescent="0.4">
      <c r="A69" s="163" t="str">
        <f>IF('Restaurant Base (Hidden)'!A361=0,"", 'Restaurant Base (Hidden)'!A361)</f>
        <v>Kendall Prescott</v>
      </c>
      <c r="B69" s="163" t="str">
        <f>IF('Restaurant Base (Hidden)'!B361=0,"", 'Restaurant Base (Hidden)'!B361)</f>
        <v>Sunridge Food Partners</v>
      </c>
      <c r="C69" s="163" t="str">
        <f>IF('Restaurant Base (Hidden)'!C361=0,"", 'Restaurant Base (Hidden)'!C361)</f>
        <v>Westwood Heath</v>
      </c>
      <c r="D69" s="104">
        <f t="shared" si="0"/>
        <v>61</v>
      </c>
      <c r="E69" s="105">
        <f>+IFERROR(INDEX('Restaurant Base (Hidden)'!$A$2:$Z$1048576,MATCH($C69,'Restaurant Base (Hidden)'!$C$2:$C$1048576,0),MATCH(E$6,'Restaurant Base (Hidden)'!$A$1:$Z$1,0)),"")</f>
        <v>3.5</v>
      </c>
      <c r="F69" s="2" t="str">
        <f>+IFERROR(INDEX('Restaurant Base (Hidden)'!$A$2:$Z$1048576,MATCH($C69,'Restaurant Base (Hidden)'!$C$2:$C$1048576,0),MATCH(F$6,'Restaurant Base (Hidden)'!$A$1:$Z$1,0)),"")</f>
        <v/>
      </c>
      <c r="G69" s="20" t="str">
        <f>+IFERROR(INDEX('Restaurant Base (Hidden)'!$A$2:$Z$1048576,MATCH($C69,'Restaurant Base (Hidden)'!$C$2:$C$1048576,0),MATCH(G$6,'Restaurant Base (Hidden)'!$A$1:$Z$1,0)),"")</f>
        <v>4,132</v>
      </c>
      <c r="H69" s="50">
        <f>+IFERROR(INDEX('Restaurant Base (Hidden)'!$A$2:$Z$1048576,MATCH($C69,'Restaurant Base (Hidden)'!$C$2:$C$1048576,0),MATCH(H$6,'Restaurant Base (Hidden)'!$A$1:$Z$1,0)),"")</f>
        <v>2</v>
      </c>
      <c r="I69" s="20" t="str">
        <f>+IFERROR(INDEX('Restaurant Base (Hidden)'!$A$2:$Z$1048576,MATCH($C69,'Restaurant Base (Hidden)'!$C$2:$C$1048576,0),MATCH(I$6,'Restaurant Base (Hidden)'!$A$1:$Z$1,0)),"")</f>
        <v>83,60 %</v>
      </c>
      <c r="J69" s="49">
        <f>+IFERROR(INDEX('Restaurant Base (Hidden)'!$A$2:$Z$1048576,MATCH($C69,'Restaurant Base (Hidden)'!$C$2:$C$1048576,0),MATCH(J$6,'Restaurant Base (Hidden)'!$A$1:$Z$1,0)),"")</f>
        <v>3</v>
      </c>
      <c r="K69" s="20" t="str">
        <f>+IFERROR(INDEX('Restaurant Base (Hidden)'!$A$2:$Z$1048576,MATCH($C69,'Restaurant Base (Hidden)'!$C$2:$C$1048576,0),MATCH(K$6,'Restaurant Base (Hidden)'!$A$1:$Z$1,0)),"")</f>
        <v>0,197</v>
      </c>
      <c r="L69" s="51">
        <f>+IFERROR(INDEX('Restaurant Base (Hidden)'!$A$2:$Z$1048576,MATCH($C69,'Restaurant Base (Hidden)'!$C$2:$C$1048576,0),MATCH(L$6,'Restaurant Base (Hidden)'!$A$1:$Z$1,0)),"")</f>
        <v>1</v>
      </c>
      <c r="M69" s="2" t="str">
        <f>+IFERROR(INDEX('Restaurant Base (Hidden)'!$A$2:$Z$1048576,MATCH($C69,'Restaurant Base (Hidden)'!$C$2:$C$1048576,0),MATCH(M$6,'Restaurant Base (Hidden)'!$A$1:$Z$1,0)),"")</f>
        <v/>
      </c>
      <c r="N69" s="234" t="str">
        <f>+IFERROR(INDEX('Restaurant Base (Hidden)'!$A$2:$Z$1048576,MATCH($C69,'Restaurant Base (Hidden)'!$C$2:$C$1048576,0),MATCH(N$6,'Restaurant Base (Hidden)'!$A$1:$Z$1,0)),"")</f>
        <v>91,40 %</v>
      </c>
      <c r="O69" s="1">
        <f>+IFERROR(INDEX('Restaurant Base (Hidden)'!$A$2:$Z$1048576,MATCH($C69,'Restaurant Base (Hidden)'!$C$2:$C$1048576,0),MATCH(O$6,'Restaurant Base (Hidden)'!$A$1:$Z$1,0)),"")</f>
        <v>5</v>
      </c>
      <c r="P69" s="2" t="str">
        <f>+IFERROR(INDEX('Restaurant Base (Hidden)'!$A$2:$Z$1048576,MATCH($C69,'Restaurant Base (Hidden)'!$C$2:$C$1048576,0),MATCH(P$6,'Restaurant Base (Hidden)'!$A$1:$Z$1,0)),"")</f>
        <v/>
      </c>
      <c r="Q69" s="234" t="str">
        <f>+IFERROR(INDEX('Restaurant Base (Hidden)'!$A$2:$Z$1048576,MATCH($C69,'Restaurant Base (Hidden)'!$C$2:$C$1048576,0),MATCH(Q$6,'Restaurant Base (Hidden)'!$A$1:$Z$1,0)),"")</f>
        <v>80,60 %</v>
      </c>
      <c r="R69" s="1">
        <f>+IFERROR(INDEX('Restaurant Base (Hidden)'!$A$2:$Z$1048576,MATCH($C69,'Restaurant Base (Hidden)'!$C$2:$C$1048576,0),MATCH(R$6,'Restaurant Base (Hidden)'!$A$1:$Z$1,0)),"")</f>
        <v>5</v>
      </c>
      <c r="S69" s="2" t="str">
        <f>+IFERROR(INDEX('Restaurant Base (Hidden)'!$A$2:$Z$1048576,MATCH($C69,'Restaurant Base (Hidden)'!$C$2:$C$1048576,0),MATCH(S$6,'Restaurant Base (Hidden)'!$A$1:$Z$1,0)),"")</f>
        <v/>
      </c>
      <c r="T69" s="62">
        <f>+IFERROR(INDEX('Restaurant Base (Hidden)'!$A$2:$Z$1048576,MATCH($C69,'Restaurant Base (Hidden)'!$C$2:$C$1048576,0),MATCH(T$6,'Restaurant Base (Hidden)'!$A$1:$Z$1,0)),"")</f>
        <v>76.900000000000006</v>
      </c>
      <c r="U69" s="1">
        <f>+IFERROR(INDEX('Restaurant Base (Hidden)'!$A$2:$Z$1048576,MATCH($C69,'Restaurant Base (Hidden)'!$C$2:$C$1048576,0),MATCH(U$6,'Restaurant Base (Hidden)'!$A$1:$Z$1,0)),"")</f>
        <v>5</v>
      </c>
      <c r="V69" s="2" t="str">
        <f>+IFERROR(INDEX('Restaurant Base (Hidden)'!$A$2:$Z$1048576,MATCH($C69,'Restaurant Base (Hidden)'!$C$2:$C$1048576,0),MATCH(V$6,'Restaurant Base (Hidden)'!$A$1:$Z$1,0)),"")</f>
        <v/>
      </c>
      <c r="W69" s="65" t="str">
        <f>+IFERROR(INDEX('Restaurant Base (Hidden)'!$A$2:$Z$1048576,MATCH($C69,'Restaurant Base (Hidden)'!$C$2:$C$1048576,0),MATCH(W$6,'Restaurant Base (Hidden)'!$A$1:$Z$1,0)),"")</f>
        <v>67,40 %</v>
      </c>
      <c r="X69" s="1">
        <f>+IFERROR(INDEX('Restaurant Base (Hidden)'!$A$2:$Z$1048576,MATCH($C69,'Restaurant Base (Hidden)'!$C$2:$C$1048576,0),MATCH(X$6,'Restaurant Base (Hidden)'!$A$1:$Z$1,0)),"")</f>
        <v>2</v>
      </c>
      <c r="Y69" s="65" t="str">
        <f>+IFERROR(INDEX('Restaurant Base (Hidden)'!$A$2:$Z$1048576,MATCH($C69,'Restaurant Base (Hidden)'!$C$2:$C$1048576,0),MATCH(Y$6,'Restaurant Base (Hidden)'!$A$1:$Z$1,0)),"")</f>
        <v>96,70 %</v>
      </c>
      <c r="Z69" s="106">
        <f>+IFERROR(INDEX('Restaurant Base (Hidden)'!$A$2:$Z$1048576,MATCH($C69,'Restaurant Base (Hidden)'!$C$2:$C$1048576,0),MATCH(Z$6,'Restaurant Base (Hidden)'!$A$1:$Z$1,0)),"")</f>
        <v>4</v>
      </c>
      <c r="AA69" s="65" t="str">
        <f>+IFERROR(INDEX('Restaurant Base (Hidden)'!$A$2:$Z$1048576,MATCH($C69,'Restaurant Base (Hidden)'!$C$2:$C$1048576,0),MATCH(AA$6,'Restaurant Base (Hidden)'!$A$1:$Z$1,0)),"")</f>
        <v>79,20 %</v>
      </c>
      <c r="AB69" s="1">
        <f>+IFERROR(INDEX('Restaurant Base (Hidden)'!$A$2:$Z$1048576,MATCH($C69,'Restaurant Base (Hidden)'!$C$2:$C$1048576,0),MATCH(AB$6,'Restaurant Base (Hidden)'!$A$1:$Z$1,0)),"")</f>
        <v>2</v>
      </c>
      <c r="AC69" s="20" t="str">
        <f>+IFERROR(INDEX('Restaurant Base (Hidden)'!$A$2:$Z$1048576,MATCH($C69,'Restaurant Base (Hidden)'!$C$2:$C$1048576,0),MATCH(AC$6,'Restaurant Base (Hidden)'!$A$1:$Z$1,0)),"")</f>
        <v/>
      </c>
      <c r="AD69" s="65" t="str">
        <f>+IFERROR(INDEX('Restaurant Base (Hidden)'!$A$2:$Z$1048576,MATCH($C69,'Restaurant Base (Hidden)'!$C$2:$C$1048576,0),MATCH(AD$6,'Restaurant Base (Hidden)'!$A$1:$Z$1,0)),"")</f>
        <v>97,70 %</v>
      </c>
      <c r="AE69" s="1">
        <f>+IFERROR(INDEX('Restaurant Base (Hidden)'!$A$2:$Z$1048576,MATCH($C69,'Restaurant Base (Hidden)'!$C$2:$C$1048576,0),MATCH(AE$6,'Restaurant Base (Hidden)'!$A$1:$Z$1,0)),"")</f>
        <v>5</v>
      </c>
      <c r="AF69" s="65" t="str">
        <f>+IFERROR(INDEX('Restaurant Base (Hidden)'!$A$2:$Z$1048576,MATCH($C69,'Restaurant Base (Hidden)'!$C$2:$C$1048576,0),MATCH(AF$6,'Restaurant Base (Hidden)'!$A$1:$Z$1,0)),"")</f>
        <v>57,70 %</v>
      </c>
      <c r="AG69" s="1">
        <f>+IFERROR(INDEX('Restaurant Base (Hidden)'!$A$2:$Z$1048576,MATCH($C69,'Restaurant Base (Hidden)'!$C$2:$C$1048576,0),MATCH(AG$6,'Restaurant Base (Hidden)'!$A$1:$Z$1,0)),"")</f>
        <v>1</v>
      </c>
    </row>
    <row r="70" spans="1:33" x14ac:dyDescent="0.4">
      <c r="A70" s="163" t="str">
        <f>IF('Restaurant Base (Hidden)'!A195=0,"", 'Restaurant Base (Hidden)'!A195)</f>
        <v>Skyler Everhart</v>
      </c>
      <c r="B70" s="163" t="str">
        <f>IF('Restaurant Base (Hidden)'!B195=0,"", 'Restaurant Base (Hidden)'!B195)</f>
        <v>Springwell Hospitality</v>
      </c>
      <c r="C70" s="163" t="str">
        <f>IF('Restaurant Base (Hidden)'!C195=0,"", 'Restaurant Base (Hidden)'!C195)</f>
        <v>Elm Heights</v>
      </c>
      <c r="D70" s="104">
        <f t="shared" si="0"/>
        <v>64</v>
      </c>
      <c r="E70" s="105">
        <f>+IFERROR(INDEX('Restaurant Base (Hidden)'!$A$2:$Z$1048576,MATCH($C70,'Restaurant Base (Hidden)'!$C$2:$C$1048576,0),MATCH(E$6,'Restaurant Base (Hidden)'!$A$1:$Z$1,0)),"")</f>
        <v>3.48</v>
      </c>
      <c r="F70" s="2" t="str">
        <f>+IFERROR(INDEX('Restaurant Base (Hidden)'!$A$2:$Z$1048576,MATCH($C70,'Restaurant Base (Hidden)'!$C$2:$C$1048576,0),MATCH(F$6,'Restaurant Base (Hidden)'!$A$1:$Z$1,0)),"")</f>
        <v/>
      </c>
      <c r="G70" s="20" t="str">
        <f>+IFERROR(INDEX('Restaurant Base (Hidden)'!$A$2:$Z$1048576,MATCH($C70,'Restaurant Base (Hidden)'!$C$2:$C$1048576,0),MATCH(G$6,'Restaurant Base (Hidden)'!$A$1:$Z$1,0)),"")</f>
        <v>4,154</v>
      </c>
      <c r="H70" s="50">
        <f>+IFERROR(INDEX('Restaurant Base (Hidden)'!$A$2:$Z$1048576,MATCH($C70,'Restaurant Base (Hidden)'!$C$2:$C$1048576,0),MATCH(H$6,'Restaurant Base (Hidden)'!$A$1:$Z$1,0)),"")</f>
        <v>2</v>
      </c>
      <c r="I70" s="20" t="str">
        <f>+IFERROR(INDEX('Restaurant Base (Hidden)'!$A$2:$Z$1048576,MATCH($C70,'Restaurant Base (Hidden)'!$C$2:$C$1048576,0),MATCH(I$6,'Restaurant Base (Hidden)'!$A$1:$Z$1,0)),"")</f>
        <v>69,10 %</v>
      </c>
      <c r="J70" s="49">
        <f>+IFERROR(INDEX('Restaurant Base (Hidden)'!$A$2:$Z$1048576,MATCH($C70,'Restaurant Base (Hidden)'!$C$2:$C$1048576,0),MATCH(J$6,'Restaurant Base (Hidden)'!$A$1:$Z$1,0)),"")</f>
        <v>1</v>
      </c>
      <c r="K70" s="20" t="str">
        <f>+IFERROR(INDEX('Restaurant Base (Hidden)'!$A$2:$Z$1048576,MATCH($C70,'Restaurant Base (Hidden)'!$C$2:$C$1048576,0),MATCH(K$6,'Restaurant Base (Hidden)'!$A$1:$Z$1,0)),"")</f>
        <v>0,086</v>
      </c>
      <c r="L70" s="51">
        <f>+IFERROR(INDEX('Restaurant Base (Hidden)'!$A$2:$Z$1048576,MATCH($C70,'Restaurant Base (Hidden)'!$C$2:$C$1048576,0),MATCH(L$6,'Restaurant Base (Hidden)'!$A$1:$Z$1,0)),"")</f>
        <v>4</v>
      </c>
      <c r="M70" s="2" t="str">
        <f>+IFERROR(INDEX('Restaurant Base (Hidden)'!$A$2:$Z$1048576,MATCH($C70,'Restaurant Base (Hidden)'!$C$2:$C$1048576,0),MATCH(M$6,'Restaurant Base (Hidden)'!$A$1:$Z$1,0)),"")</f>
        <v/>
      </c>
      <c r="N70" s="234" t="str">
        <f>+IFERROR(INDEX('Restaurant Base (Hidden)'!$A$2:$Z$1048576,MATCH($C70,'Restaurant Base (Hidden)'!$C$2:$C$1048576,0),MATCH(N$6,'Restaurant Base (Hidden)'!$A$1:$Z$1,0)),"")</f>
        <v>84,70 %</v>
      </c>
      <c r="O70" s="1">
        <f>+IFERROR(INDEX('Restaurant Base (Hidden)'!$A$2:$Z$1048576,MATCH($C70,'Restaurant Base (Hidden)'!$C$2:$C$1048576,0),MATCH(O$6,'Restaurant Base (Hidden)'!$A$1:$Z$1,0)),"")</f>
        <v>5</v>
      </c>
      <c r="P70" s="2" t="str">
        <f>+IFERROR(INDEX('Restaurant Base (Hidden)'!$A$2:$Z$1048576,MATCH($C70,'Restaurant Base (Hidden)'!$C$2:$C$1048576,0),MATCH(P$6,'Restaurant Base (Hidden)'!$A$1:$Z$1,0)),"")</f>
        <v/>
      </c>
      <c r="Q70" s="234" t="str">
        <f>+IFERROR(INDEX('Restaurant Base (Hidden)'!$A$2:$Z$1048576,MATCH($C70,'Restaurant Base (Hidden)'!$C$2:$C$1048576,0),MATCH(Q$6,'Restaurant Base (Hidden)'!$A$1:$Z$1,0)),"")</f>
        <v>92,60 %</v>
      </c>
      <c r="R70" s="1">
        <f>+IFERROR(INDEX('Restaurant Base (Hidden)'!$A$2:$Z$1048576,MATCH($C70,'Restaurant Base (Hidden)'!$C$2:$C$1048576,0),MATCH(R$6,'Restaurant Base (Hidden)'!$A$1:$Z$1,0)),"")</f>
        <v>5</v>
      </c>
      <c r="S70" s="2" t="str">
        <f>+IFERROR(INDEX('Restaurant Base (Hidden)'!$A$2:$Z$1048576,MATCH($C70,'Restaurant Base (Hidden)'!$C$2:$C$1048576,0),MATCH(S$6,'Restaurant Base (Hidden)'!$A$1:$Z$1,0)),"")</f>
        <v/>
      </c>
      <c r="T70" s="62">
        <f>+IFERROR(INDEX('Restaurant Base (Hidden)'!$A$2:$Z$1048576,MATCH($C70,'Restaurant Base (Hidden)'!$C$2:$C$1048576,0),MATCH(T$6,'Restaurant Base (Hidden)'!$A$1:$Z$1,0)),"")</f>
        <v>67</v>
      </c>
      <c r="U70" s="1">
        <f>+IFERROR(INDEX('Restaurant Base (Hidden)'!$A$2:$Z$1048576,MATCH($C70,'Restaurant Base (Hidden)'!$C$2:$C$1048576,0),MATCH(U$6,'Restaurant Base (Hidden)'!$A$1:$Z$1,0)),"")</f>
        <v>4</v>
      </c>
      <c r="V70" s="2" t="str">
        <f>+IFERROR(INDEX('Restaurant Base (Hidden)'!$A$2:$Z$1048576,MATCH($C70,'Restaurant Base (Hidden)'!$C$2:$C$1048576,0),MATCH(V$6,'Restaurant Base (Hidden)'!$A$1:$Z$1,0)),"")</f>
        <v/>
      </c>
      <c r="W70" s="65" t="str">
        <f>+IFERROR(INDEX('Restaurant Base (Hidden)'!$A$2:$Z$1048576,MATCH($C70,'Restaurant Base (Hidden)'!$C$2:$C$1048576,0),MATCH(W$6,'Restaurant Base (Hidden)'!$A$1:$Z$1,0)),"")</f>
        <v>98,20 %</v>
      </c>
      <c r="X70" s="1">
        <f>+IFERROR(INDEX('Restaurant Base (Hidden)'!$A$2:$Z$1048576,MATCH($C70,'Restaurant Base (Hidden)'!$C$2:$C$1048576,0),MATCH(X$6,'Restaurant Base (Hidden)'!$A$1:$Z$1,0)),"")</f>
        <v>5</v>
      </c>
      <c r="Y70" s="65" t="str">
        <f>+IFERROR(INDEX('Restaurant Base (Hidden)'!$A$2:$Z$1048576,MATCH($C70,'Restaurant Base (Hidden)'!$C$2:$C$1048576,0),MATCH(Y$6,'Restaurant Base (Hidden)'!$A$1:$Z$1,0)),"")</f>
        <v>62,30 %</v>
      </c>
      <c r="Z70" s="106">
        <f>+IFERROR(INDEX('Restaurant Base (Hidden)'!$A$2:$Z$1048576,MATCH($C70,'Restaurant Base (Hidden)'!$C$2:$C$1048576,0),MATCH(Z$6,'Restaurant Base (Hidden)'!$A$1:$Z$1,0)),"")</f>
        <v>2</v>
      </c>
      <c r="AA70" s="65" t="str">
        <f>+IFERROR(INDEX('Restaurant Base (Hidden)'!$A$2:$Z$1048576,MATCH($C70,'Restaurant Base (Hidden)'!$C$2:$C$1048576,0),MATCH(AA$6,'Restaurant Base (Hidden)'!$A$1:$Z$1,0)),"")</f>
        <v>60,70 %</v>
      </c>
      <c r="AB70" s="1">
        <f>+IFERROR(INDEX('Restaurant Base (Hidden)'!$A$2:$Z$1048576,MATCH($C70,'Restaurant Base (Hidden)'!$C$2:$C$1048576,0),MATCH(AB$6,'Restaurant Base (Hidden)'!$A$1:$Z$1,0)),"")</f>
        <v>2</v>
      </c>
      <c r="AC70" s="20" t="str">
        <f>+IFERROR(INDEX('Restaurant Base (Hidden)'!$A$2:$Z$1048576,MATCH($C70,'Restaurant Base (Hidden)'!$C$2:$C$1048576,0),MATCH(AC$6,'Restaurant Base (Hidden)'!$A$1:$Z$1,0)),"")</f>
        <v/>
      </c>
      <c r="AD70" s="65" t="str">
        <f>+IFERROR(INDEX('Restaurant Base (Hidden)'!$A$2:$Z$1048576,MATCH($C70,'Restaurant Base (Hidden)'!$C$2:$C$1048576,0),MATCH(AD$6,'Restaurant Base (Hidden)'!$A$1:$Z$1,0)),"")</f>
        <v>95,30 %</v>
      </c>
      <c r="AE70" s="1">
        <f>+IFERROR(INDEX('Restaurant Base (Hidden)'!$A$2:$Z$1048576,MATCH($C70,'Restaurant Base (Hidden)'!$C$2:$C$1048576,0),MATCH(AE$6,'Restaurant Base (Hidden)'!$A$1:$Z$1,0)),"")</f>
        <v>5</v>
      </c>
      <c r="AF70" s="65" t="str">
        <f>+IFERROR(INDEX('Restaurant Base (Hidden)'!$A$2:$Z$1048576,MATCH($C70,'Restaurant Base (Hidden)'!$C$2:$C$1048576,0),MATCH(AF$6,'Restaurant Base (Hidden)'!$A$1:$Z$1,0)),"")</f>
        <v>82,60 %</v>
      </c>
      <c r="AG70" s="1">
        <f>+IFERROR(INDEX('Restaurant Base (Hidden)'!$A$2:$Z$1048576,MATCH($C70,'Restaurant Base (Hidden)'!$C$2:$C$1048576,0),MATCH(AG$6,'Restaurant Base (Hidden)'!$A$1:$Z$1,0)),"")</f>
        <v>2</v>
      </c>
    </row>
    <row r="71" spans="1:33" x14ac:dyDescent="0.4">
      <c r="A71" s="163" t="str">
        <f>IF('Restaurant Base (Hidden)'!A202=0,"", 'Restaurant Base (Hidden)'!A202)</f>
        <v>Sage Rosemont</v>
      </c>
      <c r="B71" s="163" t="str">
        <f>IF('Restaurant Base (Hidden)'!B202=0,"", 'Restaurant Base (Hidden)'!B202)</f>
        <v>Northstar Dining Group</v>
      </c>
      <c r="C71" s="163" t="str">
        <f>IF('Restaurant Base (Hidden)'!C202=0,"", 'Restaurant Base (Hidden)'!C202)</f>
        <v>Starling View</v>
      </c>
      <c r="D71" s="104">
        <f t="shared" ref="D71:D134" si="1">+IFERROR(RANK(E71,$E$7:$E$3390,),"")</f>
        <v>65</v>
      </c>
      <c r="E71" s="105">
        <f>+IFERROR(INDEX('Restaurant Base (Hidden)'!$A$2:$Z$1048576,MATCH($C71,'Restaurant Base (Hidden)'!$C$2:$C$1048576,0),MATCH(E$6,'Restaurant Base (Hidden)'!$A$1:$Z$1,0)),"")</f>
        <v>3.47</v>
      </c>
      <c r="F71" s="2" t="str">
        <f>+IFERROR(INDEX('Restaurant Base (Hidden)'!$A$2:$Z$1048576,MATCH($C71,'Restaurant Base (Hidden)'!$C$2:$C$1048576,0),MATCH(F$6,'Restaurant Base (Hidden)'!$A$1:$Z$1,0)),"")</f>
        <v/>
      </c>
      <c r="G71" s="20" t="str">
        <f>+IFERROR(INDEX('Restaurant Base (Hidden)'!$A$2:$Z$1048576,MATCH($C71,'Restaurant Base (Hidden)'!$C$2:$C$1048576,0),MATCH(G$6,'Restaurant Base (Hidden)'!$A$1:$Z$1,0)),"")</f>
        <v>4,781</v>
      </c>
      <c r="H71" s="50">
        <f>+IFERROR(INDEX('Restaurant Base (Hidden)'!$A$2:$Z$1048576,MATCH($C71,'Restaurant Base (Hidden)'!$C$2:$C$1048576,0),MATCH(H$6,'Restaurant Base (Hidden)'!$A$1:$Z$1,0)),"")</f>
        <v>5</v>
      </c>
      <c r="I71" s="20" t="str">
        <f>+IFERROR(INDEX('Restaurant Base (Hidden)'!$A$2:$Z$1048576,MATCH($C71,'Restaurant Base (Hidden)'!$C$2:$C$1048576,0),MATCH(I$6,'Restaurant Base (Hidden)'!$A$1:$Z$1,0)),"")</f>
        <v>61,90 %</v>
      </c>
      <c r="J71" s="49">
        <f>+IFERROR(INDEX('Restaurant Base (Hidden)'!$A$2:$Z$1048576,MATCH($C71,'Restaurant Base (Hidden)'!$C$2:$C$1048576,0),MATCH(J$6,'Restaurant Base (Hidden)'!$A$1:$Z$1,0)),"")</f>
        <v>1</v>
      </c>
      <c r="K71" s="20" t="str">
        <f>+IFERROR(INDEX('Restaurant Base (Hidden)'!$A$2:$Z$1048576,MATCH($C71,'Restaurant Base (Hidden)'!$C$2:$C$1048576,0),MATCH(K$6,'Restaurant Base (Hidden)'!$A$1:$Z$1,0)),"")</f>
        <v>0,082</v>
      </c>
      <c r="L71" s="51">
        <f>+IFERROR(INDEX('Restaurant Base (Hidden)'!$A$2:$Z$1048576,MATCH($C71,'Restaurant Base (Hidden)'!$C$2:$C$1048576,0),MATCH(L$6,'Restaurant Base (Hidden)'!$A$1:$Z$1,0)),"")</f>
        <v>4</v>
      </c>
      <c r="M71" s="2" t="str">
        <f>+IFERROR(INDEX('Restaurant Base (Hidden)'!$A$2:$Z$1048576,MATCH($C71,'Restaurant Base (Hidden)'!$C$2:$C$1048576,0),MATCH(M$6,'Restaurant Base (Hidden)'!$A$1:$Z$1,0)),"")</f>
        <v/>
      </c>
      <c r="N71" s="234" t="str">
        <f>+IFERROR(INDEX('Restaurant Base (Hidden)'!$A$2:$Z$1048576,MATCH($C71,'Restaurant Base (Hidden)'!$C$2:$C$1048576,0),MATCH(N$6,'Restaurant Base (Hidden)'!$A$1:$Z$1,0)),"")</f>
        <v>65,60 %</v>
      </c>
      <c r="O71" s="1">
        <f>+IFERROR(INDEX('Restaurant Base (Hidden)'!$A$2:$Z$1048576,MATCH($C71,'Restaurant Base (Hidden)'!$C$2:$C$1048576,0),MATCH(O$6,'Restaurant Base (Hidden)'!$A$1:$Z$1,0)),"")</f>
        <v>3</v>
      </c>
      <c r="P71" s="2" t="str">
        <f>+IFERROR(INDEX('Restaurant Base (Hidden)'!$A$2:$Z$1048576,MATCH($C71,'Restaurant Base (Hidden)'!$C$2:$C$1048576,0),MATCH(P$6,'Restaurant Base (Hidden)'!$A$1:$Z$1,0)),"")</f>
        <v/>
      </c>
      <c r="Q71" s="234" t="str">
        <f>+IFERROR(INDEX('Restaurant Base (Hidden)'!$A$2:$Z$1048576,MATCH($C71,'Restaurant Base (Hidden)'!$C$2:$C$1048576,0),MATCH(Q$6,'Restaurant Base (Hidden)'!$A$1:$Z$1,0)),"")</f>
        <v>95,60 %</v>
      </c>
      <c r="R71" s="1">
        <f>+IFERROR(INDEX('Restaurant Base (Hidden)'!$A$2:$Z$1048576,MATCH($C71,'Restaurant Base (Hidden)'!$C$2:$C$1048576,0),MATCH(R$6,'Restaurant Base (Hidden)'!$A$1:$Z$1,0)),"")</f>
        <v>5</v>
      </c>
      <c r="S71" s="2" t="str">
        <f>+IFERROR(INDEX('Restaurant Base (Hidden)'!$A$2:$Z$1048576,MATCH($C71,'Restaurant Base (Hidden)'!$C$2:$C$1048576,0),MATCH(S$6,'Restaurant Base (Hidden)'!$A$1:$Z$1,0)),"")</f>
        <v/>
      </c>
      <c r="T71" s="62">
        <f>+IFERROR(INDEX('Restaurant Base (Hidden)'!$A$2:$Z$1048576,MATCH($C71,'Restaurant Base (Hidden)'!$C$2:$C$1048576,0),MATCH(T$6,'Restaurant Base (Hidden)'!$A$1:$Z$1,0)),"")</f>
        <v>69.099999999999994</v>
      </c>
      <c r="U71" s="1">
        <f>+IFERROR(INDEX('Restaurant Base (Hidden)'!$A$2:$Z$1048576,MATCH($C71,'Restaurant Base (Hidden)'!$C$2:$C$1048576,0),MATCH(U$6,'Restaurant Base (Hidden)'!$A$1:$Z$1,0)),"")</f>
        <v>5</v>
      </c>
      <c r="V71" s="2" t="str">
        <f>+IFERROR(INDEX('Restaurant Base (Hidden)'!$A$2:$Z$1048576,MATCH($C71,'Restaurant Base (Hidden)'!$C$2:$C$1048576,0),MATCH(V$6,'Restaurant Base (Hidden)'!$A$1:$Z$1,0)),"")</f>
        <v/>
      </c>
      <c r="W71" s="65" t="str">
        <f>+IFERROR(INDEX('Restaurant Base (Hidden)'!$A$2:$Z$1048576,MATCH($C71,'Restaurant Base (Hidden)'!$C$2:$C$1048576,0),MATCH(W$6,'Restaurant Base (Hidden)'!$A$1:$Z$1,0)),"")</f>
        <v>63,90 %</v>
      </c>
      <c r="X71" s="1">
        <f>+IFERROR(INDEX('Restaurant Base (Hidden)'!$A$2:$Z$1048576,MATCH($C71,'Restaurant Base (Hidden)'!$C$2:$C$1048576,0),MATCH(X$6,'Restaurant Base (Hidden)'!$A$1:$Z$1,0)),"")</f>
        <v>2</v>
      </c>
      <c r="Y71" s="65" t="str">
        <f>+IFERROR(INDEX('Restaurant Base (Hidden)'!$A$2:$Z$1048576,MATCH($C71,'Restaurant Base (Hidden)'!$C$2:$C$1048576,0),MATCH(Y$6,'Restaurant Base (Hidden)'!$A$1:$Z$1,0)),"")</f>
        <v>85,60 %</v>
      </c>
      <c r="Z71" s="106">
        <f>+IFERROR(INDEX('Restaurant Base (Hidden)'!$A$2:$Z$1048576,MATCH($C71,'Restaurant Base (Hidden)'!$C$2:$C$1048576,0),MATCH(Z$6,'Restaurant Base (Hidden)'!$A$1:$Z$1,0)),"")</f>
        <v>3</v>
      </c>
      <c r="AA71" s="65" t="str">
        <f>+IFERROR(INDEX('Restaurant Base (Hidden)'!$A$2:$Z$1048576,MATCH($C71,'Restaurant Base (Hidden)'!$C$2:$C$1048576,0),MATCH(AA$6,'Restaurant Base (Hidden)'!$A$1:$Z$1,0)),"")</f>
        <v>70,40 %</v>
      </c>
      <c r="AB71" s="1">
        <f>+IFERROR(INDEX('Restaurant Base (Hidden)'!$A$2:$Z$1048576,MATCH($C71,'Restaurant Base (Hidden)'!$C$2:$C$1048576,0),MATCH(AB$6,'Restaurant Base (Hidden)'!$A$1:$Z$1,0)),"")</f>
        <v>2</v>
      </c>
      <c r="AC71" s="20" t="str">
        <f>+IFERROR(INDEX('Restaurant Base (Hidden)'!$A$2:$Z$1048576,MATCH($C71,'Restaurant Base (Hidden)'!$C$2:$C$1048576,0),MATCH(AC$6,'Restaurant Base (Hidden)'!$A$1:$Z$1,0)),"")</f>
        <v/>
      </c>
      <c r="AD71" s="65" t="str">
        <f>+IFERROR(INDEX('Restaurant Base (Hidden)'!$A$2:$Z$1048576,MATCH($C71,'Restaurant Base (Hidden)'!$C$2:$C$1048576,0),MATCH(AD$6,'Restaurant Base (Hidden)'!$A$1:$Z$1,0)),"")</f>
        <v>83,10 %</v>
      </c>
      <c r="AE71" s="1">
        <f>+IFERROR(INDEX('Restaurant Base (Hidden)'!$A$2:$Z$1048576,MATCH($C71,'Restaurant Base (Hidden)'!$C$2:$C$1048576,0),MATCH(AE$6,'Restaurant Base (Hidden)'!$A$1:$Z$1,0)),"")</f>
        <v>3</v>
      </c>
      <c r="AF71" s="65" t="str">
        <f>+IFERROR(INDEX('Restaurant Base (Hidden)'!$A$2:$Z$1048576,MATCH($C71,'Restaurant Base (Hidden)'!$C$2:$C$1048576,0),MATCH(AF$6,'Restaurant Base (Hidden)'!$A$1:$Z$1,0)),"")</f>
        <v>93,90 %</v>
      </c>
      <c r="AG71" s="1">
        <f>+IFERROR(INDEX('Restaurant Base (Hidden)'!$A$2:$Z$1048576,MATCH($C71,'Restaurant Base (Hidden)'!$C$2:$C$1048576,0),MATCH(AG$6,'Restaurant Base (Hidden)'!$A$1:$Z$1,0)),"")</f>
        <v>4</v>
      </c>
    </row>
    <row r="72" spans="1:33" x14ac:dyDescent="0.4">
      <c r="A72" s="163" t="str">
        <f>IF('Restaurant Base (Hidden)'!A225=0,"", 'Restaurant Base (Hidden)'!A225)</f>
        <v>Taylor Hartwell</v>
      </c>
      <c r="B72" s="163" t="str">
        <f>IF('Restaurant Base (Hidden)'!B225=0,"", 'Restaurant Base (Hidden)'!B225)</f>
        <v>Lakeshore Food Partners</v>
      </c>
      <c r="C72" s="163" t="str">
        <f>IF('Restaurant Base (Hidden)'!C225=0,"", 'Restaurant Base (Hidden)'!C225)</f>
        <v>Copper Station</v>
      </c>
      <c r="D72" s="104">
        <f t="shared" si="1"/>
        <v>65</v>
      </c>
      <c r="E72" s="105">
        <f>+IFERROR(INDEX('Restaurant Base (Hidden)'!$A$2:$Z$1048576,MATCH($C72,'Restaurant Base (Hidden)'!$C$2:$C$1048576,0),MATCH(E$6,'Restaurant Base (Hidden)'!$A$1:$Z$1,0)),"")</f>
        <v>3.47</v>
      </c>
      <c r="F72" s="2" t="str">
        <f>+IFERROR(INDEX('Restaurant Base (Hidden)'!$A$2:$Z$1048576,MATCH($C72,'Restaurant Base (Hidden)'!$C$2:$C$1048576,0),MATCH(F$6,'Restaurant Base (Hidden)'!$A$1:$Z$1,0)),"")</f>
        <v/>
      </c>
      <c r="G72" s="20" t="str">
        <f>+IFERROR(INDEX('Restaurant Base (Hidden)'!$A$2:$Z$1048576,MATCH($C72,'Restaurant Base (Hidden)'!$C$2:$C$1048576,0),MATCH(G$6,'Restaurant Base (Hidden)'!$A$1:$Z$1,0)),"")</f>
        <v>4,251</v>
      </c>
      <c r="H72" s="50">
        <f>+IFERROR(INDEX('Restaurant Base (Hidden)'!$A$2:$Z$1048576,MATCH($C72,'Restaurant Base (Hidden)'!$C$2:$C$1048576,0),MATCH(H$6,'Restaurant Base (Hidden)'!$A$1:$Z$1,0)),"")</f>
        <v>3</v>
      </c>
      <c r="I72" s="20" t="str">
        <f>+IFERROR(INDEX('Restaurant Base (Hidden)'!$A$2:$Z$1048576,MATCH($C72,'Restaurant Base (Hidden)'!$C$2:$C$1048576,0),MATCH(I$6,'Restaurant Base (Hidden)'!$A$1:$Z$1,0)),"")</f>
        <v>89,30 %</v>
      </c>
      <c r="J72" s="49">
        <f>+IFERROR(INDEX('Restaurant Base (Hidden)'!$A$2:$Z$1048576,MATCH($C72,'Restaurant Base (Hidden)'!$C$2:$C$1048576,0),MATCH(J$6,'Restaurant Base (Hidden)'!$A$1:$Z$1,0)),"")</f>
        <v>4</v>
      </c>
      <c r="K72" s="20" t="str">
        <f>+IFERROR(INDEX('Restaurant Base (Hidden)'!$A$2:$Z$1048576,MATCH($C72,'Restaurant Base (Hidden)'!$C$2:$C$1048576,0),MATCH(K$6,'Restaurant Base (Hidden)'!$A$1:$Z$1,0)),"")</f>
        <v>0,176</v>
      </c>
      <c r="L72" s="51">
        <f>+IFERROR(INDEX('Restaurant Base (Hidden)'!$A$2:$Z$1048576,MATCH($C72,'Restaurant Base (Hidden)'!$C$2:$C$1048576,0),MATCH(L$6,'Restaurant Base (Hidden)'!$A$1:$Z$1,0)),"")</f>
        <v>2</v>
      </c>
      <c r="M72" s="2" t="str">
        <f>+IFERROR(INDEX('Restaurant Base (Hidden)'!$A$2:$Z$1048576,MATCH($C72,'Restaurant Base (Hidden)'!$C$2:$C$1048576,0),MATCH(M$6,'Restaurant Base (Hidden)'!$A$1:$Z$1,0)),"")</f>
        <v/>
      </c>
      <c r="N72" s="234" t="str">
        <f>+IFERROR(INDEX('Restaurant Base (Hidden)'!$A$2:$Z$1048576,MATCH($C72,'Restaurant Base (Hidden)'!$C$2:$C$1048576,0),MATCH(N$6,'Restaurant Base (Hidden)'!$A$1:$Z$1,0)),"")</f>
        <v>98,20 %</v>
      </c>
      <c r="O72" s="1">
        <f>+IFERROR(INDEX('Restaurant Base (Hidden)'!$A$2:$Z$1048576,MATCH($C72,'Restaurant Base (Hidden)'!$C$2:$C$1048576,0),MATCH(O$6,'Restaurant Base (Hidden)'!$A$1:$Z$1,0)),"")</f>
        <v>5</v>
      </c>
      <c r="P72" s="2" t="str">
        <f>+IFERROR(INDEX('Restaurant Base (Hidden)'!$A$2:$Z$1048576,MATCH($C72,'Restaurant Base (Hidden)'!$C$2:$C$1048576,0),MATCH(P$6,'Restaurant Base (Hidden)'!$A$1:$Z$1,0)),"")</f>
        <v/>
      </c>
      <c r="Q72" s="234" t="str">
        <f>+IFERROR(INDEX('Restaurant Base (Hidden)'!$A$2:$Z$1048576,MATCH($C72,'Restaurant Base (Hidden)'!$C$2:$C$1048576,0),MATCH(Q$6,'Restaurant Base (Hidden)'!$A$1:$Z$1,0)),"")</f>
        <v>77,60 %</v>
      </c>
      <c r="R72" s="1">
        <f>+IFERROR(INDEX('Restaurant Base (Hidden)'!$A$2:$Z$1048576,MATCH($C72,'Restaurant Base (Hidden)'!$C$2:$C$1048576,0),MATCH(R$6,'Restaurant Base (Hidden)'!$A$1:$Z$1,0)),"")</f>
        <v>5</v>
      </c>
      <c r="S72" s="2" t="str">
        <f>+IFERROR(INDEX('Restaurant Base (Hidden)'!$A$2:$Z$1048576,MATCH($C72,'Restaurant Base (Hidden)'!$C$2:$C$1048576,0),MATCH(S$6,'Restaurant Base (Hidden)'!$A$1:$Z$1,0)),"")</f>
        <v/>
      </c>
      <c r="T72" s="62">
        <f>+IFERROR(INDEX('Restaurant Base (Hidden)'!$A$2:$Z$1048576,MATCH($C72,'Restaurant Base (Hidden)'!$C$2:$C$1048576,0),MATCH(T$6,'Restaurant Base (Hidden)'!$A$1:$Z$1,0)),"")</f>
        <v>61</v>
      </c>
      <c r="U72" s="1">
        <f>+IFERROR(INDEX('Restaurant Base (Hidden)'!$A$2:$Z$1048576,MATCH($C72,'Restaurant Base (Hidden)'!$C$2:$C$1048576,0),MATCH(U$6,'Restaurant Base (Hidden)'!$A$1:$Z$1,0)),"")</f>
        <v>3</v>
      </c>
      <c r="V72" s="2" t="str">
        <f>+IFERROR(INDEX('Restaurant Base (Hidden)'!$A$2:$Z$1048576,MATCH($C72,'Restaurant Base (Hidden)'!$C$2:$C$1048576,0),MATCH(V$6,'Restaurant Base (Hidden)'!$A$1:$Z$1,0)),"")</f>
        <v/>
      </c>
      <c r="W72" s="65" t="str">
        <f>+IFERROR(INDEX('Restaurant Base (Hidden)'!$A$2:$Z$1048576,MATCH($C72,'Restaurant Base (Hidden)'!$C$2:$C$1048576,0),MATCH(W$6,'Restaurant Base (Hidden)'!$A$1:$Z$1,0)),"")</f>
        <v>78,60 %</v>
      </c>
      <c r="X72" s="1">
        <f>+IFERROR(INDEX('Restaurant Base (Hidden)'!$A$2:$Z$1048576,MATCH($C72,'Restaurant Base (Hidden)'!$C$2:$C$1048576,0),MATCH(X$6,'Restaurant Base (Hidden)'!$A$1:$Z$1,0)),"")</f>
        <v>2</v>
      </c>
      <c r="Y72" s="65" t="str">
        <f>+IFERROR(INDEX('Restaurant Base (Hidden)'!$A$2:$Z$1048576,MATCH($C72,'Restaurant Base (Hidden)'!$C$2:$C$1048576,0),MATCH(Y$6,'Restaurant Base (Hidden)'!$A$1:$Z$1,0)),"")</f>
        <v>97,90 %</v>
      </c>
      <c r="Z72" s="106">
        <f>+IFERROR(INDEX('Restaurant Base (Hidden)'!$A$2:$Z$1048576,MATCH($C72,'Restaurant Base (Hidden)'!$C$2:$C$1048576,0),MATCH(Z$6,'Restaurant Base (Hidden)'!$A$1:$Z$1,0)),"")</f>
        <v>4</v>
      </c>
      <c r="AA72" s="65" t="str">
        <f>+IFERROR(INDEX('Restaurant Base (Hidden)'!$A$2:$Z$1048576,MATCH($C72,'Restaurant Base (Hidden)'!$C$2:$C$1048576,0),MATCH(AA$6,'Restaurant Base (Hidden)'!$A$1:$Z$1,0)),"")</f>
        <v>71,00 %</v>
      </c>
      <c r="AB72" s="1">
        <f>+IFERROR(INDEX('Restaurant Base (Hidden)'!$A$2:$Z$1048576,MATCH($C72,'Restaurant Base (Hidden)'!$C$2:$C$1048576,0),MATCH(AB$6,'Restaurant Base (Hidden)'!$A$1:$Z$1,0)),"")</f>
        <v>2</v>
      </c>
      <c r="AC72" s="20" t="str">
        <f>+IFERROR(INDEX('Restaurant Base (Hidden)'!$A$2:$Z$1048576,MATCH($C72,'Restaurant Base (Hidden)'!$C$2:$C$1048576,0),MATCH(AC$6,'Restaurant Base (Hidden)'!$A$1:$Z$1,0)),"")</f>
        <v/>
      </c>
      <c r="AD72" s="65" t="str">
        <f>+IFERROR(INDEX('Restaurant Base (Hidden)'!$A$2:$Z$1048576,MATCH($C72,'Restaurant Base (Hidden)'!$C$2:$C$1048576,0),MATCH(AD$6,'Restaurant Base (Hidden)'!$A$1:$Z$1,0)),"")</f>
        <v>80,20 %</v>
      </c>
      <c r="AE72" s="1">
        <f>+IFERROR(INDEX('Restaurant Base (Hidden)'!$A$2:$Z$1048576,MATCH($C72,'Restaurant Base (Hidden)'!$C$2:$C$1048576,0),MATCH(AE$6,'Restaurant Base (Hidden)'!$A$1:$Z$1,0)),"")</f>
        <v>2</v>
      </c>
      <c r="AF72" s="65" t="str">
        <f>+IFERROR(INDEX('Restaurant Base (Hidden)'!$A$2:$Z$1048576,MATCH($C72,'Restaurant Base (Hidden)'!$C$2:$C$1048576,0),MATCH(AF$6,'Restaurant Base (Hidden)'!$A$1:$Z$1,0)),"")</f>
        <v>91,80 %</v>
      </c>
      <c r="AG72" s="1">
        <f>+IFERROR(INDEX('Restaurant Base (Hidden)'!$A$2:$Z$1048576,MATCH($C72,'Restaurant Base (Hidden)'!$C$2:$C$1048576,0),MATCH(AG$6,'Restaurant Base (Hidden)'!$A$1:$Z$1,0)),"")</f>
        <v>3</v>
      </c>
    </row>
    <row r="73" spans="1:33" x14ac:dyDescent="0.4">
      <c r="A73" s="163" t="str">
        <f>IF('Restaurant Base (Hidden)'!A21=0,"", 'Restaurant Base (Hidden)'!A21)</f>
        <v>Skyler Everhart</v>
      </c>
      <c r="B73" s="163" t="str">
        <f>IF('Restaurant Base (Hidden)'!B21=0,"", 'Restaurant Base (Hidden)'!B21)</f>
        <v>Parkstone Restaurant Group</v>
      </c>
      <c r="C73" s="163" t="str">
        <f>IF('Restaurant Base (Hidden)'!C21=0,"", 'Restaurant Base (Hidden)'!C21)</f>
        <v>Starling Junction</v>
      </c>
      <c r="D73" s="104">
        <f t="shared" si="1"/>
        <v>67</v>
      </c>
      <c r="E73" s="105">
        <f>+IFERROR(INDEX('Restaurant Base (Hidden)'!$A$2:$Z$1048576,MATCH($C73,'Restaurant Base (Hidden)'!$C$2:$C$1048576,0),MATCH(E$6,'Restaurant Base (Hidden)'!$A$1:$Z$1,0)),"")</f>
        <v>3.46</v>
      </c>
      <c r="F73" s="64" t="str">
        <f>+IFERROR(INDEX('Restaurant Base (Hidden)'!$A$2:$Z$1048576,MATCH($C73,'Restaurant Base (Hidden)'!$C$2:$C$1048576,0),MATCH(F$6,'Restaurant Base (Hidden)'!$A$1:$Z$1,0)),"")</f>
        <v/>
      </c>
      <c r="G73" s="20" t="str">
        <f>+IFERROR(INDEX('Restaurant Base (Hidden)'!$A$2:$Z$1048576,MATCH($C73,'Restaurant Base (Hidden)'!$C$2:$C$1048576,0),MATCH(G$6,'Restaurant Base (Hidden)'!$A$1:$Z$1,0)),"")</f>
        <v>4,376</v>
      </c>
      <c r="H73" s="50">
        <f>+IFERROR(INDEX('Restaurant Base (Hidden)'!$A$2:$Z$1048576,MATCH($C73,'Restaurant Base (Hidden)'!$C$2:$C$1048576,0),MATCH(H$6,'Restaurant Base (Hidden)'!$A$1:$Z$1,0)),"")</f>
        <v>4</v>
      </c>
      <c r="I73" s="20" t="str">
        <f>+IFERROR(INDEX('Restaurant Base (Hidden)'!$A$2:$Z$1048576,MATCH($C73,'Restaurant Base (Hidden)'!$C$2:$C$1048576,0),MATCH(I$6,'Restaurant Base (Hidden)'!$A$1:$Z$1,0)),"")</f>
        <v>70,40 %</v>
      </c>
      <c r="J73" s="49">
        <f>+IFERROR(INDEX('Restaurant Base (Hidden)'!$A$2:$Z$1048576,MATCH($C73,'Restaurant Base (Hidden)'!$C$2:$C$1048576,0),MATCH(J$6,'Restaurant Base (Hidden)'!$A$1:$Z$1,0)),"")</f>
        <v>1</v>
      </c>
      <c r="K73" s="20" t="str">
        <f>+IFERROR(INDEX('Restaurant Base (Hidden)'!$A$2:$Z$1048576,MATCH($C73,'Restaurant Base (Hidden)'!$C$2:$C$1048576,0),MATCH(K$6,'Restaurant Base (Hidden)'!$A$1:$Z$1,0)),"")</f>
        <v>0,108</v>
      </c>
      <c r="L73" s="51">
        <f>+IFERROR(INDEX('Restaurant Base (Hidden)'!$A$2:$Z$1048576,MATCH($C73,'Restaurant Base (Hidden)'!$C$2:$C$1048576,0),MATCH(L$6,'Restaurant Base (Hidden)'!$A$1:$Z$1,0)),"")</f>
        <v>3</v>
      </c>
      <c r="M73" s="2" t="str">
        <f>+IFERROR(INDEX('Restaurant Base (Hidden)'!$A$2:$Z$1048576,MATCH($C73,'Restaurant Base (Hidden)'!$C$2:$C$1048576,0),MATCH(M$6,'Restaurant Base (Hidden)'!$A$1:$Z$1,0)),"")</f>
        <v/>
      </c>
      <c r="N73" s="234" t="str">
        <f>+IFERROR(INDEX('Restaurant Base (Hidden)'!$A$2:$Z$1048576,MATCH($C73,'Restaurant Base (Hidden)'!$C$2:$C$1048576,0),MATCH(N$6,'Restaurant Base (Hidden)'!$A$1:$Z$1,0)),"")</f>
        <v>86,40 %</v>
      </c>
      <c r="O73" s="1">
        <f>+IFERROR(INDEX('Restaurant Base (Hidden)'!$A$2:$Z$1048576,MATCH($C73,'Restaurant Base (Hidden)'!$C$2:$C$1048576,0),MATCH(O$6,'Restaurant Base (Hidden)'!$A$1:$Z$1,0)),"")</f>
        <v>5</v>
      </c>
      <c r="P73" s="2" t="str">
        <f>+IFERROR(INDEX('Restaurant Base (Hidden)'!$A$2:$Z$1048576,MATCH($C73,'Restaurant Base (Hidden)'!$C$2:$C$1048576,0),MATCH(P$6,'Restaurant Base (Hidden)'!$A$1:$Z$1,0)),"")</f>
        <v/>
      </c>
      <c r="Q73" s="234" t="str">
        <f>+IFERROR(INDEX('Restaurant Base (Hidden)'!$A$2:$Z$1048576,MATCH($C73,'Restaurant Base (Hidden)'!$C$2:$C$1048576,0),MATCH(Q$6,'Restaurant Base (Hidden)'!$A$1:$Z$1,0)),"")</f>
        <v>99,00 %</v>
      </c>
      <c r="R73" s="1">
        <f>+IFERROR(INDEX('Restaurant Base (Hidden)'!$A$2:$Z$1048576,MATCH($C73,'Restaurant Base (Hidden)'!$C$2:$C$1048576,0),MATCH(R$6,'Restaurant Base (Hidden)'!$A$1:$Z$1,0)),"")</f>
        <v>5</v>
      </c>
      <c r="S73" s="2" t="str">
        <f>+IFERROR(INDEX('Restaurant Base (Hidden)'!$A$2:$Z$1048576,MATCH($C73,'Restaurant Base (Hidden)'!$C$2:$C$1048576,0),MATCH(S$6,'Restaurant Base (Hidden)'!$A$1:$Z$1,0)),"")</f>
        <v/>
      </c>
      <c r="T73" s="62">
        <f>+IFERROR(INDEX('Restaurant Base (Hidden)'!$A$2:$Z$1048576,MATCH($C73,'Restaurant Base (Hidden)'!$C$2:$C$1048576,0),MATCH(T$6,'Restaurant Base (Hidden)'!$A$1:$Z$1,0)),"")</f>
        <v>76.8</v>
      </c>
      <c r="U73" s="1">
        <f>+IFERROR(INDEX('Restaurant Base (Hidden)'!$A$2:$Z$1048576,MATCH($C73,'Restaurant Base (Hidden)'!$C$2:$C$1048576,0),MATCH(U$6,'Restaurant Base (Hidden)'!$A$1:$Z$1,0)),"")</f>
        <v>5</v>
      </c>
      <c r="V73" s="2" t="str">
        <f>+IFERROR(INDEX('Restaurant Base (Hidden)'!$A$2:$Z$1048576,MATCH($C73,'Restaurant Base (Hidden)'!$C$2:$C$1048576,0),MATCH(V$6,'Restaurant Base (Hidden)'!$A$1:$Z$1,0)),"")</f>
        <v/>
      </c>
      <c r="W73" s="65" t="str">
        <f>+IFERROR(INDEX('Restaurant Base (Hidden)'!$A$2:$Z$1048576,MATCH($C73,'Restaurant Base (Hidden)'!$C$2:$C$1048576,0),MATCH(W$6,'Restaurant Base (Hidden)'!$A$1:$Z$1,0)),"")</f>
        <v>65,20 %</v>
      </c>
      <c r="X73" s="1">
        <f>+IFERROR(INDEX('Restaurant Base (Hidden)'!$A$2:$Z$1048576,MATCH($C73,'Restaurant Base (Hidden)'!$C$2:$C$1048576,0),MATCH(X$6,'Restaurant Base (Hidden)'!$A$1:$Z$1,0)),"")</f>
        <v>2</v>
      </c>
      <c r="Y73" s="65" t="str">
        <f>+IFERROR(INDEX('Restaurant Base (Hidden)'!$A$2:$Z$1048576,MATCH($C73,'Restaurant Base (Hidden)'!$C$2:$C$1048576,0),MATCH(Y$6,'Restaurant Base (Hidden)'!$A$1:$Z$1,0)),"")</f>
        <v>68,40 %</v>
      </c>
      <c r="Z73" s="106">
        <f>+IFERROR(INDEX('Restaurant Base (Hidden)'!$A$2:$Z$1048576,MATCH($C73,'Restaurant Base (Hidden)'!$C$2:$C$1048576,0),MATCH(Z$6,'Restaurant Base (Hidden)'!$A$1:$Z$1,0)),"")</f>
        <v>2</v>
      </c>
      <c r="AA73" s="65" t="str">
        <f>+IFERROR(INDEX('Restaurant Base (Hidden)'!$A$2:$Z$1048576,MATCH($C73,'Restaurant Base (Hidden)'!$C$2:$C$1048576,0),MATCH(AA$6,'Restaurant Base (Hidden)'!$A$1:$Z$1,0)),"")</f>
        <v>77,20 %</v>
      </c>
      <c r="AB73" s="1">
        <f>+IFERROR(INDEX('Restaurant Base (Hidden)'!$A$2:$Z$1048576,MATCH($C73,'Restaurant Base (Hidden)'!$C$2:$C$1048576,0),MATCH(AB$6,'Restaurant Base (Hidden)'!$A$1:$Z$1,0)),"")</f>
        <v>2</v>
      </c>
      <c r="AC73" s="20" t="str">
        <f>+IFERROR(INDEX('Restaurant Base (Hidden)'!$A$2:$Z$1048576,MATCH($C73,'Restaurant Base (Hidden)'!$C$2:$C$1048576,0),MATCH(AC$6,'Restaurant Base (Hidden)'!$A$1:$Z$1,0)),"")</f>
        <v/>
      </c>
      <c r="AD73" s="65" t="str">
        <f>+IFERROR(INDEX('Restaurant Base (Hidden)'!$A$2:$Z$1048576,MATCH($C73,'Restaurant Base (Hidden)'!$C$2:$C$1048576,0),MATCH(AD$6,'Restaurant Base (Hidden)'!$A$1:$Z$1,0)),"")</f>
        <v>86,70 %</v>
      </c>
      <c r="AE73" s="1">
        <f>+IFERROR(INDEX('Restaurant Base (Hidden)'!$A$2:$Z$1048576,MATCH($C73,'Restaurant Base (Hidden)'!$C$2:$C$1048576,0),MATCH(AE$6,'Restaurant Base (Hidden)'!$A$1:$Z$1,0)),"")</f>
        <v>3</v>
      </c>
      <c r="AF73" s="65" t="str">
        <f>+IFERROR(INDEX('Restaurant Base (Hidden)'!$A$2:$Z$1048576,MATCH($C73,'Restaurant Base (Hidden)'!$C$2:$C$1048576,0),MATCH(AF$6,'Restaurant Base (Hidden)'!$A$1:$Z$1,0)),"")</f>
        <v>84,10 %</v>
      </c>
      <c r="AG73" s="1">
        <f>+IFERROR(INDEX('Restaurant Base (Hidden)'!$A$2:$Z$1048576,MATCH($C73,'Restaurant Base (Hidden)'!$C$2:$C$1048576,0),MATCH(AG$6,'Restaurant Base (Hidden)'!$A$1:$Z$1,0)),"")</f>
        <v>3</v>
      </c>
    </row>
    <row r="74" spans="1:33" x14ac:dyDescent="0.4">
      <c r="A74" s="163" t="str">
        <f>IF('Restaurant Base (Hidden)'!A46=0,"", 'Restaurant Base (Hidden)'!A46)</f>
        <v>Quinn Westbrook</v>
      </c>
      <c r="B74" s="163" t="str">
        <f>IF('Restaurant Base (Hidden)'!B46=0,"", 'Restaurant Base (Hidden)'!B46)</f>
        <v>Westhaven Foods</v>
      </c>
      <c r="C74" s="163" t="str">
        <f>IF('Restaurant Base (Hidden)'!C46=0,"", 'Restaurant Base (Hidden)'!C46)</f>
        <v>Northern Creek</v>
      </c>
      <c r="D74" s="104">
        <f t="shared" si="1"/>
        <v>67</v>
      </c>
      <c r="E74" s="105">
        <f>+IFERROR(INDEX('Restaurant Base (Hidden)'!$A$2:$Z$1048576,MATCH($C74,'Restaurant Base (Hidden)'!$C$2:$C$1048576,0),MATCH(E$6,'Restaurant Base (Hidden)'!$A$1:$Z$1,0)),"")</f>
        <v>3.46</v>
      </c>
      <c r="F74" s="64" t="str">
        <f>+IFERROR(INDEX('Restaurant Base (Hidden)'!$A$2:$Z$1048576,MATCH($C74,'Restaurant Base (Hidden)'!$C$2:$C$1048576,0),MATCH(F$6,'Restaurant Base (Hidden)'!$A$1:$Z$1,0)),"")</f>
        <v/>
      </c>
      <c r="G74" s="20" t="str">
        <f>+IFERROR(INDEX('Restaurant Base (Hidden)'!$A$2:$Z$1048576,MATCH($C74,'Restaurant Base (Hidden)'!$C$2:$C$1048576,0),MATCH(G$6,'Restaurant Base (Hidden)'!$A$1:$Z$1,0)),"")</f>
        <v>4,737</v>
      </c>
      <c r="H74" s="50">
        <f>+IFERROR(INDEX('Restaurant Base (Hidden)'!$A$2:$Z$1048576,MATCH($C74,'Restaurant Base (Hidden)'!$C$2:$C$1048576,0),MATCH(H$6,'Restaurant Base (Hidden)'!$A$1:$Z$1,0)),"")</f>
        <v>5</v>
      </c>
      <c r="I74" s="20" t="str">
        <f>+IFERROR(INDEX('Restaurant Base (Hidden)'!$A$2:$Z$1048576,MATCH($C74,'Restaurant Base (Hidden)'!$C$2:$C$1048576,0),MATCH(I$6,'Restaurant Base (Hidden)'!$A$1:$Z$1,0)),"")</f>
        <v>65,60 %</v>
      </c>
      <c r="J74" s="49">
        <f>+IFERROR(INDEX('Restaurant Base (Hidden)'!$A$2:$Z$1048576,MATCH($C74,'Restaurant Base (Hidden)'!$C$2:$C$1048576,0),MATCH(J$6,'Restaurant Base (Hidden)'!$A$1:$Z$1,0)),"")</f>
        <v>1</v>
      </c>
      <c r="K74" s="20" t="str">
        <f>+IFERROR(INDEX('Restaurant Base (Hidden)'!$A$2:$Z$1048576,MATCH($C74,'Restaurant Base (Hidden)'!$C$2:$C$1048576,0),MATCH(K$6,'Restaurant Base (Hidden)'!$A$1:$Z$1,0)),"")</f>
        <v>0,126</v>
      </c>
      <c r="L74" s="51">
        <f>+IFERROR(INDEX('Restaurant Base (Hidden)'!$A$2:$Z$1048576,MATCH($C74,'Restaurant Base (Hidden)'!$C$2:$C$1048576,0),MATCH(L$6,'Restaurant Base (Hidden)'!$A$1:$Z$1,0)),"")</f>
        <v>3</v>
      </c>
      <c r="M74" s="2" t="str">
        <f>+IFERROR(INDEX('Restaurant Base (Hidden)'!$A$2:$Z$1048576,MATCH($C74,'Restaurant Base (Hidden)'!$C$2:$C$1048576,0),MATCH(M$6,'Restaurant Base (Hidden)'!$A$1:$Z$1,0)),"")</f>
        <v/>
      </c>
      <c r="N74" s="234" t="str">
        <f>+IFERROR(INDEX('Restaurant Base (Hidden)'!$A$2:$Z$1048576,MATCH($C74,'Restaurant Base (Hidden)'!$C$2:$C$1048576,0),MATCH(N$6,'Restaurant Base (Hidden)'!$A$1:$Z$1,0)),"")</f>
        <v>92,20 %</v>
      </c>
      <c r="O74" s="1">
        <f>+IFERROR(INDEX('Restaurant Base (Hidden)'!$A$2:$Z$1048576,MATCH($C74,'Restaurant Base (Hidden)'!$C$2:$C$1048576,0),MATCH(O$6,'Restaurant Base (Hidden)'!$A$1:$Z$1,0)),"")</f>
        <v>5</v>
      </c>
      <c r="P74" s="2" t="str">
        <f>+IFERROR(INDEX('Restaurant Base (Hidden)'!$A$2:$Z$1048576,MATCH($C74,'Restaurant Base (Hidden)'!$C$2:$C$1048576,0),MATCH(P$6,'Restaurant Base (Hidden)'!$A$1:$Z$1,0)),"")</f>
        <v/>
      </c>
      <c r="Q74" s="234" t="str">
        <f>+IFERROR(INDEX('Restaurant Base (Hidden)'!$A$2:$Z$1048576,MATCH($C74,'Restaurant Base (Hidden)'!$C$2:$C$1048576,0),MATCH(Q$6,'Restaurant Base (Hidden)'!$A$1:$Z$1,0)),"")</f>
        <v>96,90 %</v>
      </c>
      <c r="R74" s="1">
        <f>+IFERROR(INDEX('Restaurant Base (Hidden)'!$A$2:$Z$1048576,MATCH($C74,'Restaurant Base (Hidden)'!$C$2:$C$1048576,0),MATCH(R$6,'Restaurant Base (Hidden)'!$A$1:$Z$1,0)),"")</f>
        <v>5</v>
      </c>
      <c r="S74" s="2" t="str">
        <f>+IFERROR(INDEX('Restaurant Base (Hidden)'!$A$2:$Z$1048576,MATCH($C74,'Restaurant Base (Hidden)'!$C$2:$C$1048576,0),MATCH(S$6,'Restaurant Base (Hidden)'!$A$1:$Z$1,0)),"")</f>
        <v/>
      </c>
      <c r="T74" s="62">
        <f>+IFERROR(INDEX('Restaurant Base (Hidden)'!$A$2:$Z$1048576,MATCH($C74,'Restaurant Base (Hidden)'!$C$2:$C$1048576,0),MATCH(T$6,'Restaurant Base (Hidden)'!$A$1:$Z$1,0)),"")</f>
        <v>76.7</v>
      </c>
      <c r="U74" s="1">
        <f>+IFERROR(INDEX('Restaurant Base (Hidden)'!$A$2:$Z$1048576,MATCH($C74,'Restaurant Base (Hidden)'!$C$2:$C$1048576,0),MATCH(U$6,'Restaurant Base (Hidden)'!$A$1:$Z$1,0)),"")</f>
        <v>5</v>
      </c>
      <c r="V74" s="2" t="str">
        <f>+IFERROR(INDEX('Restaurant Base (Hidden)'!$A$2:$Z$1048576,MATCH($C74,'Restaurant Base (Hidden)'!$C$2:$C$1048576,0),MATCH(V$6,'Restaurant Base (Hidden)'!$A$1:$Z$1,0)),"")</f>
        <v/>
      </c>
      <c r="W74" s="65" t="str">
        <f>+IFERROR(INDEX('Restaurant Base (Hidden)'!$A$2:$Z$1048576,MATCH($C74,'Restaurant Base (Hidden)'!$C$2:$C$1048576,0),MATCH(W$6,'Restaurant Base (Hidden)'!$A$1:$Z$1,0)),"")</f>
        <v>65,90 %</v>
      </c>
      <c r="X74" s="1">
        <f>+IFERROR(INDEX('Restaurant Base (Hidden)'!$A$2:$Z$1048576,MATCH($C74,'Restaurant Base (Hidden)'!$C$2:$C$1048576,0),MATCH(X$6,'Restaurant Base (Hidden)'!$A$1:$Z$1,0)),"")</f>
        <v>2</v>
      </c>
      <c r="Y74" s="65" t="str">
        <f>+IFERROR(INDEX('Restaurant Base (Hidden)'!$A$2:$Z$1048576,MATCH($C74,'Restaurant Base (Hidden)'!$C$2:$C$1048576,0),MATCH(Y$6,'Restaurant Base (Hidden)'!$A$1:$Z$1,0)),"")</f>
        <v>96,00 %</v>
      </c>
      <c r="Z74" s="106">
        <f>+IFERROR(INDEX('Restaurant Base (Hidden)'!$A$2:$Z$1048576,MATCH($C74,'Restaurant Base (Hidden)'!$C$2:$C$1048576,0),MATCH(Z$6,'Restaurant Base (Hidden)'!$A$1:$Z$1,0)),"")</f>
        <v>4</v>
      </c>
      <c r="AA74" s="65" t="str">
        <f>+IFERROR(INDEX('Restaurant Base (Hidden)'!$A$2:$Z$1048576,MATCH($C74,'Restaurant Base (Hidden)'!$C$2:$C$1048576,0),MATCH(AA$6,'Restaurant Base (Hidden)'!$A$1:$Z$1,0)),"")</f>
        <v>69,00 %</v>
      </c>
      <c r="AB74" s="1">
        <f>+IFERROR(INDEX('Restaurant Base (Hidden)'!$A$2:$Z$1048576,MATCH($C74,'Restaurant Base (Hidden)'!$C$2:$C$1048576,0),MATCH(AB$6,'Restaurant Base (Hidden)'!$A$1:$Z$1,0)),"")</f>
        <v>2</v>
      </c>
      <c r="AC74" s="20" t="str">
        <f>+IFERROR(INDEX('Restaurant Base (Hidden)'!$A$2:$Z$1048576,MATCH($C74,'Restaurant Base (Hidden)'!$C$2:$C$1048576,0),MATCH(AC$6,'Restaurant Base (Hidden)'!$A$1:$Z$1,0)),"")</f>
        <v/>
      </c>
      <c r="AD74" s="65" t="str">
        <f>+IFERROR(INDEX('Restaurant Base (Hidden)'!$A$2:$Z$1048576,MATCH($C74,'Restaurant Base (Hidden)'!$C$2:$C$1048576,0),MATCH(AD$6,'Restaurant Base (Hidden)'!$A$1:$Z$1,0)),"")</f>
        <v>63,80 %</v>
      </c>
      <c r="AE74" s="1">
        <f>+IFERROR(INDEX('Restaurant Base (Hidden)'!$A$2:$Z$1048576,MATCH($C74,'Restaurant Base (Hidden)'!$C$2:$C$1048576,0),MATCH(AE$6,'Restaurant Base (Hidden)'!$A$1:$Z$1,0)),"")</f>
        <v>1</v>
      </c>
      <c r="AF74" s="65" t="str">
        <f>+IFERROR(INDEX('Restaurant Base (Hidden)'!$A$2:$Z$1048576,MATCH($C74,'Restaurant Base (Hidden)'!$C$2:$C$1048576,0),MATCH(AF$6,'Restaurant Base (Hidden)'!$A$1:$Z$1,0)),"")</f>
        <v>86,30 %</v>
      </c>
      <c r="AG74" s="1">
        <f>+IFERROR(INDEX('Restaurant Base (Hidden)'!$A$2:$Z$1048576,MATCH($C74,'Restaurant Base (Hidden)'!$C$2:$C$1048576,0),MATCH(AG$6,'Restaurant Base (Hidden)'!$A$1:$Z$1,0)),"")</f>
        <v>3</v>
      </c>
    </row>
    <row r="75" spans="1:33" x14ac:dyDescent="0.4">
      <c r="A75" s="163" t="str">
        <f>IF('Restaurant Base (Hidden)'!A170=0,"", 'Restaurant Base (Hidden)'!A170)</f>
        <v>Bailey Silverton</v>
      </c>
      <c r="B75" s="163" t="str">
        <f>IF('Restaurant Base (Hidden)'!B170=0,"", 'Restaurant Base (Hidden)'!B170)</f>
        <v>Evercrest Restaurants</v>
      </c>
      <c r="C75" s="163" t="str">
        <f>IF('Restaurant Base (Hidden)'!C170=0,"", 'Restaurant Base (Hidden)'!C170)</f>
        <v>Lunar Meadows</v>
      </c>
      <c r="D75" s="104">
        <f t="shared" si="1"/>
        <v>67</v>
      </c>
      <c r="E75" s="105">
        <f>+IFERROR(INDEX('Restaurant Base (Hidden)'!$A$2:$Z$1048576,MATCH($C75,'Restaurant Base (Hidden)'!$C$2:$C$1048576,0),MATCH(E$6,'Restaurant Base (Hidden)'!$A$1:$Z$1,0)),"")</f>
        <v>3.46</v>
      </c>
      <c r="F75" s="2" t="str">
        <f>+IFERROR(INDEX('Restaurant Base (Hidden)'!$A$2:$Z$1048576,MATCH($C75,'Restaurant Base (Hidden)'!$C$2:$C$1048576,0),MATCH(F$6,'Restaurant Base (Hidden)'!$A$1:$Z$1,0)),"")</f>
        <v/>
      </c>
      <c r="G75" s="20" t="str">
        <f>+IFERROR(INDEX('Restaurant Base (Hidden)'!$A$2:$Z$1048576,MATCH($C75,'Restaurant Base (Hidden)'!$C$2:$C$1048576,0),MATCH(G$6,'Restaurant Base (Hidden)'!$A$1:$Z$1,0)),"")</f>
        <v>4,751</v>
      </c>
      <c r="H75" s="50">
        <f>+IFERROR(INDEX('Restaurant Base (Hidden)'!$A$2:$Z$1048576,MATCH($C75,'Restaurant Base (Hidden)'!$C$2:$C$1048576,0),MATCH(H$6,'Restaurant Base (Hidden)'!$A$1:$Z$1,0)),"")</f>
        <v>5</v>
      </c>
      <c r="I75" s="20" t="str">
        <f>+IFERROR(INDEX('Restaurant Base (Hidden)'!$A$2:$Z$1048576,MATCH($C75,'Restaurant Base (Hidden)'!$C$2:$C$1048576,0),MATCH(I$6,'Restaurant Base (Hidden)'!$A$1:$Z$1,0)),"")</f>
        <v>71,00 %</v>
      </c>
      <c r="J75" s="49">
        <f>+IFERROR(INDEX('Restaurant Base (Hidden)'!$A$2:$Z$1048576,MATCH($C75,'Restaurant Base (Hidden)'!$C$2:$C$1048576,0),MATCH(J$6,'Restaurant Base (Hidden)'!$A$1:$Z$1,0)),"")</f>
        <v>1</v>
      </c>
      <c r="K75" s="20" t="str">
        <f>+IFERROR(INDEX('Restaurant Base (Hidden)'!$A$2:$Z$1048576,MATCH($C75,'Restaurant Base (Hidden)'!$C$2:$C$1048576,0),MATCH(K$6,'Restaurant Base (Hidden)'!$A$1:$Z$1,0)),"")</f>
        <v>0,128</v>
      </c>
      <c r="L75" s="51">
        <f>+IFERROR(INDEX('Restaurant Base (Hidden)'!$A$2:$Z$1048576,MATCH($C75,'Restaurant Base (Hidden)'!$C$2:$C$1048576,0),MATCH(L$6,'Restaurant Base (Hidden)'!$A$1:$Z$1,0)),"")</f>
        <v>3</v>
      </c>
      <c r="M75" s="2" t="str">
        <f>+IFERROR(INDEX('Restaurant Base (Hidden)'!$A$2:$Z$1048576,MATCH($C75,'Restaurant Base (Hidden)'!$C$2:$C$1048576,0),MATCH(M$6,'Restaurant Base (Hidden)'!$A$1:$Z$1,0)),"")</f>
        <v/>
      </c>
      <c r="N75" s="234" t="str">
        <f>+IFERROR(INDEX('Restaurant Base (Hidden)'!$A$2:$Z$1048576,MATCH($C75,'Restaurant Base (Hidden)'!$C$2:$C$1048576,0),MATCH(N$6,'Restaurant Base (Hidden)'!$A$1:$Z$1,0)),"")</f>
        <v>72,70 %</v>
      </c>
      <c r="O75" s="1">
        <f>+IFERROR(INDEX('Restaurant Base (Hidden)'!$A$2:$Z$1048576,MATCH($C75,'Restaurant Base (Hidden)'!$C$2:$C$1048576,0),MATCH(O$6,'Restaurant Base (Hidden)'!$A$1:$Z$1,0)),"")</f>
        <v>5</v>
      </c>
      <c r="P75" s="2" t="str">
        <f>+IFERROR(INDEX('Restaurant Base (Hidden)'!$A$2:$Z$1048576,MATCH($C75,'Restaurant Base (Hidden)'!$C$2:$C$1048576,0),MATCH(P$6,'Restaurant Base (Hidden)'!$A$1:$Z$1,0)),"")</f>
        <v/>
      </c>
      <c r="Q75" s="234" t="str">
        <f>+IFERROR(INDEX('Restaurant Base (Hidden)'!$A$2:$Z$1048576,MATCH($C75,'Restaurant Base (Hidden)'!$C$2:$C$1048576,0),MATCH(Q$6,'Restaurant Base (Hidden)'!$A$1:$Z$1,0)),"")</f>
        <v>90,50 %</v>
      </c>
      <c r="R75" s="1">
        <f>+IFERROR(INDEX('Restaurant Base (Hidden)'!$A$2:$Z$1048576,MATCH($C75,'Restaurant Base (Hidden)'!$C$2:$C$1048576,0),MATCH(R$6,'Restaurant Base (Hidden)'!$A$1:$Z$1,0)),"")</f>
        <v>5</v>
      </c>
      <c r="S75" s="2" t="str">
        <f>+IFERROR(INDEX('Restaurant Base (Hidden)'!$A$2:$Z$1048576,MATCH($C75,'Restaurant Base (Hidden)'!$C$2:$C$1048576,0),MATCH(S$6,'Restaurant Base (Hidden)'!$A$1:$Z$1,0)),"")</f>
        <v/>
      </c>
      <c r="T75" s="62">
        <f>+IFERROR(INDEX('Restaurant Base (Hidden)'!$A$2:$Z$1048576,MATCH($C75,'Restaurant Base (Hidden)'!$C$2:$C$1048576,0),MATCH(T$6,'Restaurant Base (Hidden)'!$A$1:$Z$1,0)),"")</f>
        <v>76.8</v>
      </c>
      <c r="U75" s="1">
        <f>+IFERROR(INDEX('Restaurant Base (Hidden)'!$A$2:$Z$1048576,MATCH($C75,'Restaurant Base (Hidden)'!$C$2:$C$1048576,0),MATCH(U$6,'Restaurant Base (Hidden)'!$A$1:$Z$1,0)),"")</f>
        <v>5</v>
      </c>
      <c r="V75" s="2" t="str">
        <f>+IFERROR(INDEX('Restaurant Base (Hidden)'!$A$2:$Z$1048576,MATCH($C75,'Restaurant Base (Hidden)'!$C$2:$C$1048576,0),MATCH(V$6,'Restaurant Base (Hidden)'!$A$1:$Z$1,0)),"")</f>
        <v/>
      </c>
      <c r="W75" s="65" t="str">
        <f>+IFERROR(INDEX('Restaurant Base (Hidden)'!$A$2:$Z$1048576,MATCH($C75,'Restaurant Base (Hidden)'!$C$2:$C$1048576,0),MATCH(W$6,'Restaurant Base (Hidden)'!$A$1:$Z$1,0)),"")</f>
        <v>80,70 %</v>
      </c>
      <c r="X75" s="1">
        <f>+IFERROR(INDEX('Restaurant Base (Hidden)'!$A$2:$Z$1048576,MATCH($C75,'Restaurant Base (Hidden)'!$C$2:$C$1048576,0),MATCH(X$6,'Restaurant Base (Hidden)'!$A$1:$Z$1,0)),"")</f>
        <v>3</v>
      </c>
      <c r="Y75" s="65" t="str">
        <f>+IFERROR(INDEX('Restaurant Base (Hidden)'!$A$2:$Z$1048576,MATCH($C75,'Restaurant Base (Hidden)'!$C$2:$C$1048576,0),MATCH(Y$6,'Restaurant Base (Hidden)'!$A$1:$Z$1,0)),"")</f>
        <v>89,40 %</v>
      </c>
      <c r="Z75" s="106">
        <f>+IFERROR(INDEX('Restaurant Base (Hidden)'!$A$2:$Z$1048576,MATCH($C75,'Restaurant Base (Hidden)'!$C$2:$C$1048576,0),MATCH(Z$6,'Restaurant Base (Hidden)'!$A$1:$Z$1,0)),"")</f>
        <v>3</v>
      </c>
      <c r="AA75" s="65" t="str">
        <f>+IFERROR(INDEX('Restaurant Base (Hidden)'!$A$2:$Z$1048576,MATCH($C75,'Restaurant Base (Hidden)'!$C$2:$C$1048576,0),MATCH(AA$6,'Restaurant Base (Hidden)'!$A$1:$Z$1,0)),"")</f>
        <v>68,50 %</v>
      </c>
      <c r="AB75" s="1">
        <f>+IFERROR(INDEX('Restaurant Base (Hidden)'!$A$2:$Z$1048576,MATCH($C75,'Restaurant Base (Hidden)'!$C$2:$C$1048576,0),MATCH(AB$6,'Restaurant Base (Hidden)'!$A$1:$Z$1,0)),"")</f>
        <v>2</v>
      </c>
      <c r="AC75" s="20" t="str">
        <f>+IFERROR(INDEX('Restaurant Base (Hidden)'!$A$2:$Z$1048576,MATCH($C75,'Restaurant Base (Hidden)'!$C$2:$C$1048576,0),MATCH(AC$6,'Restaurant Base (Hidden)'!$A$1:$Z$1,0)),"")</f>
        <v/>
      </c>
      <c r="AD75" s="65" t="str">
        <f>+IFERROR(INDEX('Restaurant Base (Hidden)'!$A$2:$Z$1048576,MATCH($C75,'Restaurant Base (Hidden)'!$C$2:$C$1048576,0),MATCH(AD$6,'Restaurant Base (Hidden)'!$A$1:$Z$1,0)),"")</f>
        <v>71,00 %</v>
      </c>
      <c r="AE75" s="1">
        <f>+IFERROR(INDEX('Restaurant Base (Hidden)'!$A$2:$Z$1048576,MATCH($C75,'Restaurant Base (Hidden)'!$C$2:$C$1048576,0),MATCH(AE$6,'Restaurant Base (Hidden)'!$A$1:$Z$1,0)),"")</f>
        <v>1</v>
      </c>
      <c r="AF75" s="65" t="str">
        <f>+IFERROR(INDEX('Restaurant Base (Hidden)'!$A$2:$Z$1048576,MATCH($C75,'Restaurant Base (Hidden)'!$C$2:$C$1048576,0),MATCH(AF$6,'Restaurant Base (Hidden)'!$A$1:$Z$1,0)),"")</f>
        <v>88,50 %</v>
      </c>
      <c r="AG75" s="1">
        <f>+IFERROR(INDEX('Restaurant Base (Hidden)'!$A$2:$Z$1048576,MATCH($C75,'Restaurant Base (Hidden)'!$C$2:$C$1048576,0),MATCH(AG$6,'Restaurant Base (Hidden)'!$A$1:$Z$1,0)),"")</f>
        <v>3</v>
      </c>
    </row>
    <row r="76" spans="1:33" x14ac:dyDescent="0.4">
      <c r="A76" s="163" t="str">
        <f>IF('Restaurant Base (Hidden)'!A222=0,"", 'Restaurant Base (Hidden)'!A222)</f>
        <v>Riley Wellington</v>
      </c>
      <c r="B76" s="163" t="str">
        <f>IF('Restaurant Base (Hidden)'!B222=0,"", 'Restaurant Base (Hidden)'!B222)</f>
        <v>Eastmere Foods</v>
      </c>
      <c r="C76" s="163" t="str">
        <f>IF('Restaurant Base (Hidden)'!C222=0,"", 'Restaurant Base (Hidden)'!C222)</f>
        <v>Haven Boulevard</v>
      </c>
      <c r="D76" s="104">
        <f t="shared" si="1"/>
        <v>67</v>
      </c>
      <c r="E76" s="105">
        <f>+IFERROR(INDEX('Restaurant Base (Hidden)'!$A$2:$Z$1048576,MATCH($C76,'Restaurant Base (Hidden)'!$C$2:$C$1048576,0),MATCH(E$6,'Restaurant Base (Hidden)'!$A$1:$Z$1,0)),"")</f>
        <v>3.46</v>
      </c>
      <c r="F76" s="2" t="str">
        <f>+IFERROR(INDEX('Restaurant Base (Hidden)'!$A$2:$Z$1048576,MATCH($C76,'Restaurant Base (Hidden)'!$C$2:$C$1048576,0),MATCH(F$6,'Restaurant Base (Hidden)'!$A$1:$Z$1,0)),"")</f>
        <v/>
      </c>
      <c r="G76" s="20" t="str">
        <f>+IFERROR(INDEX('Restaurant Base (Hidden)'!$A$2:$Z$1048576,MATCH($C76,'Restaurant Base (Hidden)'!$C$2:$C$1048576,0),MATCH(G$6,'Restaurant Base (Hidden)'!$A$1:$Z$1,0)),"")</f>
        <v>4,585</v>
      </c>
      <c r="H76" s="50">
        <f>+IFERROR(INDEX('Restaurant Base (Hidden)'!$A$2:$Z$1048576,MATCH($C76,'Restaurant Base (Hidden)'!$C$2:$C$1048576,0),MATCH(H$6,'Restaurant Base (Hidden)'!$A$1:$Z$1,0)),"")</f>
        <v>5</v>
      </c>
      <c r="I76" s="20" t="str">
        <f>+IFERROR(INDEX('Restaurant Base (Hidden)'!$A$2:$Z$1048576,MATCH($C76,'Restaurant Base (Hidden)'!$C$2:$C$1048576,0),MATCH(I$6,'Restaurant Base (Hidden)'!$A$1:$Z$1,0)),"")</f>
        <v>90,90 %</v>
      </c>
      <c r="J76" s="49">
        <f>+IFERROR(INDEX('Restaurant Base (Hidden)'!$A$2:$Z$1048576,MATCH($C76,'Restaurant Base (Hidden)'!$C$2:$C$1048576,0),MATCH(J$6,'Restaurant Base (Hidden)'!$A$1:$Z$1,0)),"")</f>
        <v>4</v>
      </c>
      <c r="K76" s="20" t="str">
        <f>+IFERROR(INDEX('Restaurant Base (Hidden)'!$A$2:$Z$1048576,MATCH($C76,'Restaurant Base (Hidden)'!$C$2:$C$1048576,0),MATCH(K$6,'Restaurant Base (Hidden)'!$A$1:$Z$1,0)),"")</f>
        <v>0,213</v>
      </c>
      <c r="L76" s="51">
        <f>+IFERROR(INDEX('Restaurant Base (Hidden)'!$A$2:$Z$1048576,MATCH($C76,'Restaurant Base (Hidden)'!$C$2:$C$1048576,0),MATCH(L$6,'Restaurant Base (Hidden)'!$A$1:$Z$1,0)),"")</f>
        <v>1</v>
      </c>
      <c r="M76" s="2" t="str">
        <f>+IFERROR(INDEX('Restaurant Base (Hidden)'!$A$2:$Z$1048576,MATCH($C76,'Restaurant Base (Hidden)'!$C$2:$C$1048576,0),MATCH(M$6,'Restaurant Base (Hidden)'!$A$1:$Z$1,0)),"")</f>
        <v/>
      </c>
      <c r="N76" s="234" t="str">
        <f>+IFERROR(INDEX('Restaurant Base (Hidden)'!$A$2:$Z$1048576,MATCH($C76,'Restaurant Base (Hidden)'!$C$2:$C$1048576,0),MATCH(N$6,'Restaurant Base (Hidden)'!$A$1:$Z$1,0)),"")</f>
        <v>91,00 %</v>
      </c>
      <c r="O76" s="1">
        <f>+IFERROR(INDEX('Restaurant Base (Hidden)'!$A$2:$Z$1048576,MATCH($C76,'Restaurant Base (Hidden)'!$C$2:$C$1048576,0),MATCH(O$6,'Restaurant Base (Hidden)'!$A$1:$Z$1,0)),"")</f>
        <v>5</v>
      </c>
      <c r="P76" s="2" t="str">
        <f>+IFERROR(INDEX('Restaurant Base (Hidden)'!$A$2:$Z$1048576,MATCH($C76,'Restaurant Base (Hidden)'!$C$2:$C$1048576,0),MATCH(P$6,'Restaurant Base (Hidden)'!$A$1:$Z$1,0)),"")</f>
        <v/>
      </c>
      <c r="Q76" s="234" t="str">
        <f>+IFERROR(INDEX('Restaurant Base (Hidden)'!$A$2:$Z$1048576,MATCH($C76,'Restaurant Base (Hidden)'!$C$2:$C$1048576,0),MATCH(Q$6,'Restaurant Base (Hidden)'!$A$1:$Z$1,0)),"")</f>
        <v>94,10 %</v>
      </c>
      <c r="R76" s="1">
        <f>+IFERROR(INDEX('Restaurant Base (Hidden)'!$A$2:$Z$1048576,MATCH($C76,'Restaurant Base (Hidden)'!$C$2:$C$1048576,0),MATCH(R$6,'Restaurant Base (Hidden)'!$A$1:$Z$1,0)),"")</f>
        <v>5</v>
      </c>
      <c r="S76" s="2" t="str">
        <f>+IFERROR(INDEX('Restaurant Base (Hidden)'!$A$2:$Z$1048576,MATCH($C76,'Restaurant Base (Hidden)'!$C$2:$C$1048576,0),MATCH(S$6,'Restaurant Base (Hidden)'!$A$1:$Z$1,0)),"")</f>
        <v/>
      </c>
      <c r="T76" s="62">
        <f>+IFERROR(INDEX('Restaurant Base (Hidden)'!$A$2:$Z$1048576,MATCH($C76,'Restaurant Base (Hidden)'!$C$2:$C$1048576,0),MATCH(T$6,'Restaurant Base (Hidden)'!$A$1:$Z$1,0)),"")</f>
        <v>77.099999999999994</v>
      </c>
      <c r="U76" s="1">
        <f>+IFERROR(INDEX('Restaurant Base (Hidden)'!$A$2:$Z$1048576,MATCH($C76,'Restaurant Base (Hidden)'!$C$2:$C$1048576,0),MATCH(U$6,'Restaurant Base (Hidden)'!$A$1:$Z$1,0)),"")</f>
        <v>5</v>
      </c>
      <c r="V76" s="2" t="str">
        <f>+IFERROR(INDEX('Restaurant Base (Hidden)'!$A$2:$Z$1048576,MATCH($C76,'Restaurant Base (Hidden)'!$C$2:$C$1048576,0),MATCH(V$6,'Restaurant Base (Hidden)'!$A$1:$Z$1,0)),"")</f>
        <v/>
      </c>
      <c r="W76" s="65" t="str">
        <f>+IFERROR(INDEX('Restaurant Base (Hidden)'!$A$2:$Z$1048576,MATCH($C76,'Restaurant Base (Hidden)'!$C$2:$C$1048576,0),MATCH(W$6,'Restaurant Base (Hidden)'!$A$1:$Z$1,0)),"")</f>
        <v>62,10 %</v>
      </c>
      <c r="X76" s="1">
        <f>+IFERROR(INDEX('Restaurant Base (Hidden)'!$A$2:$Z$1048576,MATCH($C76,'Restaurant Base (Hidden)'!$C$2:$C$1048576,0),MATCH(X$6,'Restaurant Base (Hidden)'!$A$1:$Z$1,0)),"")</f>
        <v>2</v>
      </c>
      <c r="Y76" s="65" t="str">
        <f>+IFERROR(INDEX('Restaurant Base (Hidden)'!$A$2:$Z$1048576,MATCH($C76,'Restaurant Base (Hidden)'!$C$2:$C$1048576,0),MATCH(Y$6,'Restaurant Base (Hidden)'!$A$1:$Z$1,0)),"")</f>
        <v>70,30 %</v>
      </c>
      <c r="Z76" s="106">
        <f>+IFERROR(INDEX('Restaurant Base (Hidden)'!$A$2:$Z$1048576,MATCH($C76,'Restaurant Base (Hidden)'!$C$2:$C$1048576,0),MATCH(Z$6,'Restaurant Base (Hidden)'!$A$1:$Z$1,0)),"")</f>
        <v>2</v>
      </c>
      <c r="AA76" s="65" t="str">
        <f>+IFERROR(INDEX('Restaurant Base (Hidden)'!$A$2:$Z$1048576,MATCH($C76,'Restaurant Base (Hidden)'!$C$2:$C$1048576,0),MATCH(AA$6,'Restaurant Base (Hidden)'!$A$1:$Z$1,0)),"")</f>
        <v>85,20 %</v>
      </c>
      <c r="AB76" s="1">
        <f>+IFERROR(INDEX('Restaurant Base (Hidden)'!$A$2:$Z$1048576,MATCH($C76,'Restaurant Base (Hidden)'!$C$2:$C$1048576,0),MATCH(AB$6,'Restaurant Base (Hidden)'!$A$1:$Z$1,0)),"")</f>
        <v>3</v>
      </c>
      <c r="AC76" s="20" t="str">
        <f>+IFERROR(INDEX('Restaurant Base (Hidden)'!$A$2:$Z$1048576,MATCH($C76,'Restaurant Base (Hidden)'!$C$2:$C$1048576,0),MATCH(AC$6,'Restaurant Base (Hidden)'!$A$1:$Z$1,0)),"")</f>
        <v/>
      </c>
      <c r="AD76" s="65" t="str">
        <f>+IFERROR(INDEX('Restaurant Base (Hidden)'!$A$2:$Z$1048576,MATCH($C76,'Restaurant Base (Hidden)'!$C$2:$C$1048576,0),MATCH(AD$6,'Restaurant Base (Hidden)'!$A$1:$Z$1,0)),"")</f>
        <v>63,00 %</v>
      </c>
      <c r="AE76" s="1">
        <f>+IFERROR(INDEX('Restaurant Base (Hidden)'!$A$2:$Z$1048576,MATCH($C76,'Restaurant Base (Hidden)'!$C$2:$C$1048576,0),MATCH(AE$6,'Restaurant Base (Hidden)'!$A$1:$Z$1,0)),"")</f>
        <v>1</v>
      </c>
      <c r="AF76" s="65" t="str">
        <f>+IFERROR(INDEX('Restaurant Base (Hidden)'!$A$2:$Z$1048576,MATCH($C76,'Restaurant Base (Hidden)'!$C$2:$C$1048576,0),MATCH(AF$6,'Restaurant Base (Hidden)'!$A$1:$Z$1,0)),"")</f>
        <v>60,60 %</v>
      </c>
      <c r="AG76" s="1">
        <f>+IFERROR(INDEX('Restaurant Base (Hidden)'!$A$2:$Z$1048576,MATCH($C76,'Restaurant Base (Hidden)'!$C$2:$C$1048576,0),MATCH(AG$6,'Restaurant Base (Hidden)'!$A$1:$Z$1,0)),"")</f>
        <v>1</v>
      </c>
    </row>
    <row r="77" spans="1:33" x14ac:dyDescent="0.4">
      <c r="A77" s="163" t="str">
        <f>IF('Restaurant Base (Hidden)'!A227=0,"", 'Restaurant Base (Hidden)'!A227)</f>
        <v>Emerson Greenleigh</v>
      </c>
      <c r="B77" s="163" t="str">
        <f>IF('Restaurant Base (Hidden)'!B227=0,"", 'Restaurant Base (Hidden)'!B227)</f>
        <v>Meadowgate Hospitality</v>
      </c>
      <c r="C77" s="163" t="str">
        <f>IF('Restaurant Base (Hidden)'!C227=0,"", 'Restaurant Base (Hidden)'!C227)</f>
        <v>Liberty Quay</v>
      </c>
      <c r="D77" s="104">
        <f t="shared" si="1"/>
        <v>67</v>
      </c>
      <c r="E77" s="105">
        <f>+IFERROR(INDEX('Restaurant Base (Hidden)'!$A$2:$Z$1048576,MATCH($C77,'Restaurant Base (Hidden)'!$C$2:$C$1048576,0),MATCH(E$6,'Restaurant Base (Hidden)'!$A$1:$Z$1,0)),"")</f>
        <v>3.46</v>
      </c>
      <c r="F77" s="2" t="str">
        <f>+IFERROR(INDEX('Restaurant Base (Hidden)'!$A$2:$Z$1048576,MATCH($C77,'Restaurant Base (Hidden)'!$C$2:$C$1048576,0),MATCH(F$6,'Restaurant Base (Hidden)'!$A$1:$Z$1,0)),"")</f>
        <v/>
      </c>
      <c r="G77" s="20" t="str">
        <f>+IFERROR(INDEX('Restaurant Base (Hidden)'!$A$2:$Z$1048576,MATCH($C77,'Restaurant Base (Hidden)'!$C$2:$C$1048576,0),MATCH(G$6,'Restaurant Base (Hidden)'!$A$1:$Z$1,0)),"")</f>
        <v>4,643</v>
      </c>
      <c r="H77" s="50">
        <f>+IFERROR(INDEX('Restaurant Base (Hidden)'!$A$2:$Z$1048576,MATCH($C77,'Restaurant Base (Hidden)'!$C$2:$C$1048576,0),MATCH(H$6,'Restaurant Base (Hidden)'!$A$1:$Z$1,0)),"")</f>
        <v>5</v>
      </c>
      <c r="I77" s="20" t="str">
        <f>+IFERROR(INDEX('Restaurant Base (Hidden)'!$A$2:$Z$1048576,MATCH($C77,'Restaurant Base (Hidden)'!$C$2:$C$1048576,0),MATCH(I$6,'Restaurant Base (Hidden)'!$A$1:$Z$1,0)),"")</f>
        <v>93,90 %</v>
      </c>
      <c r="J77" s="49">
        <f>+IFERROR(INDEX('Restaurant Base (Hidden)'!$A$2:$Z$1048576,MATCH($C77,'Restaurant Base (Hidden)'!$C$2:$C$1048576,0),MATCH(J$6,'Restaurant Base (Hidden)'!$A$1:$Z$1,0)),"")</f>
        <v>4</v>
      </c>
      <c r="K77" s="20" t="str">
        <f>+IFERROR(INDEX('Restaurant Base (Hidden)'!$A$2:$Z$1048576,MATCH($C77,'Restaurant Base (Hidden)'!$C$2:$C$1048576,0),MATCH(K$6,'Restaurant Base (Hidden)'!$A$1:$Z$1,0)),"")</f>
        <v>0,107</v>
      </c>
      <c r="L77" s="51">
        <f>+IFERROR(INDEX('Restaurant Base (Hidden)'!$A$2:$Z$1048576,MATCH($C77,'Restaurant Base (Hidden)'!$C$2:$C$1048576,0),MATCH(L$6,'Restaurant Base (Hidden)'!$A$1:$Z$1,0)),"")</f>
        <v>3</v>
      </c>
      <c r="M77" s="2" t="str">
        <f>+IFERROR(INDEX('Restaurant Base (Hidden)'!$A$2:$Z$1048576,MATCH($C77,'Restaurant Base (Hidden)'!$C$2:$C$1048576,0),MATCH(M$6,'Restaurant Base (Hidden)'!$A$1:$Z$1,0)),"")</f>
        <v/>
      </c>
      <c r="N77" s="234" t="str">
        <f>+IFERROR(INDEX('Restaurant Base (Hidden)'!$A$2:$Z$1048576,MATCH($C77,'Restaurant Base (Hidden)'!$C$2:$C$1048576,0),MATCH(N$6,'Restaurant Base (Hidden)'!$A$1:$Z$1,0)),"")</f>
        <v>62,90 %</v>
      </c>
      <c r="O77" s="1">
        <f>+IFERROR(INDEX('Restaurant Base (Hidden)'!$A$2:$Z$1048576,MATCH($C77,'Restaurant Base (Hidden)'!$C$2:$C$1048576,0),MATCH(O$6,'Restaurant Base (Hidden)'!$A$1:$Z$1,0)),"")</f>
        <v>2</v>
      </c>
      <c r="P77" s="2" t="str">
        <f>+IFERROR(INDEX('Restaurant Base (Hidden)'!$A$2:$Z$1048576,MATCH($C77,'Restaurant Base (Hidden)'!$C$2:$C$1048576,0),MATCH(P$6,'Restaurant Base (Hidden)'!$A$1:$Z$1,0)),"")</f>
        <v/>
      </c>
      <c r="Q77" s="234" t="str">
        <f>+IFERROR(INDEX('Restaurant Base (Hidden)'!$A$2:$Z$1048576,MATCH($C77,'Restaurant Base (Hidden)'!$C$2:$C$1048576,0),MATCH(Q$6,'Restaurant Base (Hidden)'!$A$1:$Z$1,0)),"")</f>
        <v>81,20 %</v>
      </c>
      <c r="R77" s="1">
        <f>+IFERROR(INDEX('Restaurant Base (Hidden)'!$A$2:$Z$1048576,MATCH($C77,'Restaurant Base (Hidden)'!$C$2:$C$1048576,0),MATCH(R$6,'Restaurant Base (Hidden)'!$A$1:$Z$1,0)),"")</f>
        <v>5</v>
      </c>
      <c r="S77" s="2" t="str">
        <f>+IFERROR(INDEX('Restaurant Base (Hidden)'!$A$2:$Z$1048576,MATCH($C77,'Restaurant Base (Hidden)'!$C$2:$C$1048576,0),MATCH(S$6,'Restaurant Base (Hidden)'!$A$1:$Z$1,0)),"")</f>
        <v/>
      </c>
      <c r="T77" s="62">
        <f>+IFERROR(INDEX('Restaurant Base (Hidden)'!$A$2:$Z$1048576,MATCH($C77,'Restaurant Base (Hidden)'!$C$2:$C$1048576,0),MATCH(T$6,'Restaurant Base (Hidden)'!$A$1:$Z$1,0)),"")</f>
        <v>77.5</v>
      </c>
      <c r="U77" s="1">
        <f>+IFERROR(INDEX('Restaurant Base (Hidden)'!$A$2:$Z$1048576,MATCH($C77,'Restaurant Base (Hidden)'!$C$2:$C$1048576,0),MATCH(U$6,'Restaurant Base (Hidden)'!$A$1:$Z$1,0)),"")</f>
        <v>5</v>
      </c>
      <c r="V77" s="2" t="str">
        <f>+IFERROR(INDEX('Restaurant Base (Hidden)'!$A$2:$Z$1048576,MATCH($C77,'Restaurant Base (Hidden)'!$C$2:$C$1048576,0),MATCH(V$6,'Restaurant Base (Hidden)'!$A$1:$Z$1,0)),"")</f>
        <v/>
      </c>
      <c r="W77" s="65" t="str">
        <f>+IFERROR(INDEX('Restaurant Base (Hidden)'!$A$2:$Z$1048576,MATCH($C77,'Restaurant Base (Hidden)'!$C$2:$C$1048576,0),MATCH(W$6,'Restaurant Base (Hidden)'!$A$1:$Z$1,0)),"")</f>
        <v>89,90 %</v>
      </c>
      <c r="X77" s="1">
        <f>+IFERROR(INDEX('Restaurant Base (Hidden)'!$A$2:$Z$1048576,MATCH($C77,'Restaurant Base (Hidden)'!$C$2:$C$1048576,0),MATCH(X$6,'Restaurant Base (Hidden)'!$A$1:$Z$1,0)),"")</f>
        <v>3</v>
      </c>
      <c r="Y77" s="65" t="str">
        <f>+IFERROR(INDEX('Restaurant Base (Hidden)'!$A$2:$Z$1048576,MATCH($C77,'Restaurant Base (Hidden)'!$C$2:$C$1048576,0),MATCH(Y$6,'Restaurant Base (Hidden)'!$A$1:$Z$1,0)),"")</f>
        <v>78,60 %</v>
      </c>
      <c r="Z77" s="106">
        <f>+IFERROR(INDEX('Restaurant Base (Hidden)'!$A$2:$Z$1048576,MATCH($C77,'Restaurant Base (Hidden)'!$C$2:$C$1048576,0),MATCH(Z$6,'Restaurant Base (Hidden)'!$A$1:$Z$1,0)),"")</f>
        <v>2</v>
      </c>
      <c r="AA77" s="65" t="str">
        <f>+IFERROR(INDEX('Restaurant Base (Hidden)'!$A$2:$Z$1048576,MATCH($C77,'Restaurant Base (Hidden)'!$C$2:$C$1048576,0),MATCH(AA$6,'Restaurant Base (Hidden)'!$A$1:$Z$1,0)),"")</f>
        <v>98,00 %</v>
      </c>
      <c r="AB77" s="1">
        <f>+IFERROR(INDEX('Restaurant Base (Hidden)'!$A$2:$Z$1048576,MATCH($C77,'Restaurant Base (Hidden)'!$C$2:$C$1048576,0),MATCH(AB$6,'Restaurant Base (Hidden)'!$A$1:$Z$1,0)),"")</f>
        <v>4</v>
      </c>
      <c r="AC77" s="20" t="str">
        <f>+IFERROR(INDEX('Restaurant Base (Hidden)'!$A$2:$Z$1048576,MATCH($C77,'Restaurant Base (Hidden)'!$C$2:$C$1048576,0),MATCH(AC$6,'Restaurant Base (Hidden)'!$A$1:$Z$1,0)),"")</f>
        <v/>
      </c>
      <c r="AD77" s="65" t="str">
        <f>+IFERROR(INDEX('Restaurant Base (Hidden)'!$A$2:$Z$1048576,MATCH($C77,'Restaurant Base (Hidden)'!$C$2:$C$1048576,0),MATCH(AD$6,'Restaurant Base (Hidden)'!$A$1:$Z$1,0)),"")</f>
        <v>76,80 %</v>
      </c>
      <c r="AE77" s="1">
        <f>+IFERROR(INDEX('Restaurant Base (Hidden)'!$A$2:$Z$1048576,MATCH($C77,'Restaurant Base (Hidden)'!$C$2:$C$1048576,0),MATCH(AE$6,'Restaurant Base (Hidden)'!$A$1:$Z$1,0)),"")</f>
        <v>2</v>
      </c>
      <c r="AF77" s="65" t="str">
        <f>+IFERROR(INDEX('Restaurant Base (Hidden)'!$A$2:$Z$1048576,MATCH($C77,'Restaurant Base (Hidden)'!$C$2:$C$1048576,0),MATCH(AF$6,'Restaurant Base (Hidden)'!$A$1:$Z$1,0)),"")</f>
        <v>80,10 %</v>
      </c>
      <c r="AG77" s="1">
        <f>+IFERROR(INDEX('Restaurant Base (Hidden)'!$A$2:$Z$1048576,MATCH($C77,'Restaurant Base (Hidden)'!$C$2:$C$1048576,0),MATCH(AG$6,'Restaurant Base (Hidden)'!$A$1:$Z$1,0)),"")</f>
        <v>2</v>
      </c>
    </row>
    <row r="78" spans="1:33" x14ac:dyDescent="0.4">
      <c r="A78" s="163" t="str">
        <f>IF('Restaurant Base (Hidden)'!A259=0,"", 'Restaurant Base (Hidden)'!A259)</f>
        <v>Marlowe Ellington</v>
      </c>
      <c r="B78" s="163" t="str">
        <f>IF('Restaurant Base (Hidden)'!B259=0,"", 'Restaurant Base (Hidden)'!B259)</f>
        <v>Fairmont Food Group</v>
      </c>
      <c r="C78" s="163" t="str">
        <f>IF('Restaurant Base (Hidden)'!C259=0,"", 'Restaurant Base (Hidden)'!C259)</f>
        <v>Lunar Village</v>
      </c>
      <c r="D78" s="104">
        <f t="shared" si="1"/>
        <v>67</v>
      </c>
      <c r="E78" s="105">
        <f>+IFERROR(INDEX('Restaurant Base (Hidden)'!$A$2:$Z$1048576,MATCH($C78,'Restaurant Base (Hidden)'!$C$2:$C$1048576,0),MATCH(E$6,'Restaurant Base (Hidden)'!$A$1:$Z$1,0)),"")</f>
        <v>3.46</v>
      </c>
      <c r="F78" s="2" t="str">
        <f>+IFERROR(INDEX('Restaurant Base (Hidden)'!$A$2:$Z$1048576,MATCH($C78,'Restaurant Base (Hidden)'!$C$2:$C$1048576,0),MATCH(F$6,'Restaurant Base (Hidden)'!$A$1:$Z$1,0)),"")</f>
        <v/>
      </c>
      <c r="G78" s="20" t="str">
        <f>+IFERROR(INDEX('Restaurant Base (Hidden)'!$A$2:$Z$1048576,MATCH($C78,'Restaurant Base (Hidden)'!$C$2:$C$1048576,0),MATCH(G$6,'Restaurant Base (Hidden)'!$A$1:$Z$1,0)),"")</f>
        <v>4,805</v>
      </c>
      <c r="H78" s="50">
        <f>+IFERROR(INDEX('Restaurant Base (Hidden)'!$A$2:$Z$1048576,MATCH($C78,'Restaurant Base (Hidden)'!$C$2:$C$1048576,0),MATCH(H$6,'Restaurant Base (Hidden)'!$A$1:$Z$1,0)),"")</f>
        <v>5</v>
      </c>
      <c r="I78" s="20" t="str">
        <f>+IFERROR(INDEX('Restaurant Base (Hidden)'!$A$2:$Z$1048576,MATCH($C78,'Restaurant Base (Hidden)'!$C$2:$C$1048576,0),MATCH(I$6,'Restaurant Base (Hidden)'!$A$1:$Z$1,0)),"")</f>
        <v>56,90 %</v>
      </c>
      <c r="J78" s="49">
        <f>+IFERROR(INDEX('Restaurant Base (Hidden)'!$A$2:$Z$1048576,MATCH($C78,'Restaurant Base (Hidden)'!$C$2:$C$1048576,0),MATCH(J$6,'Restaurant Base (Hidden)'!$A$1:$Z$1,0)),"")</f>
        <v>1</v>
      </c>
      <c r="K78" s="20" t="str">
        <f>+IFERROR(INDEX('Restaurant Base (Hidden)'!$A$2:$Z$1048576,MATCH($C78,'Restaurant Base (Hidden)'!$C$2:$C$1048576,0),MATCH(K$6,'Restaurant Base (Hidden)'!$A$1:$Z$1,0)),"")</f>
        <v>0,101</v>
      </c>
      <c r="L78" s="51">
        <f>+IFERROR(INDEX('Restaurant Base (Hidden)'!$A$2:$Z$1048576,MATCH($C78,'Restaurant Base (Hidden)'!$C$2:$C$1048576,0),MATCH(L$6,'Restaurant Base (Hidden)'!$A$1:$Z$1,0)),"")</f>
        <v>3</v>
      </c>
      <c r="M78" s="2" t="str">
        <f>+IFERROR(INDEX('Restaurant Base (Hidden)'!$A$2:$Z$1048576,MATCH($C78,'Restaurant Base (Hidden)'!$C$2:$C$1048576,0),MATCH(M$6,'Restaurant Base (Hidden)'!$A$1:$Z$1,0)),"")</f>
        <v/>
      </c>
      <c r="N78" s="234" t="str">
        <f>+IFERROR(INDEX('Restaurant Base (Hidden)'!$A$2:$Z$1048576,MATCH($C78,'Restaurant Base (Hidden)'!$C$2:$C$1048576,0),MATCH(N$6,'Restaurant Base (Hidden)'!$A$1:$Z$1,0)),"")</f>
        <v>85,50 %</v>
      </c>
      <c r="O78" s="1">
        <f>+IFERROR(INDEX('Restaurant Base (Hidden)'!$A$2:$Z$1048576,MATCH($C78,'Restaurant Base (Hidden)'!$C$2:$C$1048576,0),MATCH(O$6,'Restaurant Base (Hidden)'!$A$1:$Z$1,0)),"")</f>
        <v>5</v>
      </c>
      <c r="P78" s="2" t="str">
        <f>+IFERROR(INDEX('Restaurant Base (Hidden)'!$A$2:$Z$1048576,MATCH($C78,'Restaurant Base (Hidden)'!$C$2:$C$1048576,0),MATCH(P$6,'Restaurant Base (Hidden)'!$A$1:$Z$1,0)),"")</f>
        <v/>
      </c>
      <c r="Q78" s="234" t="str">
        <f>+IFERROR(INDEX('Restaurant Base (Hidden)'!$A$2:$Z$1048576,MATCH($C78,'Restaurant Base (Hidden)'!$C$2:$C$1048576,0),MATCH(Q$6,'Restaurant Base (Hidden)'!$A$1:$Z$1,0)),"")</f>
        <v>99,40 %</v>
      </c>
      <c r="R78" s="1">
        <f>+IFERROR(INDEX('Restaurant Base (Hidden)'!$A$2:$Z$1048576,MATCH($C78,'Restaurant Base (Hidden)'!$C$2:$C$1048576,0),MATCH(R$6,'Restaurant Base (Hidden)'!$A$1:$Z$1,0)),"")</f>
        <v>5</v>
      </c>
      <c r="S78" s="2" t="str">
        <f>+IFERROR(INDEX('Restaurant Base (Hidden)'!$A$2:$Z$1048576,MATCH($C78,'Restaurant Base (Hidden)'!$C$2:$C$1048576,0),MATCH(S$6,'Restaurant Base (Hidden)'!$A$1:$Z$1,0)),"")</f>
        <v/>
      </c>
      <c r="T78" s="62">
        <f>+IFERROR(INDEX('Restaurant Base (Hidden)'!$A$2:$Z$1048576,MATCH($C78,'Restaurant Base (Hidden)'!$C$2:$C$1048576,0),MATCH(T$6,'Restaurant Base (Hidden)'!$A$1:$Z$1,0)),"")</f>
        <v>67.599999999999994</v>
      </c>
      <c r="U78" s="1">
        <f>+IFERROR(INDEX('Restaurant Base (Hidden)'!$A$2:$Z$1048576,MATCH($C78,'Restaurant Base (Hidden)'!$C$2:$C$1048576,0),MATCH(U$6,'Restaurant Base (Hidden)'!$A$1:$Z$1,0)),"")</f>
        <v>4</v>
      </c>
      <c r="V78" s="2" t="str">
        <f>+IFERROR(INDEX('Restaurant Base (Hidden)'!$A$2:$Z$1048576,MATCH($C78,'Restaurant Base (Hidden)'!$C$2:$C$1048576,0),MATCH(V$6,'Restaurant Base (Hidden)'!$A$1:$Z$1,0)),"")</f>
        <v/>
      </c>
      <c r="W78" s="65" t="str">
        <f>+IFERROR(INDEX('Restaurant Base (Hidden)'!$A$2:$Z$1048576,MATCH($C78,'Restaurant Base (Hidden)'!$C$2:$C$1048576,0),MATCH(W$6,'Restaurant Base (Hidden)'!$A$1:$Z$1,0)),"")</f>
        <v>88,20 %</v>
      </c>
      <c r="X78" s="1">
        <f>+IFERROR(INDEX('Restaurant Base (Hidden)'!$A$2:$Z$1048576,MATCH($C78,'Restaurant Base (Hidden)'!$C$2:$C$1048576,0),MATCH(X$6,'Restaurant Base (Hidden)'!$A$1:$Z$1,0)),"")</f>
        <v>3</v>
      </c>
      <c r="Y78" s="65" t="str">
        <f>+IFERROR(INDEX('Restaurant Base (Hidden)'!$A$2:$Z$1048576,MATCH($C78,'Restaurant Base (Hidden)'!$C$2:$C$1048576,0),MATCH(Y$6,'Restaurant Base (Hidden)'!$A$1:$Z$1,0)),"")</f>
        <v>61,90 %</v>
      </c>
      <c r="Z78" s="106">
        <f>+IFERROR(INDEX('Restaurant Base (Hidden)'!$A$2:$Z$1048576,MATCH($C78,'Restaurant Base (Hidden)'!$C$2:$C$1048576,0),MATCH(Z$6,'Restaurant Base (Hidden)'!$A$1:$Z$1,0)),"")</f>
        <v>2</v>
      </c>
      <c r="AA78" s="65" t="str">
        <f>+IFERROR(INDEX('Restaurant Base (Hidden)'!$A$2:$Z$1048576,MATCH($C78,'Restaurant Base (Hidden)'!$C$2:$C$1048576,0),MATCH(AA$6,'Restaurant Base (Hidden)'!$A$1:$Z$1,0)),"")</f>
        <v>60,10 %</v>
      </c>
      <c r="AB78" s="1">
        <f>+IFERROR(INDEX('Restaurant Base (Hidden)'!$A$2:$Z$1048576,MATCH($C78,'Restaurant Base (Hidden)'!$C$2:$C$1048576,0),MATCH(AB$6,'Restaurant Base (Hidden)'!$A$1:$Z$1,0)),"")</f>
        <v>2</v>
      </c>
      <c r="AC78" s="20" t="str">
        <f>+IFERROR(INDEX('Restaurant Base (Hidden)'!$A$2:$Z$1048576,MATCH($C78,'Restaurant Base (Hidden)'!$C$2:$C$1048576,0),MATCH(AC$6,'Restaurant Base (Hidden)'!$A$1:$Z$1,0)),"")</f>
        <v/>
      </c>
      <c r="AD78" s="65" t="str">
        <f>+IFERROR(INDEX('Restaurant Base (Hidden)'!$A$2:$Z$1048576,MATCH($C78,'Restaurant Base (Hidden)'!$C$2:$C$1048576,0),MATCH(AD$6,'Restaurant Base (Hidden)'!$A$1:$Z$1,0)),"")</f>
        <v>95,60 %</v>
      </c>
      <c r="AE78" s="1">
        <f>+IFERROR(INDEX('Restaurant Base (Hidden)'!$A$2:$Z$1048576,MATCH($C78,'Restaurant Base (Hidden)'!$C$2:$C$1048576,0),MATCH(AE$6,'Restaurant Base (Hidden)'!$A$1:$Z$1,0)),"")</f>
        <v>5</v>
      </c>
      <c r="AF78" s="65" t="str">
        <f>+IFERROR(INDEX('Restaurant Base (Hidden)'!$A$2:$Z$1048576,MATCH($C78,'Restaurant Base (Hidden)'!$C$2:$C$1048576,0),MATCH(AF$6,'Restaurant Base (Hidden)'!$A$1:$Z$1,0)),"")</f>
        <v>62,90 %</v>
      </c>
      <c r="AG78" s="1">
        <f>+IFERROR(INDEX('Restaurant Base (Hidden)'!$A$2:$Z$1048576,MATCH($C78,'Restaurant Base (Hidden)'!$C$2:$C$1048576,0),MATCH(AG$6,'Restaurant Base (Hidden)'!$A$1:$Z$1,0)),"")</f>
        <v>1</v>
      </c>
    </row>
    <row r="79" spans="1:33" x14ac:dyDescent="0.4">
      <c r="A79" s="163" t="str">
        <f>IF('Restaurant Base (Hidden)'!A132=0,"", 'Restaurant Base (Hidden)'!A132)</f>
        <v>Parker Sterling</v>
      </c>
      <c r="B79" s="163" t="str">
        <f>IF('Restaurant Base (Hidden)'!B132=0,"", 'Restaurant Base (Hidden)'!B132)</f>
        <v>Kingswell Food Partners</v>
      </c>
      <c r="C79" s="163" t="str">
        <f>IF('Restaurant Base (Hidden)'!C132=0,"", 'Restaurant Base (Hidden)'!C132)</f>
        <v>Parkside Heights</v>
      </c>
      <c r="D79" s="104">
        <f t="shared" si="1"/>
        <v>73</v>
      </c>
      <c r="E79" s="105">
        <f>+IFERROR(INDEX('Restaurant Base (Hidden)'!$A$2:$Z$1048576,MATCH($C79,'Restaurant Base (Hidden)'!$C$2:$C$1048576,0),MATCH(E$6,'Restaurant Base (Hidden)'!$A$1:$Z$1,0)),"")</f>
        <v>3.45</v>
      </c>
      <c r="F79" s="2" t="str">
        <f>+IFERROR(INDEX('Restaurant Base (Hidden)'!$A$2:$Z$1048576,MATCH($C79,'Restaurant Base (Hidden)'!$C$2:$C$1048576,0),MATCH(F$6,'Restaurant Base (Hidden)'!$A$1:$Z$1,0)),"")</f>
        <v/>
      </c>
      <c r="G79" s="20" t="str">
        <f>+IFERROR(INDEX('Restaurant Base (Hidden)'!$A$2:$Z$1048576,MATCH($C79,'Restaurant Base (Hidden)'!$C$2:$C$1048576,0),MATCH(G$6,'Restaurant Base (Hidden)'!$A$1:$Z$1,0)),"")</f>
        <v>4,771</v>
      </c>
      <c r="H79" s="50">
        <f>+IFERROR(INDEX('Restaurant Base (Hidden)'!$A$2:$Z$1048576,MATCH($C79,'Restaurant Base (Hidden)'!$C$2:$C$1048576,0),MATCH(H$6,'Restaurant Base (Hidden)'!$A$1:$Z$1,0)),"")</f>
        <v>5</v>
      </c>
      <c r="I79" s="20" t="str">
        <f>+IFERROR(INDEX('Restaurant Base (Hidden)'!$A$2:$Z$1048576,MATCH($C79,'Restaurant Base (Hidden)'!$C$2:$C$1048576,0),MATCH(I$6,'Restaurant Base (Hidden)'!$A$1:$Z$1,0)),"")</f>
        <v>57,30 %</v>
      </c>
      <c r="J79" s="49">
        <f>+IFERROR(INDEX('Restaurant Base (Hidden)'!$A$2:$Z$1048576,MATCH($C79,'Restaurant Base (Hidden)'!$C$2:$C$1048576,0),MATCH(J$6,'Restaurant Base (Hidden)'!$A$1:$Z$1,0)),"")</f>
        <v>1</v>
      </c>
      <c r="K79" s="20" t="str">
        <f>+IFERROR(INDEX('Restaurant Base (Hidden)'!$A$2:$Z$1048576,MATCH($C79,'Restaurant Base (Hidden)'!$C$2:$C$1048576,0),MATCH(K$6,'Restaurant Base (Hidden)'!$A$1:$Z$1,0)),"")</f>
        <v>0,196</v>
      </c>
      <c r="L79" s="51">
        <f>+IFERROR(INDEX('Restaurant Base (Hidden)'!$A$2:$Z$1048576,MATCH($C79,'Restaurant Base (Hidden)'!$C$2:$C$1048576,0),MATCH(L$6,'Restaurant Base (Hidden)'!$A$1:$Z$1,0)),"")</f>
        <v>1</v>
      </c>
      <c r="M79" s="2" t="str">
        <f>+IFERROR(INDEX('Restaurant Base (Hidden)'!$A$2:$Z$1048576,MATCH($C79,'Restaurant Base (Hidden)'!$C$2:$C$1048576,0),MATCH(M$6,'Restaurant Base (Hidden)'!$A$1:$Z$1,0)),"")</f>
        <v/>
      </c>
      <c r="N79" s="234" t="str">
        <f>+IFERROR(INDEX('Restaurant Base (Hidden)'!$A$2:$Z$1048576,MATCH($C79,'Restaurant Base (Hidden)'!$C$2:$C$1048576,0),MATCH(N$6,'Restaurant Base (Hidden)'!$A$1:$Z$1,0)),"")</f>
        <v>84,80 %</v>
      </c>
      <c r="O79" s="1">
        <f>+IFERROR(INDEX('Restaurant Base (Hidden)'!$A$2:$Z$1048576,MATCH($C79,'Restaurant Base (Hidden)'!$C$2:$C$1048576,0),MATCH(O$6,'Restaurant Base (Hidden)'!$A$1:$Z$1,0)),"")</f>
        <v>5</v>
      </c>
      <c r="P79" s="2" t="str">
        <f>+IFERROR(INDEX('Restaurant Base (Hidden)'!$A$2:$Z$1048576,MATCH($C79,'Restaurant Base (Hidden)'!$C$2:$C$1048576,0),MATCH(P$6,'Restaurant Base (Hidden)'!$A$1:$Z$1,0)),"")</f>
        <v/>
      </c>
      <c r="Q79" s="234" t="str">
        <f>+IFERROR(INDEX('Restaurant Base (Hidden)'!$A$2:$Z$1048576,MATCH($C79,'Restaurant Base (Hidden)'!$C$2:$C$1048576,0),MATCH(Q$6,'Restaurant Base (Hidden)'!$A$1:$Z$1,0)),"")</f>
        <v>73,40 %</v>
      </c>
      <c r="R79" s="1">
        <f>+IFERROR(INDEX('Restaurant Base (Hidden)'!$A$2:$Z$1048576,MATCH($C79,'Restaurant Base (Hidden)'!$C$2:$C$1048576,0),MATCH(R$6,'Restaurant Base (Hidden)'!$A$1:$Z$1,0)),"")</f>
        <v>5</v>
      </c>
      <c r="S79" s="2" t="str">
        <f>+IFERROR(INDEX('Restaurant Base (Hidden)'!$A$2:$Z$1048576,MATCH($C79,'Restaurant Base (Hidden)'!$C$2:$C$1048576,0),MATCH(S$6,'Restaurant Base (Hidden)'!$A$1:$Z$1,0)),"")</f>
        <v/>
      </c>
      <c r="T79" s="62">
        <f>+IFERROR(INDEX('Restaurant Base (Hidden)'!$A$2:$Z$1048576,MATCH($C79,'Restaurant Base (Hidden)'!$C$2:$C$1048576,0),MATCH(T$6,'Restaurant Base (Hidden)'!$A$1:$Z$1,0)),"")</f>
        <v>67.3</v>
      </c>
      <c r="U79" s="1">
        <f>+IFERROR(INDEX('Restaurant Base (Hidden)'!$A$2:$Z$1048576,MATCH($C79,'Restaurant Base (Hidden)'!$C$2:$C$1048576,0),MATCH(U$6,'Restaurant Base (Hidden)'!$A$1:$Z$1,0)),"")</f>
        <v>4</v>
      </c>
      <c r="V79" s="2" t="str">
        <f>+IFERROR(INDEX('Restaurant Base (Hidden)'!$A$2:$Z$1048576,MATCH($C79,'Restaurant Base (Hidden)'!$C$2:$C$1048576,0),MATCH(V$6,'Restaurant Base (Hidden)'!$A$1:$Z$1,0)),"")</f>
        <v/>
      </c>
      <c r="W79" s="65" t="str">
        <f>+IFERROR(INDEX('Restaurant Base (Hidden)'!$A$2:$Z$1048576,MATCH($C79,'Restaurant Base (Hidden)'!$C$2:$C$1048576,0),MATCH(W$6,'Restaurant Base (Hidden)'!$A$1:$Z$1,0)),"")</f>
        <v>55,60 %</v>
      </c>
      <c r="X79" s="1">
        <f>+IFERROR(INDEX('Restaurant Base (Hidden)'!$A$2:$Z$1048576,MATCH($C79,'Restaurant Base (Hidden)'!$C$2:$C$1048576,0),MATCH(X$6,'Restaurant Base (Hidden)'!$A$1:$Z$1,0)),"")</f>
        <v>1</v>
      </c>
      <c r="Y79" s="65" t="str">
        <f>+IFERROR(INDEX('Restaurant Base (Hidden)'!$A$2:$Z$1048576,MATCH($C79,'Restaurant Base (Hidden)'!$C$2:$C$1048576,0),MATCH(Y$6,'Restaurant Base (Hidden)'!$A$1:$Z$1,0)),"")</f>
        <v>77,00 %</v>
      </c>
      <c r="Z79" s="106">
        <f>+IFERROR(INDEX('Restaurant Base (Hidden)'!$A$2:$Z$1048576,MATCH($C79,'Restaurant Base (Hidden)'!$C$2:$C$1048576,0),MATCH(Z$6,'Restaurant Base (Hidden)'!$A$1:$Z$1,0)),"")</f>
        <v>2</v>
      </c>
      <c r="AA79" s="65" t="str">
        <f>+IFERROR(INDEX('Restaurant Base (Hidden)'!$A$2:$Z$1048576,MATCH($C79,'Restaurant Base (Hidden)'!$C$2:$C$1048576,0),MATCH(AA$6,'Restaurant Base (Hidden)'!$A$1:$Z$1,0)),"")</f>
        <v>81,00 %</v>
      </c>
      <c r="AB79" s="1">
        <f>+IFERROR(INDEX('Restaurant Base (Hidden)'!$A$2:$Z$1048576,MATCH($C79,'Restaurant Base (Hidden)'!$C$2:$C$1048576,0),MATCH(AB$6,'Restaurant Base (Hidden)'!$A$1:$Z$1,0)),"")</f>
        <v>2</v>
      </c>
      <c r="AC79" s="20" t="str">
        <f>+IFERROR(INDEX('Restaurant Base (Hidden)'!$A$2:$Z$1048576,MATCH($C79,'Restaurant Base (Hidden)'!$C$2:$C$1048576,0),MATCH(AC$6,'Restaurant Base (Hidden)'!$A$1:$Z$1,0)),"")</f>
        <v/>
      </c>
      <c r="AD79" s="65" t="str">
        <f>+IFERROR(INDEX('Restaurant Base (Hidden)'!$A$2:$Z$1048576,MATCH($C79,'Restaurant Base (Hidden)'!$C$2:$C$1048576,0),MATCH(AD$6,'Restaurant Base (Hidden)'!$A$1:$Z$1,0)),"")</f>
        <v>92,10 %</v>
      </c>
      <c r="AE79" s="1">
        <f>+IFERROR(INDEX('Restaurant Base (Hidden)'!$A$2:$Z$1048576,MATCH($C79,'Restaurant Base (Hidden)'!$C$2:$C$1048576,0),MATCH(AE$6,'Restaurant Base (Hidden)'!$A$1:$Z$1,0)),"")</f>
        <v>4</v>
      </c>
      <c r="AF79" s="65" t="str">
        <f>+IFERROR(INDEX('Restaurant Base (Hidden)'!$A$2:$Z$1048576,MATCH($C79,'Restaurant Base (Hidden)'!$C$2:$C$1048576,0),MATCH(AF$6,'Restaurant Base (Hidden)'!$A$1:$Z$1,0)),"")</f>
        <v>97,10 %</v>
      </c>
      <c r="AG79" s="1">
        <f>+IFERROR(INDEX('Restaurant Base (Hidden)'!$A$2:$Z$1048576,MATCH($C79,'Restaurant Base (Hidden)'!$C$2:$C$1048576,0),MATCH(AG$6,'Restaurant Base (Hidden)'!$A$1:$Z$1,0)),"")</f>
        <v>4</v>
      </c>
    </row>
    <row r="80" spans="1:33" x14ac:dyDescent="0.4">
      <c r="A80" s="163" t="str">
        <f>IF('Restaurant Base (Hidden)'!A282=0,"", 'Restaurant Base (Hidden)'!A282)</f>
        <v>Skyler Everhart</v>
      </c>
      <c r="B80" s="163" t="str">
        <f>IF('Restaurant Base (Hidden)'!B282=0,"", 'Restaurant Base (Hidden)'!B282)</f>
        <v>Northstar Dining Group</v>
      </c>
      <c r="C80" s="163" t="str">
        <f>IF('Restaurant Base (Hidden)'!C282=0,"", 'Restaurant Base (Hidden)'!C282)</f>
        <v>Stone Point</v>
      </c>
      <c r="D80" s="104">
        <f t="shared" si="1"/>
        <v>73</v>
      </c>
      <c r="E80" s="105">
        <f>+IFERROR(INDEX('Restaurant Base (Hidden)'!$A$2:$Z$1048576,MATCH($C80,'Restaurant Base (Hidden)'!$C$2:$C$1048576,0),MATCH(E$6,'Restaurant Base (Hidden)'!$A$1:$Z$1,0)),"")</f>
        <v>3.45</v>
      </c>
      <c r="F80" s="2" t="str">
        <f>+IFERROR(INDEX('Restaurant Base (Hidden)'!$A$2:$Z$1048576,MATCH($C80,'Restaurant Base (Hidden)'!$C$2:$C$1048576,0),MATCH(F$6,'Restaurant Base (Hidden)'!$A$1:$Z$1,0)),"")</f>
        <v/>
      </c>
      <c r="G80" s="20" t="str">
        <f>+IFERROR(INDEX('Restaurant Base (Hidden)'!$A$2:$Z$1048576,MATCH($C80,'Restaurant Base (Hidden)'!$C$2:$C$1048576,0),MATCH(G$6,'Restaurant Base (Hidden)'!$A$1:$Z$1,0)),"")</f>
        <v>4,356</v>
      </c>
      <c r="H80" s="50">
        <f>+IFERROR(INDEX('Restaurant Base (Hidden)'!$A$2:$Z$1048576,MATCH($C80,'Restaurant Base (Hidden)'!$C$2:$C$1048576,0),MATCH(H$6,'Restaurant Base (Hidden)'!$A$1:$Z$1,0)),"")</f>
        <v>4</v>
      </c>
      <c r="I80" s="20" t="str">
        <f>+IFERROR(INDEX('Restaurant Base (Hidden)'!$A$2:$Z$1048576,MATCH($C80,'Restaurant Base (Hidden)'!$C$2:$C$1048576,0),MATCH(I$6,'Restaurant Base (Hidden)'!$A$1:$Z$1,0)),"")</f>
        <v>71,30 %</v>
      </c>
      <c r="J80" s="49">
        <f>+IFERROR(INDEX('Restaurant Base (Hidden)'!$A$2:$Z$1048576,MATCH($C80,'Restaurant Base (Hidden)'!$C$2:$C$1048576,0),MATCH(J$6,'Restaurant Base (Hidden)'!$A$1:$Z$1,0)),"")</f>
        <v>1</v>
      </c>
      <c r="K80" s="20" t="str">
        <f>+IFERROR(INDEX('Restaurant Base (Hidden)'!$A$2:$Z$1048576,MATCH($C80,'Restaurant Base (Hidden)'!$C$2:$C$1048576,0),MATCH(K$6,'Restaurant Base (Hidden)'!$A$1:$Z$1,0)),"")</f>
        <v>0,212</v>
      </c>
      <c r="L80" s="51">
        <f>+IFERROR(INDEX('Restaurant Base (Hidden)'!$A$2:$Z$1048576,MATCH($C80,'Restaurant Base (Hidden)'!$C$2:$C$1048576,0),MATCH(L$6,'Restaurant Base (Hidden)'!$A$1:$Z$1,0)),"")</f>
        <v>1</v>
      </c>
      <c r="M80" s="2" t="str">
        <f>+IFERROR(INDEX('Restaurant Base (Hidden)'!$A$2:$Z$1048576,MATCH($C80,'Restaurant Base (Hidden)'!$C$2:$C$1048576,0),MATCH(M$6,'Restaurant Base (Hidden)'!$A$1:$Z$1,0)),"")</f>
        <v/>
      </c>
      <c r="N80" s="234" t="str">
        <f>+IFERROR(INDEX('Restaurant Base (Hidden)'!$A$2:$Z$1048576,MATCH($C80,'Restaurant Base (Hidden)'!$C$2:$C$1048576,0),MATCH(N$6,'Restaurant Base (Hidden)'!$A$1:$Z$1,0)),"")</f>
        <v>82,50 %</v>
      </c>
      <c r="O80" s="1">
        <f>+IFERROR(INDEX('Restaurant Base (Hidden)'!$A$2:$Z$1048576,MATCH($C80,'Restaurant Base (Hidden)'!$C$2:$C$1048576,0),MATCH(O$6,'Restaurant Base (Hidden)'!$A$1:$Z$1,0)),"")</f>
        <v>5</v>
      </c>
      <c r="P80" s="2" t="str">
        <f>+IFERROR(INDEX('Restaurant Base (Hidden)'!$A$2:$Z$1048576,MATCH($C80,'Restaurant Base (Hidden)'!$C$2:$C$1048576,0),MATCH(P$6,'Restaurant Base (Hidden)'!$A$1:$Z$1,0)),"")</f>
        <v/>
      </c>
      <c r="Q80" s="234" t="str">
        <f>+IFERROR(INDEX('Restaurant Base (Hidden)'!$A$2:$Z$1048576,MATCH($C80,'Restaurant Base (Hidden)'!$C$2:$C$1048576,0),MATCH(Q$6,'Restaurant Base (Hidden)'!$A$1:$Z$1,0)),"")</f>
        <v>84,30 %</v>
      </c>
      <c r="R80" s="1">
        <f>+IFERROR(INDEX('Restaurant Base (Hidden)'!$A$2:$Z$1048576,MATCH($C80,'Restaurant Base (Hidden)'!$C$2:$C$1048576,0),MATCH(R$6,'Restaurant Base (Hidden)'!$A$1:$Z$1,0)),"")</f>
        <v>5</v>
      </c>
      <c r="S80" s="2" t="str">
        <f>+IFERROR(INDEX('Restaurant Base (Hidden)'!$A$2:$Z$1048576,MATCH($C80,'Restaurant Base (Hidden)'!$C$2:$C$1048576,0),MATCH(S$6,'Restaurant Base (Hidden)'!$A$1:$Z$1,0)),"")</f>
        <v/>
      </c>
      <c r="T80" s="62">
        <f>+IFERROR(INDEX('Restaurant Base (Hidden)'!$A$2:$Z$1048576,MATCH($C80,'Restaurant Base (Hidden)'!$C$2:$C$1048576,0),MATCH(T$6,'Restaurant Base (Hidden)'!$A$1:$Z$1,0)),"")</f>
        <v>72.5</v>
      </c>
      <c r="U80" s="1">
        <f>+IFERROR(INDEX('Restaurant Base (Hidden)'!$A$2:$Z$1048576,MATCH($C80,'Restaurant Base (Hidden)'!$C$2:$C$1048576,0),MATCH(U$6,'Restaurant Base (Hidden)'!$A$1:$Z$1,0)),"")</f>
        <v>5</v>
      </c>
      <c r="V80" s="2" t="str">
        <f>+IFERROR(INDEX('Restaurant Base (Hidden)'!$A$2:$Z$1048576,MATCH($C80,'Restaurant Base (Hidden)'!$C$2:$C$1048576,0),MATCH(V$6,'Restaurant Base (Hidden)'!$A$1:$Z$1,0)),"")</f>
        <v/>
      </c>
      <c r="W80" s="65" t="str">
        <f>+IFERROR(INDEX('Restaurant Base (Hidden)'!$A$2:$Z$1048576,MATCH($C80,'Restaurant Base (Hidden)'!$C$2:$C$1048576,0),MATCH(W$6,'Restaurant Base (Hidden)'!$A$1:$Z$1,0)),"")</f>
        <v>63,30 %</v>
      </c>
      <c r="X80" s="1">
        <f>+IFERROR(INDEX('Restaurant Base (Hidden)'!$A$2:$Z$1048576,MATCH($C80,'Restaurant Base (Hidden)'!$C$2:$C$1048576,0),MATCH(X$6,'Restaurant Base (Hidden)'!$A$1:$Z$1,0)),"")</f>
        <v>2</v>
      </c>
      <c r="Y80" s="65" t="str">
        <f>+IFERROR(INDEX('Restaurant Base (Hidden)'!$A$2:$Z$1048576,MATCH($C80,'Restaurant Base (Hidden)'!$C$2:$C$1048576,0),MATCH(Y$6,'Restaurant Base (Hidden)'!$A$1:$Z$1,0)),"")</f>
        <v>94,90 %</v>
      </c>
      <c r="Z80" s="106">
        <f>+IFERROR(INDEX('Restaurant Base (Hidden)'!$A$2:$Z$1048576,MATCH($C80,'Restaurant Base (Hidden)'!$C$2:$C$1048576,0),MATCH(Z$6,'Restaurant Base (Hidden)'!$A$1:$Z$1,0)),"")</f>
        <v>4</v>
      </c>
      <c r="AA80" s="65" t="str">
        <f>+IFERROR(INDEX('Restaurant Base (Hidden)'!$A$2:$Z$1048576,MATCH($C80,'Restaurant Base (Hidden)'!$C$2:$C$1048576,0),MATCH(AA$6,'Restaurant Base (Hidden)'!$A$1:$Z$1,0)),"")</f>
        <v>70,90 %</v>
      </c>
      <c r="AB80" s="1">
        <f>+IFERROR(INDEX('Restaurant Base (Hidden)'!$A$2:$Z$1048576,MATCH($C80,'Restaurant Base (Hidden)'!$C$2:$C$1048576,0),MATCH(AB$6,'Restaurant Base (Hidden)'!$A$1:$Z$1,0)),"")</f>
        <v>2</v>
      </c>
      <c r="AC80" s="20" t="str">
        <f>+IFERROR(INDEX('Restaurant Base (Hidden)'!$A$2:$Z$1048576,MATCH($C80,'Restaurant Base (Hidden)'!$C$2:$C$1048576,0),MATCH(AC$6,'Restaurant Base (Hidden)'!$A$1:$Z$1,0)),"")</f>
        <v/>
      </c>
      <c r="AD80" s="65" t="str">
        <f>+IFERROR(INDEX('Restaurant Base (Hidden)'!$A$2:$Z$1048576,MATCH($C80,'Restaurant Base (Hidden)'!$C$2:$C$1048576,0),MATCH(AD$6,'Restaurant Base (Hidden)'!$A$1:$Z$1,0)),"")</f>
        <v>77,30 %</v>
      </c>
      <c r="AE80" s="1">
        <f>+IFERROR(INDEX('Restaurant Base (Hidden)'!$A$2:$Z$1048576,MATCH($C80,'Restaurant Base (Hidden)'!$C$2:$C$1048576,0),MATCH(AE$6,'Restaurant Base (Hidden)'!$A$1:$Z$1,0)),"")</f>
        <v>2</v>
      </c>
      <c r="AF80" s="65" t="str">
        <f>+IFERROR(INDEX('Restaurant Base (Hidden)'!$A$2:$Z$1048576,MATCH($C80,'Restaurant Base (Hidden)'!$C$2:$C$1048576,0),MATCH(AF$6,'Restaurant Base (Hidden)'!$A$1:$Z$1,0)),"")</f>
        <v>93,70 %</v>
      </c>
      <c r="AG80" s="1">
        <f>+IFERROR(INDEX('Restaurant Base (Hidden)'!$A$2:$Z$1048576,MATCH($C80,'Restaurant Base (Hidden)'!$C$2:$C$1048576,0),MATCH(AG$6,'Restaurant Base (Hidden)'!$A$1:$Z$1,0)),"")</f>
        <v>4</v>
      </c>
    </row>
    <row r="81" spans="1:33" x14ac:dyDescent="0.4">
      <c r="A81" s="163" t="str">
        <f>IF('Restaurant Base (Hidden)'!A16=0,"", 'Restaurant Base (Hidden)'!A16)</f>
        <v>Parker Sterling</v>
      </c>
      <c r="B81" s="163" t="str">
        <f>IF('Restaurant Base (Hidden)'!B16=0,"", 'Restaurant Base (Hidden)'!B16)</f>
        <v>Redwood Food Partners</v>
      </c>
      <c r="C81" s="163" t="str">
        <f>IF('Restaurant Base (Hidden)'!C16=0,"", 'Restaurant Base (Hidden)'!C16)</f>
        <v>Woodland Heights</v>
      </c>
      <c r="D81" s="104">
        <f t="shared" si="1"/>
        <v>75</v>
      </c>
      <c r="E81" s="105">
        <f>+IFERROR(INDEX('Restaurant Base (Hidden)'!$A$2:$Z$1048576,MATCH($C81,'Restaurant Base (Hidden)'!$C$2:$C$1048576,0),MATCH(E$6,'Restaurant Base (Hidden)'!$A$1:$Z$1,0)),"")</f>
        <v>3.44</v>
      </c>
      <c r="F81" s="64" t="str">
        <f>+IFERROR(INDEX('Restaurant Base (Hidden)'!$A$2:$Z$1048576,MATCH($C81,'Restaurant Base (Hidden)'!$C$2:$C$1048576,0),MATCH(F$6,'Restaurant Base (Hidden)'!$A$1:$Z$1,0)),"")</f>
        <v/>
      </c>
      <c r="G81" s="20" t="str">
        <f>+IFERROR(INDEX('Restaurant Base (Hidden)'!$A$2:$Z$1048576,MATCH($C81,'Restaurant Base (Hidden)'!$C$2:$C$1048576,0),MATCH(G$6,'Restaurant Base (Hidden)'!$A$1:$Z$1,0)),"")</f>
        <v>4,443</v>
      </c>
      <c r="H81" s="50">
        <f>+IFERROR(INDEX('Restaurant Base (Hidden)'!$A$2:$Z$1048576,MATCH($C81,'Restaurant Base (Hidden)'!$C$2:$C$1048576,0),MATCH(H$6,'Restaurant Base (Hidden)'!$A$1:$Z$1,0)),"")</f>
        <v>4</v>
      </c>
      <c r="I81" s="20" t="str">
        <f>+IFERROR(INDEX('Restaurant Base (Hidden)'!$A$2:$Z$1048576,MATCH($C81,'Restaurant Base (Hidden)'!$C$2:$C$1048576,0),MATCH(I$6,'Restaurant Base (Hidden)'!$A$1:$Z$1,0)),"")</f>
        <v>97,30 %</v>
      </c>
      <c r="J81" s="49">
        <f>+IFERROR(INDEX('Restaurant Base (Hidden)'!$A$2:$Z$1048576,MATCH($C81,'Restaurant Base (Hidden)'!$C$2:$C$1048576,0),MATCH(J$6,'Restaurant Base (Hidden)'!$A$1:$Z$1,0)),"")</f>
        <v>5</v>
      </c>
      <c r="K81" s="20" t="str">
        <f>+IFERROR(INDEX('Restaurant Base (Hidden)'!$A$2:$Z$1048576,MATCH($C81,'Restaurant Base (Hidden)'!$C$2:$C$1048576,0),MATCH(K$6,'Restaurant Base (Hidden)'!$A$1:$Z$1,0)),"")</f>
        <v>0,138</v>
      </c>
      <c r="L81" s="51">
        <f>+IFERROR(INDEX('Restaurant Base (Hidden)'!$A$2:$Z$1048576,MATCH($C81,'Restaurant Base (Hidden)'!$C$2:$C$1048576,0),MATCH(L$6,'Restaurant Base (Hidden)'!$A$1:$Z$1,0)),"")</f>
        <v>2</v>
      </c>
      <c r="M81" s="2" t="str">
        <f>+IFERROR(INDEX('Restaurant Base (Hidden)'!$A$2:$Z$1048576,MATCH($C81,'Restaurant Base (Hidden)'!$C$2:$C$1048576,0),MATCH(M$6,'Restaurant Base (Hidden)'!$A$1:$Z$1,0)),"")</f>
        <v/>
      </c>
      <c r="N81" s="234" t="str">
        <f>+IFERROR(INDEX('Restaurant Base (Hidden)'!$A$2:$Z$1048576,MATCH($C81,'Restaurant Base (Hidden)'!$C$2:$C$1048576,0),MATCH(N$6,'Restaurant Base (Hidden)'!$A$1:$Z$1,0)),"")</f>
        <v>94,00 %</v>
      </c>
      <c r="O81" s="1">
        <f>+IFERROR(INDEX('Restaurant Base (Hidden)'!$A$2:$Z$1048576,MATCH($C81,'Restaurant Base (Hidden)'!$C$2:$C$1048576,0),MATCH(O$6,'Restaurant Base (Hidden)'!$A$1:$Z$1,0)),"")</f>
        <v>5</v>
      </c>
      <c r="P81" s="2" t="str">
        <f>+IFERROR(INDEX('Restaurant Base (Hidden)'!$A$2:$Z$1048576,MATCH($C81,'Restaurant Base (Hidden)'!$C$2:$C$1048576,0),MATCH(P$6,'Restaurant Base (Hidden)'!$A$1:$Z$1,0)),"")</f>
        <v/>
      </c>
      <c r="Q81" s="234" t="str">
        <f>+IFERROR(INDEX('Restaurant Base (Hidden)'!$A$2:$Z$1048576,MATCH($C81,'Restaurant Base (Hidden)'!$C$2:$C$1048576,0),MATCH(Q$6,'Restaurant Base (Hidden)'!$A$1:$Z$1,0)),"")</f>
        <v>92,20 %</v>
      </c>
      <c r="R81" s="1">
        <f>+IFERROR(INDEX('Restaurant Base (Hidden)'!$A$2:$Z$1048576,MATCH($C81,'Restaurant Base (Hidden)'!$C$2:$C$1048576,0),MATCH(R$6,'Restaurant Base (Hidden)'!$A$1:$Z$1,0)),"")</f>
        <v>5</v>
      </c>
      <c r="S81" s="2" t="str">
        <f>+IFERROR(INDEX('Restaurant Base (Hidden)'!$A$2:$Z$1048576,MATCH($C81,'Restaurant Base (Hidden)'!$C$2:$C$1048576,0),MATCH(S$6,'Restaurant Base (Hidden)'!$A$1:$Z$1,0)),"")</f>
        <v/>
      </c>
      <c r="T81" s="62">
        <f>+IFERROR(INDEX('Restaurant Base (Hidden)'!$A$2:$Z$1048576,MATCH($C81,'Restaurant Base (Hidden)'!$C$2:$C$1048576,0),MATCH(T$6,'Restaurant Base (Hidden)'!$A$1:$Z$1,0)),"")</f>
        <v>72.099999999999994</v>
      </c>
      <c r="U81" s="1">
        <f>+IFERROR(INDEX('Restaurant Base (Hidden)'!$A$2:$Z$1048576,MATCH($C81,'Restaurant Base (Hidden)'!$C$2:$C$1048576,0),MATCH(U$6,'Restaurant Base (Hidden)'!$A$1:$Z$1,0)),"")</f>
        <v>5</v>
      </c>
      <c r="V81" s="2" t="str">
        <f>+IFERROR(INDEX('Restaurant Base (Hidden)'!$A$2:$Z$1048576,MATCH($C81,'Restaurant Base (Hidden)'!$C$2:$C$1048576,0),MATCH(V$6,'Restaurant Base (Hidden)'!$A$1:$Z$1,0)),"")</f>
        <v/>
      </c>
      <c r="W81" s="65" t="str">
        <f>+IFERROR(INDEX('Restaurant Base (Hidden)'!$A$2:$Z$1048576,MATCH($C81,'Restaurant Base (Hidden)'!$C$2:$C$1048576,0),MATCH(W$6,'Restaurant Base (Hidden)'!$A$1:$Z$1,0)),"")</f>
        <v>58,00 %</v>
      </c>
      <c r="X81" s="1">
        <f>+IFERROR(INDEX('Restaurant Base (Hidden)'!$A$2:$Z$1048576,MATCH($C81,'Restaurant Base (Hidden)'!$C$2:$C$1048576,0),MATCH(X$6,'Restaurant Base (Hidden)'!$A$1:$Z$1,0)),"")</f>
        <v>1</v>
      </c>
      <c r="Y81" s="65" t="str">
        <f>+IFERROR(INDEX('Restaurant Base (Hidden)'!$A$2:$Z$1048576,MATCH($C81,'Restaurant Base (Hidden)'!$C$2:$C$1048576,0),MATCH(Y$6,'Restaurant Base (Hidden)'!$A$1:$Z$1,0)),"")</f>
        <v>93,10 %</v>
      </c>
      <c r="Z81" s="106">
        <f>+IFERROR(INDEX('Restaurant Base (Hidden)'!$A$2:$Z$1048576,MATCH($C81,'Restaurant Base (Hidden)'!$C$2:$C$1048576,0),MATCH(Z$6,'Restaurant Base (Hidden)'!$A$1:$Z$1,0)),"")</f>
        <v>3</v>
      </c>
      <c r="AA81" s="65" t="str">
        <f>+IFERROR(INDEX('Restaurant Base (Hidden)'!$A$2:$Z$1048576,MATCH($C81,'Restaurant Base (Hidden)'!$C$2:$C$1048576,0),MATCH(AA$6,'Restaurant Base (Hidden)'!$A$1:$Z$1,0)),"")</f>
        <v>59,50 %</v>
      </c>
      <c r="AB81" s="1">
        <f>+IFERROR(INDEX('Restaurant Base (Hidden)'!$A$2:$Z$1048576,MATCH($C81,'Restaurant Base (Hidden)'!$C$2:$C$1048576,0),MATCH(AB$6,'Restaurant Base (Hidden)'!$A$1:$Z$1,0)),"")</f>
        <v>1</v>
      </c>
      <c r="AC81" s="20" t="str">
        <f>+IFERROR(INDEX('Restaurant Base (Hidden)'!$A$2:$Z$1048576,MATCH($C81,'Restaurant Base (Hidden)'!$C$2:$C$1048576,0),MATCH(AC$6,'Restaurant Base (Hidden)'!$A$1:$Z$1,0)),"")</f>
        <v/>
      </c>
      <c r="AD81" s="65" t="str">
        <f>+IFERROR(INDEX('Restaurant Base (Hidden)'!$A$2:$Z$1048576,MATCH($C81,'Restaurant Base (Hidden)'!$C$2:$C$1048576,0),MATCH(AD$6,'Restaurant Base (Hidden)'!$A$1:$Z$1,0)),"")</f>
        <v>61,80 %</v>
      </c>
      <c r="AE81" s="1">
        <f>+IFERROR(INDEX('Restaurant Base (Hidden)'!$A$2:$Z$1048576,MATCH($C81,'Restaurant Base (Hidden)'!$C$2:$C$1048576,0),MATCH(AE$6,'Restaurant Base (Hidden)'!$A$1:$Z$1,0)),"")</f>
        <v>1</v>
      </c>
      <c r="AF81" s="65" t="str">
        <f>+IFERROR(INDEX('Restaurant Base (Hidden)'!$A$2:$Z$1048576,MATCH($C81,'Restaurant Base (Hidden)'!$C$2:$C$1048576,0),MATCH(AF$6,'Restaurant Base (Hidden)'!$A$1:$Z$1,0)),"")</f>
        <v>63,00 %</v>
      </c>
      <c r="AG81" s="1">
        <f>+IFERROR(INDEX('Restaurant Base (Hidden)'!$A$2:$Z$1048576,MATCH($C81,'Restaurant Base (Hidden)'!$C$2:$C$1048576,0),MATCH(AG$6,'Restaurant Base (Hidden)'!$A$1:$Z$1,0)),"")</f>
        <v>1</v>
      </c>
    </row>
    <row r="82" spans="1:33" x14ac:dyDescent="0.4">
      <c r="A82" s="163" t="str">
        <f>IF('Restaurant Base (Hidden)'!A99=0,"", 'Restaurant Base (Hidden)'!A99)</f>
        <v>Jordan Oakley</v>
      </c>
      <c r="B82" s="163" t="str">
        <f>IF('Restaurant Base (Hidden)'!B99=0,"", 'Restaurant Base (Hidden)'!B99)</f>
        <v>Fairmont Food Group</v>
      </c>
      <c r="C82" s="163" t="str">
        <f>IF('Restaurant Base (Hidden)'!C99=0,"", 'Restaurant Base (Hidden)'!C99)</f>
        <v>Westwood Place</v>
      </c>
      <c r="D82" s="104">
        <f t="shared" si="1"/>
        <v>75</v>
      </c>
      <c r="E82" s="105">
        <f>+IFERROR(INDEX('Restaurant Base (Hidden)'!$A$2:$Z$1048576,MATCH($C82,'Restaurant Base (Hidden)'!$C$2:$C$1048576,0),MATCH(E$6,'Restaurant Base (Hidden)'!$A$1:$Z$1,0)),"")</f>
        <v>3.44</v>
      </c>
      <c r="F82" s="2" t="str">
        <f>+IFERROR(INDEX('Restaurant Base (Hidden)'!$A$2:$Z$1048576,MATCH($C82,'Restaurant Base (Hidden)'!$C$2:$C$1048576,0),MATCH(F$6,'Restaurant Base (Hidden)'!$A$1:$Z$1,0)),"")</f>
        <v/>
      </c>
      <c r="G82" s="20" t="str">
        <f>+IFERROR(INDEX('Restaurant Base (Hidden)'!$A$2:$Z$1048576,MATCH($C82,'Restaurant Base (Hidden)'!$C$2:$C$1048576,0),MATCH(G$6,'Restaurant Base (Hidden)'!$A$1:$Z$1,0)),"")</f>
        <v>4,495</v>
      </c>
      <c r="H82" s="50">
        <f>+IFERROR(INDEX('Restaurant Base (Hidden)'!$A$2:$Z$1048576,MATCH($C82,'Restaurant Base (Hidden)'!$C$2:$C$1048576,0),MATCH(H$6,'Restaurant Base (Hidden)'!$A$1:$Z$1,0)),"")</f>
        <v>4</v>
      </c>
      <c r="I82" s="20" t="str">
        <f>+IFERROR(INDEX('Restaurant Base (Hidden)'!$A$2:$Z$1048576,MATCH($C82,'Restaurant Base (Hidden)'!$C$2:$C$1048576,0),MATCH(I$6,'Restaurant Base (Hidden)'!$A$1:$Z$1,0)),"")</f>
        <v>56,10 %</v>
      </c>
      <c r="J82" s="49">
        <f>+IFERROR(INDEX('Restaurant Base (Hidden)'!$A$2:$Z$1048576,MATCH($C82,'Restaurant Base (Hidden)'!$C$2:$C$1048576,0),MATCH(J$6,'Restaurant Base (Hidden)'!$A$1:$Z$1,0)),"")</f>
        <v>1</v>
      </c>
      <c r="K82" s="20" t="str">
        <f>+IFERROR(INDEX('Restaurant Base (Hidden)'!$A$2:$Z$1048576,MATCH($C82,'Restaurant Base (Hidden)'!$C$2:$C$1048576,0),MATCH(K$6,'Restaurant Base (Hidden)'!$A$1:$Z$1,0)),"")</f>
        <v>0,113</v>
      </c>
      <c r="L82" s="51">
        <f>+IFERROR(INDEX('Restaurant Base (Hidden)'!$A$2:$Z$1048576,MATCH($C82,'Restaurant Base (Hidden)'!$C$2:$C$1048576,0),MATCH(L$6,'Restaurant Base (Hidden)'!$A$1:$Z$1,0)),"")</f>
        <v>3</v>
      </c>
      <c r="M82" s="2" t="str">
        <f>+IFERROR(INDEX('Restaurant Base (Hidden)'!$A$2:$Z$1048576,MATCH($C82,'Restaurant Base (Hidden)'!$C$2:$C$1048576,0),MATCH(M$6,'Restaurant Base (Hidden)'!$A$1:$Z$1,0)),"")</f>
        <v/>
      </c>
      <c r="N82" s="234" t="str">
        <f>+IFERROR(INDEX('Restaurant Base (Hidden)'!$A$2:$Z$1048576,MATCH($C82,'Restaurant Base (Hidden)'!$C$2:$C$1048576,0),MATCH(N$6,'Restaurant Base (Hidden)'!$A$1:$Z$1,0)),"")</f>
        <v>99,10 %</v>
      </c>
      <c r="O82" s="1">
        <f>+IFERROR(INDEX('Restaurant Base (Hidden)'!$A$2:$Z$1048576,MATCH($C82,'Restaurant Base (Hidden)'!$C$2:$C$1048576,0),MATCH(O$6,'Restaurant Base (Hidden)'!$A$1:$Z$1,0)),"")</f>
        <v>5</v>
      </c>
      <c r="P82" s="2" t="str">
        <f>+IFERROR(INDEX('Restaurant Base (Hidden)'!$A$2:$Z$1048576,MATCH($C82,'Restaurant Base (Hidden)'!$C$2:$C$1048576,0),MATCH(P$6,'Restaurant Base (Hidden)'!$A$1:$Z$1,0)),"")</f>
        <v/>
      </c>
      <c r="Q82" s="234" t="str">
        <f>+IFERROR(INDEX('Restaurant Base (Hidden)'!$A$2:$Z$1048576,MATCH($C82,'Restaurant Base (Hidden)'!$C$2:$C$1048576,0),MATCH(Q$6,'Restaurant Base (Hidden)'!$A$1:$Z$1,0)),"")</f>
        <v>99,30 %</v>
      </c>
      <c r="R82" s="1">
        <f>+IFERROR(INDEX('Restaurant Base (Hidden)'!$A$2:$Z$1048576,MATCH($C82,'Restaurant Base (Hidden)'!$C$2:$C$1048576,0),MATCH(R$6,'Restaurant Base (Hidden)'!$A$1:$Z$1,0)),"")</f>
        <v>5</v>
      </c>
      <c r="S82" s="2" t="str">
        <f>+IFERROR(INDEX('Restaurant Base (Hidden)'!$A$2:$Z$1048576,MATCH($C82,'Restaurant Base (Hidden)'!$C$2:$C$1048576,0),MATCH(S$6,'Restaurant Base (Hidden)'!$A$1:$Z$1,0)),"")</f>
        <v/>
      </c>
      <c r="T82" s="62">
        <f>+IFERROR(INDEX('Restaurant Base (Hidden)'!$A$2:$Z$1048576,MATCH($C82,'Restaurant Base (Hidden)'!$C$2:$C$1048576,0),MATCH(T$6,'Restaurant Base (Hidden)'!$A$1:$Z$1,0)),"")</f>
        <v>67.400000000000006</v>
      </c>
      <c r="U82" s="1">
        <f>+IFERROR(INDEX('Restaurant Base (Hidden)'!$A$2:$Z$1048576,MATCH($C82,'Restaurant Base (Hidden)'!$C$2:$C$1048576,0),MATCH(U$6,'Restaurant Base (Hidden)'!$A$1:$Z$1,0)),"")</f>
        <v>4</v>
      </c>
      <c r="V82" s="2" t="str">
        <f>+IFERROR(INDEX('Restaurant Base (Hidden)'!$A$2:$Z$1048576,MATCH($C82,'Restaurant Base (Hidden)'!$C$2:$C$1048576,0),MATCH(V$6,'Restaurant Base (Hidden)'!$A$1:$Z$1,0)),"")</f>
        <v/>
      </c>
      <c r="W82" s="65" t="str">
        <f>+IFERROR(INDEX('Restaurant Base (Hidden)'!$A$2:$Z$1048576,MATCH($C82,'Restaurant Base (Hidden)'!$C$2:$C$1048576,0),MATCH(W$6,'Restaurant Base (Hidden)'!$A$1:$Z$1,0)),"")</f>
        <v>64,20 %</v>
      </c>
      <c r="X82" s="1">
        <f>+IFERROR(INDEX('Restaurant Base (Hidden)'!$A$2:$Z$1048576,MATCH($C82,'Restaurant Base (Hidden)'!$C$2:$C$1048576,0),MATCH(X$6,'Restaurant Base (Hidden)'!$A$1:$Z$1,0)),"")</f>
        <v>2</v>
      </c>
      <c r="Y82" s="65" t="str">
        <f>+IFERROR(INDEX('Restaurant Base (Hidden)'!$A$2:$Z$1048576,MATCH($C82,'Restaurant Base (Hidden)'!$C$2:$C$1048576,0),MATCH(Y$6,'Restaurant Base (Hidden)'!$A$1:$Z$1,0)),"")</f>
        <v>72,40 %</v>
      </c>
      <c r="Z82" s="106">
        <f>+IFERROR(INDEX('Restaurant Base (Hidden)'!$A$2:$Z$1048576,MATCH($C82,'Restaurant Base (Hidden)'!$C$2:$C$1048576,0),MATCH(Z$6,'Restaurant Base (Hidden)'!$A$1:$Z$1,0)),"")</f>
        <v>2</v>
      </c>
      <c r="AA82" s="65" t="str">
        <f>+IFERROR(INDEX('Restaurant Base (Hidden)'!$A$2:$Z$1048576,MATCH($C82,'Restaurant Base (Hidden)'!$C$2:$C$1048576,0),MATCH(AA$6,'Restaurant Base (Hidden)'!$A$1:$Z$1,0)),"")</f>
        <v>72,10 %</v>
      </c>
      <c r="AB82" s="1">
        <f>+IFERROR(INDEX('Restaurant Base (Hidden)'!$A$2:$Z$1048576,MATCH($C82,'Restaurant Base (Hidden)'!$C$2:$C$1048576,0),MATCH(AB$6,'Restaurant Base (Hidden)'!$A$1:$Z$1,0)),"")</f>
        <v>2</v>
      </c>
      <c r="AC82" s="20" t="str">
        <f>+IFERROR(INDEX('Restaurant Base (Hidden)'!$A$2:$Z$1048576,MATCH($C82,'Restaurant Base (Hidden)'!$C$2:$C$1048576,0),MATCH(AC$6,'Restaurant Base (Hidden)'!$A$1:$Z$1,0)),"")</f>
        <v/>
      </c>
      <c r="AD82" s="65" t="str">
        <f>+IFERROR(INDEX('Restaurant Base (Hidden)'!$A$2:$Z$1048576,MATCH($C82,'Restaurant Base (Hidden)'!$C$2:$C$1048576,0),MATCH(AD$6,'Restaurant Base (Hidden)'!$A$1:$Z$1,0)),"")</f>
        <v>91,60 %</v>
      </c>
      <c r="AE82" s="1">
        <f>+IFERROR(INDEX('Restaurant Base (Hidden)'!$A$2:$Z$1048576,MATCH($C82,'Restaurant Base (Hidden)'!$C$2:$C$1048576,0),MATCH(AE$6,'Restaurant Base (Hidden)'!$A$1:$Z$1,0)),"")</f>
        <v>4</v>
      </c>
      <c r="AF82" s="65" t="str">
        <f>+IFERROR(INDEX('Restaurant Base (Hidden)'!$A$2:$Z$1048576,MATCH($C82,'Restaurant Base (Hidden)'!$C$2:$C$1048576,0),MATCH(AF$6,'Restaurant Base (Hidden)'!$A$1:$Z$1,0)),"")</f>
        <v>84,60 %</v>
      </c>
      <c r="AG82" s="1">
        <f>+IFERROR(INDEX('Restaurant Base (Hidden)'!$A$2:$Z$1048576,MATCH($C82,'Restaurant Base (Hidden)'!$C$2:$C$1048576,0),MATCH(AG$6,'Restaurant Base (Hidden)'!$A$1:$Z$1,0)),"")</f>
        <v>3</v>
      </c>
    </row>
    <row r="83" spans="1:33" x14ac:dyDescent="0.4">
      <c r="A83" s="163" t="str">
        <f>IF('Restaurant Base (Hidden)'!A334=0,"", 'Restaurant Base (Hidden)'!A334)</f>
        <v>Morgan Rivington</v>
      </c>
      <c r="B83" s="163" t="str">
        <f>IF('Restaurant Base (Hidden)'!B334=0,"", 'Restaurant Base (Hidden)'!B334)</f>
        <v>Stonebridge Restaurant Co</v>
      </c>
      <c r="C83" s="163" t="str">
        <f>IF('Restaurant Base (Hidden)'!C334=0,"", 'Restaurant Base (Hidden)'!C334)</f>
        <v>Parkside Heath</v>
      </c>
      <c r="D83" s="104">
        <f t="shared" si="1"/>
        <v>75</v>
      </c>
      <c r="E83" s="105">
        <f>+IFERROR(INDEX('Restaurant Base (Hidden)'!$A$2:$Z$1048576,MATCH($C83,'Restaurant Base (Hidden)'!$C$2:$C$1048576,0),MATCH(E$6,'Restaurant Base (Hidden)'!$A$1:$Z$1,0)),"")</f>
        <v>3.44</v>
      </c>
      <c r="F83" s="2" t="str">
        <f>+IFERROR(INDEX('Restaurant Base (Hidden)'!$A$2:$Z$1048576,MATCH($C83,'Restaurant Base (Hidden)'!$C$2:$C$1048576,0),MATCH(F$6,'Restaurant Base (Hidden)'!$A$1:$Z$1,0)),"")</f>
        <v/>
      </c>
      <c r="G83" s="20" t="str">
        <f>+IFERROR(INDEX('Restaurant Base (Hidden)'!$A$2:$Z$1048576,MATCH($C83,'Restaurant Base (Hidden)'!$C$2:$C$1048576,0),MATCH(G$6,'Restaurant Base (Hidden)'!$A$1:$Z$1,0)),"")</f>
        <v>4,803</v>
      </c>
      <c r="H83" s="50">
        <f>+IFERROR(INDEX('Restaurant Base (Hidden)'!$A$2:$Z$1048576,MATCH($C83,'Restaurant Base (Hidden)'!$C$2:$C$1048576,0),MATCH(H$6,'Restaurant Base (Hidden)'!$A$1:$Z$1,0)),"")</f>
        <v>5</v>
      </c>
      <c r="I83" s="20" t="str">
        <f>+IFERROR(INDEX('Restaurant Base (Hidden)'!$A$2:$Z$1048576,MATCH($C83,'Restaurant Base (Hidden)'!$C$2:$C$1048576,0),MATCH(I$6,'Restaurant Base (Hidden)'!$A$1:$Z$1,0)),"")</f>
        <v>95,10 %</v>
      </c>
      <c r="J83" s="49">
        <f>+IFERROR(INDEX('Restaurant Base (Hidden)'!$A$2:$Z$1048576,MATCH($C83,'Restaurant Base (Hidden)'!$C$2:$C$1048576,0),MATCH(J$6,'Restaurant Base (Hidden)'!$A$1:$Z$1,0)),"")</f>
        <v>5</v>
      </c>
      <c r="K83" s="20" t="str">
        <f>+IFERROR(INDEX('Restaurant Base (Hidden)'!$A$2:$Z$1048576,MATCH($C83,'Restaurant Base (Hidden)'!$C$2:$C$1048576,0),MATCH(K$6,'Restaurant Base (Hidden)'!$A$1:$Z$1,0)),"")</f>
        <v>0,153</v>
      </c>
      <c r="L83" s="51">
        <f>+IFERROR(INDEX('Restaurant Base (Hidden)'!$A$2:$Z$1048576,MATCH($C83,'Restaurant Base (Hidden)'!$C$2:$C$1048576,0),MATCH(L$6,'Restaurant Base (Hidden)'!$A$1:$Z$1,0)),"")</f>
        <v>2</v>
      </c>
      <c r="M83" s="2" t="str">
        <f>+IFERROR(INDEX('Restaurant Base (Hidden)'!$A$2:$Z$1048576,MATCH($C83,'Restaurant Base (Hidden)'!$C$2:$C$1048576,0),MATCH(M$6,'Restaurant Base (Hidden)'!$A$1:$Z$1,0)),"")</f>
        <v/>
      </c>
      <c r="N83" s="234" t="str">
        <f>+IFERROR(INDEX('Restaurant Base (Hidden)'!$A$2:$Z$1048576,MATCH($C83,'Restaurant Base (Hidden)'!$C$2:$C$1048576,0),MATCH(N$6,'Restaurant Base (Hidden)'!$A$1:$Z$1,0)),"")</f>
        <v>61,80 %</v>
      </c>
      <c r="O83" s="1">
        <f>+IFERROR(INDEX('Restaurant Base (Hidden)'!$A$2:$Z$1048576,MATCH($C83,'Restaurant Base (Hidden)'!$C$2:$C$1048576,0),MATCH(O$6,'Restaurant Base (Hidden)'!$A$1:$Z$1,0)),"")</f>
        <v>2</v>
      </c>
      <c r="P83" s="2" t="str">
        <f>+IFERROR(INDEX('Restaurant Base (Hidden)'!$A$2:$Z$1048576,MATCH($C83,'Restaurant Base (Hidden)'!$C$2:$C$1048576,0),MATCH(P$6,'Restaurant Base (Hidden)'!$A$1:$Z$1,0)),"")</f>
        <v/>
      </c>
      <c r="Q83" s="234" t="str">
        <f>+IFERROR(INDEX('Restaurant Base (Hidden)'!$A$2:$Z$1048576,MATCH($C83,'Restaurant Base (Hidden)'!$C$2:$C$1048576,0),MATCH(Q$6,'Restaurant Base (Hidden)'!$A$1:$Z$1,0)),"")</f>
        <v>77,40 %</v>
      </c>
      <c r="R83" s="1">
        <f>+IFERROR(INDEX('Restaurant Base (Hidden)'!$A$2:$Z$1048576,MATCH($C83,'Restaurant Base (Hidden)'!$C$2:$C$1048576,0),MATCH(R$6,'Restaurant Base (Hidden)'!$A$1:$Z$1,0)),"")</f>
        <v>5</v>
      </c>
      <c r="S83" s="2" t="str">
        <f>+IFERROR(INDEX('Restaurant Base (Hidden)'!$A$2:$Z$1048576,MATCH($C83,'Restaurant Base (Hidden)'!$C$2:$C$1048576,0),MATCH(S$6,'Restaurant Base (Hidden)'!$A$1:$Z$1,0)),"")</f>
        <v/>
      </c>
      <c r="T83" s="62">
        <f>+IFERROR(INDEX('Restaurant Base (Hidden)'!$A$2:$Z$1048576,MATCH($C83,'Restaurant Base (Hidden)'!$C$2:$C$1048576,0),MATCH(T$6,'Restaurant Base (Hidden)'!$A$1:$Z$1,0)),"")</f>
        <v>76.599999999999994</v>
      </c>
      <c r="U83" s="1">
        <f>+IFERROR(INDEX('Restaurant Base (Hidden)'!$A$2:$Z$1048576,MATCH($C83,'Restaurant Base (Hidden)'!$C$2:$C$1048576,0),MATCH(U$6,'Restaurant Base (Hidden)'!$A$1:$Z$1,0)),"")</f>
        <v>5</v>
      </c>
      <c r="V83" s="2" t="str">
        <f>+IFERROR(INDEX('Restaurant Base (Hidden)'!$A$2:$Z$1048576,MATCH($C83,'Restaurant Base (Hidden)'!$C$2:$C$1048576,0),MATCH(V$6,'Restaurant Base (Hidden)'!$A$1:$Z$1,0)),"")</f>
        <v/>
      </c>
      <c r="W83" s="65" t="str">
        <f>+IFERROR(INDEX('Restaurant Base (Hidden)'!$A$2:$Z$1048576,MATCH($C83,'Restaurant Base (Hidden)'!$C$2:$C$1048576,0),MATCH(W$6,'Restaurant Base (Hidden)'!$A$1:$Z$1,0)),"")</f>
        <v>86,20 %</v>
      </c>
      <c r="X83" s="1">
        <f>+IFERROR(INDEX('Restaurant Base (Hidden)'!$A$2:$Z$1048576,MATCH($C83,'Restaurant Base (Hidden)'!$C$2:$C$1048576,0),MATCH(X$6,'Restaurant Base (Hidden)'!$A$1:$Z$1,0)),"")</f>
        <v>3</v>
      </c>
      <c r="Y83" s="65" t="str">
        <f>+IFERROR(INDEX('Restaurant Base (Hidden)'!$A$2:$Z$1048576,MATCH($C83,'Restaurant Base (Hidden)'!$C$2:$C$1048576,0),MATCH(Y$6,'Restaurant Base (Hidden)'!$A$1:$Z$1,0)),"")</f>
        <v>89,00 %</v>
      </c>
      <c r="Z83" s="106">
        <f>+IFERROR(INDEX('Restaurant Base (Hidden)'!$A$2:$Z$1048576,MATCH($C83,'Restaurant Base (Hidden)'!$C$2:$C$1048576,0),MATCH(Z$6,'Restaurant Base (Hidden)'!$A$1:$Z$1,0)),"")</f>
        <v>3</v>
      </c>
      <c r="AA83" s="65" t="str">
        <f>+IFERROR(INDEX('Restaurant Base (Hidden)'!$A$2:$Z$1048576,MATCH($C83,'Restaurant Base (Hidden)'!$C$2:$C$1048576,0),MATCH(AA$6,'Restaurant Base (Hidden)'!$A$1:$Z$1,0)),"")</f>
        <v>84,00 %</v>
      </c>
      <c r="AB83" s="1">
        <f>+IFERROR(INDEX('Restaurant Base (Hidden)'!$A$2:$Z$1048576,MATCH($C83,'Restaurant Base (Hidden)'!$C$2:$C$1048576,0),MATCH(AB$6,'Restaurant Base (Hidden)'!$A$1:$Z$1,0)),"")</f>
        <v>2</v>
      </c>
      <c r="AC83" s="20" t="str">
        <f>+IFERROR(INDEX('Restaurant Base (Hidden)'!$A$2:$Z$1048576,MATCH($C83,'Restaurant Base (Hidden)'!$C$2:$C$1048576,0),MATCH(AC$6,'Restaurant Base (Hidden)'!$A$1:$Z$1,0)),"")</f>
        <v/>
      </c>
      <c r="AD83" s="65" t="str">
        <f>+IFERROR(INDEX('Restaurant Base (Hidden)'!$A$2:$Z$1048576,MATCH($C83,'Restaurant Base (Hidden)'!$C$2:$C$1048576,0),MATCH(AD$6,'Restaurant Base (Hidden)'!$A$1:$Z$1,0)),"")</f>
        <v>82,90 %</v>
      </c>
      <c r="AE83" s="1">
        <f>+IFERROR(INDEX('Restaurant Base (Hidden)'!$A$2:$Z$1048576,MATCH($C83,'Restaurant Base (Hidden)'!$C$2:$C$1048576,0),MATCH(AE$6,'Restaurant Base (Hidden)'!$A$1:$Z$1,0)),"")</f>
        <v>3</v>
      </c>
      <c r="AF83" s="65" t="str">
        <f>+IFERROR(INDEX('Restaurant Base (Hidden)'!$A$2:$Z$1048576,MATCH($C83,'Restaurant Base (Hidden)'!$C$2:$C$1048576,0),MATCH(AF$6,'Restaurant Base (Hidden)'!$A$1:$Z$1,0)),"")</f>
        <v>72,40 %</v>
      </c>
      <c r="AG83" s="1">
        <f>+IFERROR(INDEX('Restaurant Base (Hidden)'!$A$2:$Z$1048576,MATCH($C83,'Restaurant Base (Hidden)'!$C$2:$C$1048576,0),MATCH(AG$6,'Restaurant Base (Hidden)'!$A$1:$Z$1,0)),"")</f>
        <v>1</v>
      </c>
    </row>
    <row r="84" spans="1:33" x14ac:dyDescent="0.4">
      <c r="A84" s="163" t="str">
        <f>IF('Restaurant Base (Hidden)'!A165=0,"", 'Restaurant Base (Hidden)'!A165)</f>
        <v>Rowan Kingsley</v>
      </c>
      <c r="B84" s="163" t="str">
        <f>IF('Restaurant Base (Hidden)'!B165=0,"", 'Restaurant Base (Hidden)'!B165)</f>
        <v>Oakbridge Restaurant Group</v>
      </c>
      <c r="C84" s="163" t="str">
        <f>IF('Restaurant Base (Hidden)'!C165=0,"", 'Restaurant Base (Hidden)'!C165)</f>
        <v>Spring Ridge</v>
      </c>
      <c r="D84" s="104">
        <f t="shared" si="1"/>
        <v>78</v>
      </c>
      <c r="E84" s="105">
        <f>+IFERROR(INDEX('Restaurant Base (Hidden)'!$A$2:$Z$1048576,MATCH($C84,'Restaurant Base (Hidden)'!$C$2:$C$1048576,0),MATCH(E$6,'Restaurant Base (Hidden)'!$A$1:$Z$1,0)),"")</f>
        <v>3.41</v>
      </c>
      <c r="F84" s="2" t="str">
        <f>+IFERROR(INDEX('Restaurant Base (Hidden)'!$A$2:$Z$1048576,MATCH($C84,'Restaurant Base (Hidden)'!$C$2:$C$1048576,0),MATCH(F$6,'Restaurant Base (Hidden)'!$A$1:$Z$1,0)),"")</f>
        <v/>
      </c>
      <c r="G84" s="20" t="str">
        <f>+IFERROR(INDEX('Restaurant Base (Hidden)'!$A$2:$Z$1048576,MATCH($C84,'Restaurant Base (Hidden)'!$C$2:$C$1048576,0),MATCH(G$6,'Restaurant Base (Hidden)'!$A$1:$Z$1,0)),"")</f>
        <v>4,618</v>
      </c>
      <c r="H84" s="50">
        <f>+IFERROR(INDEX('Restaurant Base (Hidden)'!$A$2:$Z$1048576,MATCH($C84,'Restaurant Base (Hidden)'!$C$2:$C$1048576,0),MATCH(H$6,'Restaurant Base (Hidden)'!$A$1:$Z$1,0)),"")</f>
        <v>5</v>
      </c>
      <c r="I84" s="20" t="str">
        <f>+IFERROR(INDEX('Restaurant Base (Hidden)'!$A$2:$Z$1048576,MATCH($C84,'Restaurant Base (Hidden)'!$C$2:$C$1048576,0),MATCH(I$6,'Restaurant Base (Hidden)'!$A$1:$Z$1,0)),"")</f>
        <v>88,70 %</v>
      </c>
      <c r="J84" s="49">
        <f>+IFERROR(INDEX('Restaurant Base (Hidden)'!$A$2:$Z$1048576,MATCH($C84,'Restaurant Base (Hidden)'!$C$2:$C$1048576,0),MATCH(J$6,'Restaurant Base (Hidden)'!$A$1:$Z$1,0)),"")</f>
        <v>4</v>
      </c>
      <c r="K84" s="20" t="str">
        <f>+IFERROR(INDEX('Restaurant Base (Hidden)'!$A$2:$Z$1048576,MATCH($C84,'Restaurant Base (Hidden)'!$C$2:$C$1048576,0),MATCH(K$6,'Restaurant Base (Hidden)'!$A$1:$Z$1,0)),"")</f>
        <v>0,200</v>
      </c>
      <c r="L84" s="51">
        <f>+IFERROR(INDEX('Restaurant Base (Hidden)'!$A$2:$Z$1048576,MATCH($C84,'Restaurant Base (Hidden)'!$C$2:$C$1048576,0),MATCH(L$6,'Restaurant Base (Hidden)'!$A$1:$Z$1,0)),"")</f>
        <v>1</v>
      </c>
      <c r="M84" s="2" t="str">
        <f>+IFERROR(INDEX('Restaurant Base (Hidden)'!$A$2:$Z$1048576,MATCH($C84,'Restaurant Base (Hidden)'!$C$2:$C$1048576,0),MATCH(M$6,'Restaurant Base (Hidden)'!$A$1:$Z$1,0)),"")</f>
        <v/>
      </c>
      <c r="N84" s="234" t="str">
        <f>+IFERROR(INDEX('Restaurant Base (Hidden)'!$A$2:$Z$1048576,MATCH($C84,'Restaurant Base (Hidden)'!$C$2:$C$1048576,0),MATCH(N$6,'Restaurant Base (Hidden)'!$A$1:$Z$1,0)),"")</f>
        <v>76,00 %</v>
      </c>
      <c r="O84" s="1">
        <f>+IFERROR(INDEX('Restaurant Base (Hidden)'!$A$2:$Z$1048576,MATCH($C84,'Restaurant Base (Hidden)'!$C$2:$C$1048576,0),MATCH(O$6,'Restaurant Base (Hidden)'!$A$1:$Z$1,0)),"")</f>
        <v>5</v>
      </c>
      <c r="P84" s="2" t="str">
        <f>+IFERROR(INDEX('Restaurant Base (Hidden)'!$A$2:$Z$1048576,MATCH($C84,'Restaurant Base (Hidden)'!$C$2:$C$1048576,0),MATCH(P$6,'Restaurant Base (Hidden)'!$A$1:$Z$1,0)),"")</f>
        <v/>
      </c>
      <c r="Q84" s="234" t="str">
        <f>+IFERROR(INDEX('Restaurant Base (Hidden)'!$A$2:$Z$1048576,MATCH($C84,'Restaurant Base (Hidden)'!$C$2:$C$1048576,0),MATCH(Q$6,'Restaurant Base (Hidden)'!$A$1:$Z$1,0)),"")</f>
        <v>66,80 %</v>
      </c>
      <c r="R84" s="1">
        <f>+IFERROR(INDEX('Restaurant Base (Hidden)'!$A$2:$Z$1048576,MATCH($C84,'Restaurant Base (Hidden)'!$C$2:$C$1048576,0),MATCH(R$6,'Restaurant Base (Hidden)'!$A$1:$Z$1,0)),"")</f>
        <v>3</v>
      </c>
      <c r="S84" s="2" t="str">
        <f>+IFERROR(INDEX('Restaurant Base (Hidden)'!$A$2:$Z$1048576,MATCH($C84,'Restaurant Base (Hidden)'!$C$2:$C$1048576,0),MATCH(S$6,'Restaurant Base (Hidden)'!$A$1:$Z$1,0)),"")</f>
        <v/>
      </c>
      <c r="T84" s="62">
        <f>+IFERROR(INDEX('Restaurant Base (Hidden)'!$A$2:$Z$1048576,MATCH($C84,'Restaurant Base (Hidden)'!$C$2:$C$1048576,0),MATCH(T$6,'Restaurant Base (Hidden)'!$A$1:$Z$1,0)),"")</f>
        <v>54.1</v>
      </c>
      <c r="U84" s="1">
        <f>+IFERROR(INDEX('Restaurant Base (Hidden)'!$A$2:$Z$1048576,MATCH($C84,'Restaurant Base (Hidden)'!$C$2:$C$1048576,0),MATCH(U$6,'Restaurant Base (Hidden)'!$A$1:$Z$1,0)),"")</f>
        <v>1</v>
      </c>
      <c r="V84" s="2" t="str">
        <f>+IFERROR(INDEX('Restaurant Base (Hidden)'!$A$2:$Z$1048576,MATCH($C84,'Restaurant Base (Hidden)'!$C$2:$C$1048576,0),MATCH(V$6,'Restaurant Base (Hidden)'!$A$1:$Z$1,0)),"")</f>
        <v/>
      </c>
      <c r="W84" s="65" t="str">
        <f>+IFERROR(INDEX('Restaurant Base (Hidden)'!$A$2:$Z$1048576,MATCH($C84,'Restaurant Base (Hidden)'!$C$2:$C$1048576,0),MATCH(W$6,'Restaurant Base (Hidden)'!$A$1:$Z$1,0)),"")</f>
        <v>74,90 %</v>
      </c>
      <c r="X84" s="1">
        <f>+IFERROR(INDEX('Restaurant Base (Hidden)'!$A$2:$Z$1048576,MATCH($C84,'Restaurant Base (Hidden)'!$C$2:$C$1048576,0),MATCH(X$6,'Restaurant Base (Hidden)'!$A$1:$Z$1,0)),"")</f>
        <v>2</v>
      </c>
      <c r="Y84" s="65" t="str">
        <f>+IFERROR(INDEX('Restaurant Base (Hidden)'!$A$2:$Z$1048576,MATCH($C84,'Restaurant Base (Hidden)'!$C$2:$C$1048576,0),MATCH(Y$6,'Restaurant Base (Hidden)'!$A$1:$Z$1,0)),"")</f>
        <v>61,70 %</v>
      </c>
      <c r="Z84" s="106">
        <f>+IFERROR(INDEX('Restaurant Base (Hidden)'!$A$2:$Z$1048576,MATCH($C84,'Restaurant Base (Hidden)'!$C$2:$C$1048576,0),MATCH(Z$6,'Restaurant Base (Hidden)'!$A$1:$Z$1,0)),"")</f>
        <v>2</v>
      </c>
      <c r="AA84" s="65" t="str">
        <f>+IFERROR(INDEX('Restaurant Base (Hidden)'!$A$2:$Z$1048576,MATCH($C84,'Restaurant Base (Hidden)'!$C$2:$C$1048576,0),MATCH(AA$6,'Restaurant Base (Hidden)'!$A$1:$Z$1,0)),"")</f>
        <v>90,40 %</v>
      </c>
      <c r="AB84" s="1">
        <f>+IFERROR(INDEX('Restaurant Base (Hidden)'!$A$2:$Z$1048576,MATCH($C84,'Restaurant Base (Hidden)'!$C$2:$C$1048576,0),MATCH(AB$6,'Restaurant Base (Hidden)'!$A$1:$Z$1,0)),"")</f>
        <v>3</v>
      </c>
      <c r="AC84" s="20" t="str">
        <f>+IFERROR(INDEX('Restaurant Base (Hidden)'!$A$2:$Z$1048576,MATCH($C84,'Restaurant Base (Hidden)'!$C$2:$C$1048576,0),MATCH(AC$6,'Restaurant Base (Hidden)'!$A$1:$Z$1,0)),"")</f>
        <v/>
      </c>
      <c r="AD84" s="65" t="str">
        <f>+IFERROR(INDEX('Restaurant Base (Hidden)'!$A$2:$Z$1048576,MATCH($C84,'Restaurant Base (Hidden)'!$C$2:$C$1048576,0),MATCH(AD$6,'Restaurant Base (Hidden)'!$A$1:$Z$1,0)),"")</f>
        <v>93,20 %</v>
      </c>
      <c r="AE84" s="1">
        <f>+IFERROR(INDEX('Restaurant Base (Hidden)'!$A$2:$Z$1048576,MATCH($C84,'Restaurant Base (Hidden)'!$C$2:$C$1048576,0),MATCH(AE$6,'Restaurant Base (Hidden)'!$A$1:$Z$1,0)),"")</f>
        <v>4</v>
      </c>
      <c r="AF84" s="65" t="str">
        <f>+IFERROR(INDEX('Restaurant Base (Hidden)'!$A$2:$Z$1048576,MATCH($C84,'Restaurant Base (Hidden)'!$C$2:$C$1048576,0),MATCH(AF$6,'Restaurant Base (Hidden)'!$A$1:$Z$1,0)),"")</f>
        <v>98,30 %</v>
      </c>
      <c r="AG84" s="1">
        <f>+IFERROR(INDEX('Restaurant Base (Hidden)'!$A$2:$Z$1048576,MATCH($C84,'Restaurant Base (Hidden)'!$C$2:$C$1048576,0),MATCH(AG$6,'Restaurant Base (Hidden)'!$A$1:$Z$1,0)),"")</f>
        <v>5</v>
      </c>
    </row>
    <row r="85" spans="1:33" x14ac:dyDescent="0.4">
      <c r="A85" s="163" t="str">
        <f>IF('Restaurant Base (Hidden)'!A247=0,"", 'Restaurant Base (Hidden)'!A247)</f>
        <v>Morgan Rivington</v>
      </c>
      <c r="B85" s="163" t="str">
        <f>IF('Restaurant Base (Hidden)'!B247=0,"", 'Restaurant Base (Hidden)'!B247)</f>
        <v>Brightfield Dining</v>
      </c>
      <c r="C85" s="163" t="str">
        <f>IF('Restaurant Base (Hidden)'!C247=0,"", 'Restaurant Base (Hidden)'!C247)</f>
        <v>Woodland Pines</v>
      </c>
      <c r="D85" s="104">
        <f t="shared" si="1"/>
        <v>78</v>
      </c>
      <c r="E85" s="105">
        <f>+IFERROR(INDEX('Restaurant Base (Hidden)'!$A$2:$Z$1048576,MATCH($C85,'Restaurant Base (Hidden)'!$C$2:$C$1048576,0),MATCH(E$6,'Restaurant Base (Hidden)'!$A$1:$Z$1,0)),"")</f>
        <v>3.41</v>
      </c>
      <c r="F85" s="2" t="str">
        <f>+IFERROR(INDEX('Restaurant Base (Hidden)'!$A$2:$Z$1048576,MATCH($C85,'Restaurant Base (Hidden)'!$C$2:$C$1048576,0),MATCH(F$6,'Restaurant Base (Hidden)'!$A$1:$Z$1,0)),"")</f>
        <v/>
      </c>
      <c r="G85" s="20" t="str">
        <f>+IFERROR(INDEX('Restaurant Base (Hidden)'!$A$2:$Z$1048576,MATCH($C85,'Restaurant Base (Hidden)'!$C$2:$C$1048576,0),MATCH(G$6,'Restaurant Base (Hidden)'!$A$1:$Z$1,0)),"")</f>
        <v>4,832</v>
      </c>
      <c r="H85" s="50">
        <f>+IFERROR(INDEX('Restaurant Base (Hidden)'!$A$2:$Z$1048576,MATCH($C85,'Restaurant Base (Hidden)'!$C$2:$C$1048576,0),MATCH(H$6,'Restaurant Base (Hidden)'!$A$1:$Z$1,0)),"")</f>
        <v>5</v>
      </c>
      <c r="I85" s="20" t="str">
        <f>+IFERROR(INDEX('Restaurant Base (Hidden)'!$A$2:$Z$1048576,MATCH($C85,'Restaurant Base (Hidden)'!$C$2:$C$1048576,0),MATCH(I$6,'Restaurant Base (Hidden)'!$A$1:$Z$1,0)),"")</f>
        <v>92,50 %</v>
      </c>
      <c r="J85" s="49">
        <f>+IFERROR(INDEX('Restaurant Base (Hidden)'!$A$2:$Z$1048576,MATCH($C85,'Restaurant Base (Hidden)'!$C$2:$C$1048576,0),MATCH(J$6,'Restaurant Base (Hidden)'!$A$1:$Z$1,0)),"")</f>
        <v>4</v>
      </c>
      <c r="K85" s="20" t="str">
        <f>+IFERROR(INDEX('Restaurant Base (Hidden)'!$A$2:$Z$1048576,MATCH($C85,'Restaurant Base (Hidden)'!$C$2:$C$1048576,0),MATCH(K$6,'Restaurant Base (Hidden)'!$A$1:$Z$1,0)),"")</f>
        <v>0,062</v>
      </c>
      <c r="L85" s="51">
        <f>+IFERROR(INDEX('Restaurant Base (Hidden)'!$A$2:$Z$1048576,MATCH($C85,'Restaurant Base (Hidden)'!$C$2:$C$1048576,0),MATCH(L$6,'Restaurant Base (Hidden)'!$A$1:$Z$1,0)),"")</f>
        <v>4</v>
      </c>
      <c r="M85" s="2" t="str">
        <f>+IFERROR(INDEX('Restaurant Base (Hidden)'!$A$2:$Z$1048576,MATCH($C85,'Restaurant Base (Hidden)'!$C$2:$C$1048576,0),MATCH(M$6,'Restaurant Base (Hidden)'!$A$1:$Z$1,0)),"")</f>
        <v/>
      </c>
      <c r="N85" s="234" t="str">
        <f>+IFERROR(INDEX('Restaurant Base (Hidden)'!$A$2:$Z$1048576,MATCH($C85,'Restaurant Base (Hidden)'!$C$2:$C$1048576,0),MATCH(N$6,'Restaurant Base (Hidden)'!$A$1:$Z$1,0)),"")</f>
        <v>94,30 %</v>
      </c>
      <c r="O85" s="1">
        <f>+IFERROR(INDEX('Restaurant Base (Hidden)'!$A$2:$Z$1048576,MATCH($C85,'Restaurant Base (Hidden)'!$C$2:$C$1048576,0),MATCH(O$6,'Restaurant Base (Hidden)'!$A$1:$Z$1,0)),"")</f>
        <v>5</v>
      </c>
      <c r="P85" s="2" t="str">
        <f>+IFERROR(INDEX('Restaurant Base (Hidden)'!$A$2:$Z$1048576,MATCH($C85,'Restaurant Base (Hidden)'!$C$2:$C$1048576,0),MATCH(P$6,'Restaurant Base (Hidden)'!$A$1:$Z$1,0)),"")</f>
        <v/>
      </c>
      <c r="Q85" s="234" t="str">
        <f>+IFERROR(INDEX('Restaurant Base (Hidden)'!$A$2:$Z$1048576,MATCH($C85,'Restaurant Base (Hidden)'!$C$2:$C$1048576,0),MATCH(Q$6,'Restaurant Base (Hidden)'!$A$1:$Z$1,0)),"")</f>
        <v>64,50 %</v>
      </c>
      <c r="R85" s="1">
        <f>+IFERROR(INDEX('Restaurant Base (Hidden)'!$A$2:$Z$1048576,MATCH($C85,'Restaurant Base (Hidden)'!$C$2:$C$1048576,0),MATCH(R$6,'Restaurant Base (Hidden)'!$A$1:$Z$1,0)),"")</f>
        <v>2</v>
      </c>
      <c r="S85" s="2" t="str">
        <f>+IFERROR(INDEX('Restaurant Base (Hidden)'!$A$2:$Z$1048576,MATCH($C85,'Restaurant Base (Hidden)'!$C$2:$C$1048576,0),MATCH(S$6,'Restaurant Base (Hidden)'!$A$1:$Z$1,0)),"")</f>
        <v/>
      </c>
      <c r="T85" s="62">
        <f>+IFERROR(INDEX('Restaurant Base (Hidden)'!$A$2:$Z$1048576,MATCH($C85,'Restaurant Base (Hidden)'!$C$2:$C$1048576,0),MATCH(T$6,'Restaurant Base (Hidden)'!$A$1:$Z$1,0)),"")</f>
        <v>69.7</v>
      </c>
      <c r="U85" s="1">
        <f>+IFERROR(INDEX('Restaurant Base (Hidden)'!$A$2:$Z$1048576,MATCH($C85,'Restaurant Base (Hidden)'!$C$2:$C$1048576,0),MATCH(U$6,'Restaurant Base (Hidden)'!$A$1:$Z$1,0)),"")</f>
        <v>5</v>
      </c>
      <c r="V85" s="2" t="str">
        <f>+IFERROR(INDEX('Restaurant Base (Hidden)'!$A$2:$Z$1048576,MATCH($C85,'Restaurant Base (Hidden)'!$C$2:$C$1048576,0),MATCH(V$6,'Restaurant Base (Hidden)'!$A$1:$Z$1,0)),"")</f>
        <v/>
      </c>
      <c r="W85" s="65" t="str">
        <f>+IFERROR(INDEX('Restaurant Base (Hidden)'!$A$2:$Z$1048576,MATCH($C85,'Restaurant Base (Hidden)'!$C$2:$C$1048576,0),MATCH(W$6,'Restaurant Base (Hidden)'!$A$1:$Z$1,0)),"")</f>
        <v>89,70 %</v>
      </c>
      <c r="X85" s="1">
        <f>+IFERROR(INDEX('Restaurant Base (Hidden)'!$A$2:$Z$1048576,MATCH($C85,'Restaurant Base (Hidden)'!$C$2:$C$1048576,0),MATCH(X$6,'Restaurant Base (Hidden)'!$A$1:$Z$1,0)),"")</f>
        <v>3</v>
      </c>
      <c r="Y85" s="65" t="str">
        <f>+IFERROR(INDEX('Restaurant Base (Hidden)'!$A$2:$Z$1048576,MATCH($C85,'Restaurant Base (Hidden)'!$C$2:$C$1048576,0),MATCH(Y$6,'Restaurant Base (Hidden)'!$A$1:$Z$1,0)),"")</f>
        <v>72,90 %</v>
      </c>
      <c r="Z85" s="106">
        <f>+IFERROR(INDEX('Restaurant Base (Hidden)'!$A$2:$Z$1048576,MATCH($C85,'Restaurant Base (Hidden)'!$C$2:$C$1048576,0),MATCH(Z$6,'Restaurant Base (Hidden)'!$A$1:$Z$1,0)),"")</f>
        <v>2</v>
      </c>
      <c r="AA85" s="65" t="str">
        <f>+IFERROR(INDEX('Restaurant Base (Hidden)'!$A$2:$Z$1048576,MATCH($C85,'Restaurant Base (Hidden)'!$C$2:$C$1048576,0),MATCH(AA$6,'Restaurant Base (Hidden)'!$A$1:$Z$1,0)),"")</f>
        <v>69,30 %</v>
      </c>
      <c r="AB85" s="1">
        <f>+IFERROR(INDEX('Restaurant Base (Hidden)'!$A$2:$Z$1048576,MATCH($C85,'Restaurant Base (Hidden)'!$C$2:$C$1048576,0),MATCH(AB$6,'Restaurant Base (Hidden)'!$A$1:$Z$1,0)),"")</f>
        <v>2</v>
      </c>
      <c r="AC85" s="20" t="str">
        <f>+IFERROR(INDEX('Restaurant Base (Hidden)'!$A$2:$Z$1048576,MATCH($C85,'Restaurant Base (Hidden)'!$C$2:$C$1048576,0),MATCH(AC$6,'Restaurant Base (Hidden)'!$A$1:$Z$1,0)),"")</f>
        <v/>
      </c>
      <c r="AD85" s="65" t="str">
        <f>+IFERROR(INDEX('Restaurant Base (Hidden)'!$A$2:$Z$1048576,MATCH($C85,'Restaurant Base (Hidden)'!$C$2:$C$1048576,0),MATCH(AD$6,'Restaurant Base (Hidden)'!$A$1:$Z$1,0)),"")</f>
        <v>63,70 %</v>
      </c>
      <c r="AE85" s="1">
        <f>+IFERROR(INDEX('Restaurant Base (Hidden)'!$A$2:$Z$1048576,MATCH($C85,'Restaurant Base (Hidden)'!$C$2:$C$1048576,0),MATCH(AE$6,'Restaurant Base (Hidden)'!$A$1:$Z$1,0)),"")</f>
        <v>1</v>
      </c>
      <c r="AF85" s="65" t="str">
        <f>+IFERROR(INDEX('Restaurant Base (Hidden)'!$A$2:$Z$1048576,MATCH($C85,'Restaurant Base (Hidden)'!$C$2:$C$1048576,0),MATCH(AF$6,'Restaurant Base (Hidden)'!$A$1:$Z$1,0)),"")</f>
        <v>84,10 %</v>
      </c>
      <c r="AG85" s="1">
        <f>+IFERROR(INDEX('Restaurant Base (Hidden)'!$A$2:$Z$1048576,MATCH($C85,'Restaurant Base (Hidden)'!$C$2:$C$1048576,0),MATCH(AG$6,'Restaurant Base (Hidden)'!$A$1:$Z$1,0)),"")</f>
        <v>3</v>
      </c>
    </row>
    <row r="86" spans="1:33" x14ac:dyDescent="0.4">
      <c r="A86" s="163" t="str">
        <f>IF('Restaurant Base (Hidden)'!A216=0,"", 'Restaurant Base (Hidden)'!A216)</f>
        <v>Kendall Prescott</v>
      </c>
      <c r="B86" s="163" t="str">
        <f>IF('Restaurant Base (Hidden)'!B216=0,"", 'Restaurant Base (Hidden)'!B216)</f>
        <v>Redwood Food Partners</v>
      </c>
      <c r="C86" s="163" t="str">
        <f>IF('Restaurant Base (Hidden)'!C216=0,"", 'Restaurant Base (Hidden)'!C216)</f>
        <v>Westmere Boulevard</v>
      </c>
      <c r="D86" s="104">
        <f t="shared" si="1"/>
        <v>80</v>
      </c>
      <c r="E86" s="105">
        <f>+IFERROR(INDEX('Restaurant Base (Hidden)'!$A$2:$Z$1048576,MATCH($C86,'Restaurant Base (Hidden)'!$C$2:$C$1048576,0),MATCH(E$6,'Restaurant Base (Hidden)'!$A$1:$Z$1,0)),"")</f>
        <v>3.4</v>
      </c>
      <c r="F86" s="2" t="str">
        <f>+IFERROR(INDEX('Restaurant Base (Hidden)'!$A$2:$Z$1048576,MATCH($C86,'Restaurant Base (Hidden)'!$C$2:$C$1048576,0),MATCH(F$6,'Restaurant Base (Hidden)'!$A$1:$Z$1,0)),"")</f>
        <v/>
      </c>
      <c r="G86" s="20" t="str">
        <f>+IFERROR(INDEX('Restaurant Base (Hidden)'!$A$2:$Z$1048576,MATCH($C86,'Restaurant Base (Hidden)'!$C$2:$C$1048576,0),MATCH(G$6,'Restaurant Base (Hidden)'!$A$1:$Z$1,0)),"")</f>
        <v>4,204</v>
      </c>
      <c r="H86" s="50">
        <f>+IFERROR(INDEX('Restaurant Base (Hidden)'!$A$2:$Z$1048576,MATCH($C86,'Restaurant Base (Hidden)'!$C$2:$C$1048576,0),MATCH(H$6,'Restaurant Base (Hidden)'!$A$1:$Z$1,0)),"")</f>
        <v>3</v>
      </c>
      <c r="I86" s="20" t="str">
        <f>+IFERROR(INDEX('Restaurant Base (Hidden)'!$A$2:$Z$1048576,MATCH($C86,'Restaurant Base (Hidden)'!$C$2:$C$1048576,0),MATCH(I$6,'Restaurant Base (Hidden)'!$A$1:$Z$1,0)),"")</f>
        <v>73,50 %</v>
      </c>
      <c r="J86" s="49">
        <f>+IFERROR(INDEX('Restaurant Base (Hidden)'!$A$2:$Z$1048576,MATCH($C86,'Restaurant Base (Hidden)'!$C$2:$C$1048576,0),MATCH(J$6,'Restaurant Base (Hidden)'!$A$1:$Z$1,0)),"")</f>
        <v>1</v>
      </c>
      <c r="K86" s="20" t="str">
        <f>+IFERROR(INDEX('Restaurant Base (Hidden)'!$A$2:$Z$1048576,MATCH($C86,'Restaurant Base (Hidden)'!$C$2:$C$1048576,0),MATCH(K$6,'Restaurant Base (Hidden)'!$A$1:$Z$1,0)),"")</f>
        <v>0,036</v>
      </c>
      <c r="L86" s="51">
        <f>+IFERROR(INDEX('Restaurant Base (Hidden)'!$A$2:$Z$1048576,MATCH($C86,'Restaurant Base (Hidden)'!$C$2:$C$1048576,0),MATCH(L$6,'Restaurant Base (Hidden)'!$A$1:$Z$1,0)),"")</f>
        <v>5</v>
      </c>
      <c r="M86" s="2" t="str">
        <f>+IFERROR(INDEX('Restaurant Base (Hidden)'!$A$2:$Z$1048576,MATCH($C86,'Restaurant Base (Hidden)'!$C$2:$C$1048576,0),MATCH(M$6,'Restaurant Base (Hidden)'!$A$1:$Z$1,0)),"")</f>
        <v/>
      </c>
      <c r="N86" s="234" t="str">
        <f>+IFERROR(INDEX('Restaurant Base (Hidden)'!$A$2:$Z$1048576,MATCH($C86,'Restaurant Base (Hidden)'!$C$2:$C$1048576,0),MATCH(N$6,'Restaurant Base (Hidden)'!$A$1:$Z$1,0)),"")</f>
        <v>68,40 %</v>
      </c>
      <c r="O86" s="1">
        <f>+IFERROR(INDEX('Restaurant Base (Hidden)'!$A$2:$Z$1048576,MATCH($C86,'Restaurant Base (Hidden)'!$C$2:$C$1048576,0),MATCH(O$6,'Restaurant Base (Hidden)'!$A$1:$Z$1,0)),"")</f>
        <v>4</v>
      </c>
      <c r="P86" s="2" t="str">
        <f>+IFERROR(INDEX('Restaurant Base (Hidden)'!$A$2:$Z$1048576,MATCH($C86,'Restaurant Base (Hidden)'!$C$2:$C$1048576,0),MATCH(P$6,'Restaurant Base (Hidden)'!$A$1:$Z$1,0)),"")</f>
        <v/>
      </c>
      <c r="Q86" s="234" t="str">
        <f>+IFERROR(INDEX('Restaurant Base (Hidden)'!$A$2:$Z$1048576,MATCH($C86,'Restaurant Base (Hidden)'!$C$2:$C$1048576,0),MATCH(Q$6,'Restaurant Base (Hidden)'!$A$1:$Z$1,0)),"")</f>
        <v>82,90 %</v>
      </c>
      <c r="R86" s="1">
        <f>+IFERROR(INDEX('Restaurant Base (Hidden)'!$A$2:$Z$1048576,MATCH($C86,'Restaurant Base (Hidden)'!$C$2:$C$1048576,0),MATCH(R$6,'Restaurant Base (Hidden)'!$A$1:$Z$1,0)),"")</f>
        <v>5</v>
      </c>
      <c r="S86" s="2" t="str">
        <f>+IFERROR(INDEX('Restaurant Base (Hidden)'!$A$2:$Z$1048576,MATCH($C86,'Restaurant Base (Hidden)'!$C$2:$C$1048576,0),MATCH(S$6,'Restaurant Base (Hidden)'!$A$1:$Z$1,0)),"")</f>
        <v/>
      </c>
      <c r="T86" s="62">
        <f>+IFERROR(INDEX('Restaurant Base (Hidden)'!$A$2:$Z$1048576,MATCH($C86,'Restaurant Base (Hidden)'!$C$2:$C$1048576,0),MATCH(T$6,'Restaurant Base (Hidden)'!$A$1:$Z$1,0)),"")</f>
        <v>64.900000000000006</v>
      </c>
      <c r="U86" s="1">
        <f>+IFERROR(INDEX('Restaurant Base (Hidden)'!$A$2:$Z$1048576,MATCH($C86,'Restaurant Base (Hidden)'!$C$2:$C$1048576,0),MATCH(U$6,'Restaurant Base (Hidden)'!$A$1:$Z$1,0)),"")</f>
        <v>4</v>
      </c>
      <c r="V86" s="2" t="str">
        <f>+IFERROR(INDEX('Restaurant Base (Hidden)'!$A$2:$Z$1048576,MATCH($C86,'Restaurant Base (Hidden)'!$C$2:$C$1048576,0),MATCH(V$6,'Restaurant Base (Hidden)'!$A$1:$Z$1,0)),"")</f>
        <v/>
      </c>
      <c r="W86" s="65" t="str">
        <f>+IFERROR(INDEX('Restaurant Base (Hidden)'!$A$2:$Z$1048576,MATCH($C86,'Restaurant Base (Hidden)'!$C$2:$C$1048576,0),MATCH(W$6,'Restaurant Base (Hidden)'!$A$1:$Z$1,0)),"")</f>
        <v>66,90 %</v>
      </c>
      <c r="X86" s="1">
        <f>+IFERROR(INDEX('Restaurant Base (Hidden)'!$A$2:$Z$1048576,MATCH($C86,'Restaurant Base (Hidden)'!$C$2:$C$1048576,0),MATCH(X$6,'Restaurant Base (Hidden)'!$A$1:$Z$1,0)),"")</f>
        <v>2</v>
      </c>
      <c r="Y86" s="65" t="str">
        <f>+IFERROR(INDEX('Restaurant Base (Hidden)'!$A$2:$Z$1048576,MATCH($C86,'Restaurant Base (Hidden)'!$C$2:$C$1048576,0),MATCH(Y$6,'Restaurant Base (Hidden)'!$A$1:$Z$1,0)),"")</f>
        <v>96,00 %</v>
      </c>
      <c r="Z86" s="106">
        <f>+IFERROR(INDEX('Restaurant Base (Hidden)'!$A$2:$Z$1048576,MATCH($C86,'Restaurant Base (Hidden)'!$C$2:$C$1048576,0),MATCH(Z$6,'Restaurant Base (Hidden)'!$A$1:$Z$1,0)),"")</f>
        <v>4</v>
      </c>
      <c r="AA86" s="65" t="str">
        <f>+IFERROR(INDEX('Restaurant Base (Hidden)'!$A$2:$Z$1048576,MATCH($C86,'Restaurant Base (Hidden)'!$C$2:$C$1048576,0),MATCH(AA$6,'Restaurant Base (Hidden)'!$A$1:$Z$1,0)),"")</f>
        <v>86,70 %</v>
      </c>
      <c r="AB86" s="1">
        <f>+IFERROR(INDEX('Restaurant Base (Hidden)'!$A$2:$Z$1048576,MATCH($C86,'Restaurant Base (Hidden)'!$C$2:$C$1048576,0),MATCH(AB$6,'Restaurant Base (Hidden)'!$A$1:$Z$1,0)),"")</f>
        <v>3</v>
      </c>
      <c r="AC86" s="20" t="str">
        <f>+IFERROR(INDEX('Restaurant Base (Hidden)'!$A$2:$Z$1048576,MATCH($C86,'Restaurant Base (Hidden)'!$C$2:$C$1048576,0),MATCH(AC$6,'Restaurant Base (Hidden)'!$A$1:$Z$1,0)),"")</f>
        <v/>
      </c>
      <c r="AD86" s="65" t="str">
        <f>+IFERROR(INDEX('Restaurant Base (Hidden)'!$A$2:$Z$1048576,MATCH($C86,'Restaurant Base (Hidden)'!$C$2:$C$1048576,0),MATCH(AD$6,'Restaurant Base (Hidden)'!$A$1:$Z$1,0)),"")</f>
        <v>92,60 %</v>
      </c>
      <c r="AE86" s="1">
        <f>+IFERROR(INDEX('Restaurant Base (Hidden)'!$A$2:$Z$1048576,MATCH($C86,'Restaurant Base (Hidden)'!$C$2:$C$1048576,0),MATCH(AE$6,'Restaurant Base (Hidden)'!$A$1:$Z$1,0)),"")</f>
        <v>4</v>
      </c>
      <c r="AF86" s="65" t="str">
        <f>+IFERROR(INDEX('Restaurant Base (Hidden)'!$A$2:$Z$1048576,MATCH($C86,'Restaurant Base (Hidden)'!$C$2:$C$1048576,0),MATCH(AF$6,'Restaurant Base (Hidden)'!$A$1:$Z$1,0)),"")</f>
        <v>76,10 %</v>
      </c>
      <c r="AG86" s="1">
        <f>+IFERROR(INDEX('Restaurant Base (Hidden)'!$A$2:$Z$1048576,MATCH($C86,'Restaurant Base (Hidden)'!$C$2:$C$1048576,0),MATCH(AG$6,'Restaurant Base (Hidden)'!$A$1:$Z$1,0)),"")</f>
        <v>2</v>
      </c>
    </row>
    <row r="87" spans="1:33" x14ac:dyDescent="0.4">
      <c r="A87" s="163" t="str">
        <f>IF('Restaurant Base (Hidden)'!A256=0,"", 'Restaurant Base (Hidden)'!A256)</f>
        <v>Emerson Greenleigh</v>
      </c>
      <c r="B87" s="163" t="str">
        <f>IF('Restaurant Base (Hidden)'!B256=0,"", 'Restaurant Base (Hidden)'!B256)</f>
        <v>Redwood Food Partners</v>
      </c>
      <c r="C87" s="163" t="str">
        <f>IF('Restaurant Base (Hidden)'!C256=0,"", 'Restaurant Base (Hidden)'!C256)</f>
        <v>Northvale Crescent</v>
      </c>
      <c r="D87" s="104">
        <f t="shared" si="1"/>
        <v>80</v>
      </c>
      <c r="E87" s="105">
        <f>+IFERROR(INDEX('Restaurant Base (Hidden)'!$A$2:$Z$1048576,MATCH($C87,'Restaurant Base (Hidden)'!$C$2:$C$1048576,0),MATCH(E$6,'Restaurant Base (Hidden)'!$A$1:$Z$1,0)),"")</f>
        <v>3.4</v>
      </c>
      <c r="F87" s="2" t="str">
        <f>+IFERROR(INDEX('Restaurant Base (Hidden)'!$A$2:$Z$1048576,MATCH($C87,'Restaurant Base (Hidden)'!$C$2:$C$1048576,0),MATCH(F$6,'Restaurant Base (Hidden)'!$A$1:$Z$1,0)),"")</f>
        <v/>
      </c>
      <c r="G87" s="20" t="str">
        <f>+IFERROR(INDEX('Restaurant Base (Hidden)'!$A$2:$Z$1048576,MATCH($C87,'Restaurant Base (Hidden)'!$C$2:$C$1048576,0),MATCH(G$6,'Restaurant Base (Hidden)'!$A$1:$Z$1,0)),"")</f>
        <v>4,776</v>
      </c>
      <c r="H87" s="50">
        <f>+IFERROR(INDEX('Restaurant Base (Hidden)'!$A$2:$Z$1048576,MATCH($C87,'Restaurant Base (Hidden)'!$C$2:$C$1048576,0),MATCH(H$6,'Restaurant Base (Hidden)'!$A$1:$Z$1,0)),"")</f>
        <v>5</v>
      </c>
      <c r="I87" s="20" t="str">
        <f>+IFERROR(INDEX('Restaurant Base (Hidden)'!$A$2:$Z$1048576,MATCH($C87,'Restaurant Base (Hidden)'!$C$2:$C$1048576,0),MATCH(I$6,'Restaurant Base (Hidden)'!$A$1:$Z$1,0)),"")</f>
        <v>86,70 %</v>
      </c>
      <c r="J87" s="49">
        <f>+IFERROR(INDEX('Restaurant Base (Hidden)'!$A$2:$Z$1048576,MATCH($C87,'Restaurant Base (Hidden)'!$C$2:$C$1048576,0),MATCH(J$6,'Restaurant Base (Hidden)'!$A$1:$Z$1,0)),"")</f>
        <v>3</v>
      </c>
      <c r="K87" s="20" t="str">
        <f>+IFERROR(INDEX('Restaurant Base (Hidden)'!$A$2:$Z$1048576,MATCH($C87,'Restaurant Base (Hidden)'!$C$2:$C$1048576,0),MATCH(K$6,'Restaurant Base (Hidden)'!$A$1:$Z$1,0)),"")</f>
        <v>0,154</v>
      </c>
      <c r="L87" s="51">
        <f>+IFERROR(INDEX('Restaurant Base (Hidden)'!$A$2:$Z$1048576,MATCH($C87,'Restaurant Base (Hidden)'!$C$2:$C$1048576,0),MATCH(L$6,'Restaurant Base (Hidden)'!$A$1:$Z$1,0)),"")</f>
        <v>2</v>
      </c>
      <c r="M87" s="2" t="str">
        <f>+IFERROR(INDEX('Restaurant Base (Hidden)'!$A$2:$Z$1048576,MATCH($C87,'Restaurant Base (Hidden)'!$C$2:$C$1048576,0),MATCH(M$6,'Restaurant Base (Hidden)'!$A$1:$Z$1,0)),"")</f>
        <v/>
      </c>
      <c r="N87" s="234" t="str">
        <f>+IFERROR(INDEX('Restaurant Base (Hidden)'!$A$2:$Z$1048576,MATCH($C87,'Restaurant Base (Hidden)'!$C$2:$C$1048576,0),MATCH(N$6,'Restaurant Base (Hidden)'!$A$1:$Z$1,0)),"")</f>
        <v>70,40 %</v>
      </c>
      <c r="O87" s="1">
        <f>+IFERROR(INDEX('Restaurant Base (Hidden)'!$A$2:$Z$1048576,MATCH($C87,'Restaurant Base (Hidden)'!$C$2:$C$1048576,0),MATCH(O$6,'Restaurant Base (Hidden)'!$A$1:$Z$1,0)),"")</f>
        <v>4</v>
      </c>
      <c r="P87" s="2" t="str">
        <f>+IFERROR(INDEX('Restaurant Base (Hidden)'!$A$2:$Z$1048576,MATCH($C87,'Restaurant Base (Hidden)'!$C$2:$C$1048576,0),MATCH(P$6,'Restaurant Base (Hidden)'!$A$1:$Z$1,0)),"")</f>
        <v/>
      </c>
      <c r="Q87" s="234" t="str">
        <f>+IFERROR(INDEX('Restaurant Base (Hidden)'!$A$2:$Z$1048576,MATCH($C87,'Restaurant Base (Hidden)'!$C$2:$C$1048576,0),MATCH(Q$6,'Restaurant Base (Hidden)'!$A$1:$Z$1,0)),"")</f>
        <v>77,70 %</v>
      </c>
      <c r="R87" s="1">
        <f>+IFERROR(INDEX('Restaurant Base (Hidden)'!$A$2:$Z$1048576,MATCH($C87,'Restaurant Base (Hidden)'!$C$2:$C$1048576,0),MATCH(R$6,'Restaurant Base (Hidden)'!$A$1:$Z$1,0)),"")</f>
        <v>5</v>
      </c>
      <c r="S87" s="2" t="str">
        <f>+IFERROR(INDEX('Restaurant Base (Hidden)'!$A$2:$Z$1048576,MATCH($C87,'Restaurant Base (Hidden)'!$C$2:$C$1048576,0),MATCH(S$6,'Restaurant Base (Hidden)'!$A$1:$Z$1,0)),"")</f>
        <v/>
      </c>
      <c r="T87" s="62">
        <f>+IFERROR(INDEX('Restaurant Base (Hidden)'!$A$2:$Z$1048576,MATCH($C87,'Restaurant Base (Hidden)'!$C$2:$C$1048576,0),MATCH(T$6,'Restaurant Base (Hidden)'!$A$1:$Z$1,0)),"")</f>
        <v>76</v>
      </c>
      <c r="U87" s="1">
        <f>+IFERROR(INDEX('Restaurant Base (Hidden)'!$A$2:$Z$1048576,MATCH($C87,'Restaurant Base (Hidden)'!$C$2:$C$1048576,0),MATCH(U$6,'Restaurant Base (Hidden)'!$A$1:$Z$1,0)),"")</f>
        <v>5</v>
      </c>
      <c r="V87" s="2" t="str">
        <f>+IFERROR(INDEX('Restaurant Base (Hidden)'!$A$2:$Z$1048576,MATCH($C87,'Restaurant Base (Hidden)'!$C$2:$C$1048576,0),MATCH(V$6,'Restaurant Base (Hidden)'!$A$1:$Z$1,0)),"")</f>
        <v/>
      </c>
      <c r="W87" s="65" t="str">
        <f>+IFERROR(INDEX('Restaurant Base (Hidden)'!$A$2:$Z$1048576,MATCH($C87,'Restaurant Base (Hidden)'!$C$2:$C$1048576,0),MATCH(W$6,'Restaurant Base (Hidden)'!$A$1:$Z$1,0)),"")</f>
        <v>78,90 %</v>
      </c>
      <c r="X87" s="1">
        <f>+IFERROR(INDEX('Restaurant Base (Hidden)'!$A$2:$Z$1048576,MATCH($C87,'Restaurant Base (Hidden)'!$C$2:$C$1048576,0),MATCH(X$6,'Restaurant Base (Hidden)'!$A$1:$Z$1,0)),"")</f>
        <v>2</v>
      </c>
      <c r="Y87" s="65" t="str">
        <f>+IFERROR(INDEX('Restaurant Base (Hidden)'!$A$2:$Z$1048576,MATCH($C87,'Restaurant Base (Hidden)'!$C$2:$C$1048576,0),MATCH(Y$6,'Restaurant Base (Hidden)'!$A$1:$Z$1,0)),"")</f>
        <v>80,20 %</v>
      </c>
      <c r="Z87" s="106">
        <f>+IFERROR(INDEX('Restaurant Base (Hidden)'!$A$2:$Z$1048576,MATCH($C87,'Restaurant Base (Hidden)'!$C$2:$C$1048576,0),MATCH(Z$6,'Restaurant Base (Hidden)'!$A$1:$Z$1,0)),"")</f>
        <v>2</v>
      </c>
      <c r="AA87" s="65" t="str">
        <f>+IFERROR(INDEX('Restaurant Base (Hidden)'!$A$2:$Z$1048576,MATCH($C87,'Restaurant Base (Hidden)'!$C$2:$C$1048576,0),MATCH(AA$6,'Restaurant Base (Hidden)'!$A$1:$Z$1,0)),"")</f>
        <v>73,60 %</v>
      </c>
      <c r="AB87" s="1">
        <f>+IFERROR(INDEX('Restaurant Base (Hidden)'!$A$2:$Z$1048576,MATCH($C87,'Restaurant Base (Hidden)'!$C$2:$C$1048576,0),MATCH(AB$6,'Restaurant Base (Hidden)'!$A$1:$Z$1,0)),"")</f>
        <v>2</v>
      </c>
      <c r="AC87" s="20" t="str">
        <f>+IFERROR(INDEX('Restaurant Base (Hidden)'!$A$2:$Z$1048576,MATCH($C87,'Restaurant Base (Hidden)'!$C$2:$C$1048576,0),MATCH(AC$6,'Restaurant Base (Hidden)'!$A$1:$Z$1,0)),"")</f>
        <v/>
      </c>
      <c r="AD87" s="65" t="str">
        <f>+IFERROR(INDEX('Restaurant Base (Hidden)'!$A$2:$Z$1048576,MATCH($C87,'Restaurant Base (Hidden)'!$C$2:$C$1048576,0),MATCH(AD$6,'Restaurant Base (Hidden)'!$A$1:$Z$1,0)),"")</f>
        <v>55,50 %</v>
      </c>
      <c r="AE87" s="1">
        <f>+IFERROR(INDEX('Restaurant Base (Hidden)'!$A$2:$Z$1048576,MATCH($C87,'Restaurant Base (Hidden)'!$C$2:$C$1048576,0),MATCH(AE$6,'Restaurant Base (Hidden)'!$A$1:$Z$1,0)),"")</f>
        <v>1</v>
      </c>
      <c r="AF87" s="65" t="str">
        <f>+IFERROR(INDEX('Restaurant Base (Hidden)'!$A$2:$Z$1048576,MATCH($C87,'Restaurant Base (Hidden)'!$C$2:$C$1048576,0),MATCH(AF$6,'Restaurant Base (Hidden)'!$A$1:$Z$1,0)),"")</f>
        <v>87,00 %</v>
      </c>
      <c r="AG87" s="1">
        <f>+IFERROR(INDEX('Restaurant Base (Hidden)'!$A$2:$Z$1048576,MATCH($C87,'Restaurant Base (Hidden)'!$C$2:$C$1048576,0),MATCH(AG$6,'Restaurant Base (Hidden)'!$A$1:$Z$1,0)),"")</f>
        <v>3</v>
      </c>
    </row>
    <row r="88" spans="1:33" x14ac:dyDescent="0.4">
      <c r="A88" s="163" t="str">
        <f>IF('Restaurant Base (Hidden)'!A254=0,"", 'Restaurant Base (Hidden)'!A254)</f>
        <v>Taylor Hartwell</v>
      </c>
      <c r="B88" s="163" t="str">
        <f>IF('Restaurant Base (Hidden)'!B254=0,"", 'Restaurant Base (Hidden)'!B254)</f>
        <v>Stonebridge Restaurant Co</v>
      </c>
      <c r="C88" s="163" t="str">
        <f>IF('Restaurant Base (Hidden)'!C254=0,"", 'Restaurant Base (Hidden)'!C254)</f>
        <v>Crown Point</v>
      </c>
      <c r="D88" s="104">
        <f t="shared" si="1"/>
        <v>82</v>
      </c>
      <c r="E88" s="105">
        <f>+IFERROR(INDEX('Restaurant Base (Hidden)'!$A$2:$Z$1048576,MATCH($C88,'Restaurant Base (Hidden)'!$C$2:$C$1048576,0),MATCH(E$6,'Restaurant Base (Hidden)'!$A$1:$Z$1,0)),"")</f>
        <v>3.39</v>
      </c>
      <c r="F88" s="2" t="str">
        <f>+IFERROR(INDEX('Restaurant Base (Hidden)'!$A$2:$Z$1048576,MATCH($C88,'Restaurant Base (Hidden)'!$C$2:$C$1048576,0),MATCH(F$6,'Restaurant Base (Hidden)'!$A$1:$Z$1,0)),"")</f>
        <v/>
      </c>
      <c r="G88" s="20" t="str">
        <f>+IFERROR(INDEX('Restaurant Base (Hidden)'!$A$2:$Z$1048576,MATCH($C88,'Restaurant Base (Hidden)'!$C$2:$C$1048576,0),MATCH(G$6,'Restaurant Base (Hidden)'!$A$1:$Z$1,0)),"")</f>
        <v>4,707</v>
      </c>
      <c r="H88" s="50">
        <f>+IFERROR(INDEX('Restaurant Base (Hidden)'!$A$2:$Z$1048576,MATCH($C88,'Restaurant Base (Hidden)'!$C$2:$C$1048576,0),MATCH(H$6,'Restaurant Base (Hidden)'!$A$1:$Z$1,0)),"")</f>
        <v>5</v>
      </c>
      <c r="I88" s="20" t="str">
        <f>+IFERROR(INDEX('Restaurant Base (Hidden)'!$A$2:$Z$1048576,MATCH($C88,'Restaurant Base (Hidden)'!$C$2:$C$1048576,0),MATCH(I$6,'Restaurant Base (Hidden)'!$A$1:$Z$1,0)),"")</f>
        <v>94,30 %</v>
      </c>
      <c r="J88" s="49">
        <f>+IFERROR(INDEX('Restaurant Base (Hidden)'!$A$2:$Z$1048576,MATCH($C88,'Restaurant Base (Hidden)'!$C$2:$C$1048576,0),MATCH(J$6,'Restaurant Base (Hidden)'!$A$1:$Z$1,0)),"")</f>
        <v>5</v>
      </c>
      <c r="K88" s="20" t="str">
        <f>+IFERROR(INDEX('Restaurant Base (Hidden)'!$A$2:$Z$1048576,MATCH($C88,'Restaurant Base (Hidden)'!$C$2:$C$1048576,0),MATCH(K$6,'Restaurant Base (Hidden)'!$A$1:$Z$1,0)),"")</f>
        <v>0,162</v>
      </c>
      <c r="L88" s="51">
        <f>+IFERROR(INDEX('Restaurant Base (Hidden)'!$A$2:$Z$1048576,MATCH($C88,'Restaurant Base (Hidden)'!$C$2:$C$1048576,0),MATCH(L$6,'Restaurant Base (Hidden)'!$A$1:$Z$1,0)),"")</f>
        <v>2</v>
      </c>
      <c r="M88" s="2" t="str">
        <f>+IFERROR(INDEX('Restaurant Base (Hidden)'!$A$2:$Z$1048576,MATCH($C88,'Restaurant Base (Hidden)'!$C$2:$C$1048576,0),MATCH(M$6,'Restaurant Base (Hidden)'!$A$1:$Z$1,0)),"")</f>
        <v/>
      </c>
      <c r="N88" s="234" t="str">
        <f>+IFERROR(INDEX('Restaurant Base (Hidden)'!$A$2:$Z$1048576,MATCH($C88,'Restaurant Base (Hidden)'!$C$2:$C$1048576,0),MATCH(N$6,'Restaurant Base (Hidden)'!$A$1:$Z$1,0)),"")</f>
        <v>81,10 %</v>
      </c>
      <c r="O88" s="1">
        <f>+IFERROR(INDEX('Restaurant Base (Hidden)'!$A$2:$Z$1048576,MATCH($C88,'Restaurant Base (Hidden)'!$C$2:$C$1048576,0),MATCH(O$6,'Restaurant Base (Hidden)'!$A$1:$Z$1,0)),"")</f>
        <v>5</v>
      </c>
      <c r="P88" s="2" t="str">
        <f>+IFERROR(INDEX('Restaurant Base (Hidden)'!$A$2:$Z$1048576,MATCH($C88,'Restaurant Base (Hidden)'!$C$2:$C$1048576,0),MATCH(P$6,'Restaurant Base (Hidden)'!$A$1:$Z$1,0)),"")</f>
        <v/>
      </c>
      <c r="Q88" s="234" t="str">
        <f>+IFERROR(INDEX('Restaurant Base (Hidden)'!$A$2:$Z$1048576,MATCH($C88,'Restaurant Base (Hidden)'!$C$2:$C$1048576,0),MATCH(Q$6,'Restaurant Base (Hidden)'!$A$1:$Z$1,0)),"")</f>
        <v>98,20 %</v>
      </c>
      <c r="R88" s="1">
        <f>+IFERROR(INDEX('Restaurant Base (Hidden)'!$A$2:$Z$1048576,MATCH($C88,'Restaurant Base (Hidden)'!$C$2:$C$1048576,0),MATCH(R$6,'Restaurant Base (Hidden)'!$A$1:$Z$1,0)),"")</f>
        <v>5</v>
      </c>
      <c r="S88" s="2" t="str">
        <f>+IFERROR(INDEX('Restaurant Base (Hidden)'!$A$2:$Z$1048576,MATCH($C88,'Restaurant Base (Hidden)'!$C$2:$C$1048576,0),MATCH(S$6,'Restaurant Base (Hidden)'!$A$1:$Z$1,0)),"")</f>
        <v/>
      </c>
      <c r="T88" s="62">
        <f>+IFERROR(INDEX('Restaurant Base (Hidden)'!$A$2:$Z$1048576,MATCH($C88,'Restaurant Base (Hidden)'!$C$2:$C$1048576,0),MATCH(T$6,'Restaurant Base (Hidden)'!$A$1:$Z$1,0)),"")</f>
        <v>53.6</v>
      </c>
      <c r="U88" s="1">
        <f>+IFERROR(INDEX('Restaurant Base (Hidden)'!$A$2:$Z$1048576,MATCH($C88,'Restaurant Base (Hidden)'!$C$2:$C$1048576,0),MATCH(U$6,'Restaurant Base (Hidden)'!$A$1:$Z$1,0)),"")</f>
        <v>1</v>
      </c>
      <c r="V88" s="2" t="str">
        <f>+IFERROR(INDEX('Restaurant Base (Hidden)'!$A$2:$Z$1048576,MATCH($C88,'Restaurant Base (Hidden)'!$C$2:$C$1048576,0),MATCH(V$6,'Restaurant Base (Hidden)'!$A$1:$Z$1,0)),"")</f>
        <v/>
      </c>
      <c r="W88" s="65" t="str">
        <f>+IFERROR(INDEX('Restaurant Base (Hidden)'!$A$2:$Z$1048576,MATCH($C88,'Restaurant Base (Hidden)'!$C$2:$C$1048576,0),MATCH(W$6,'Restaurant Base (Hidden)'!$A$1:$Z$1,0)),"")</f>
        <v>95,20 %</v>
      </c>
      <c r="X88" s="1">
        <f>+IFERROR(INDEX('Restaurant Base (Hidden)'!$A$2:$Z$1048576,MATCH($C88,'Restaurant Base (Hidden)'!$C$2:$C$1048576,0),MATCH(X$6,'Restaurant Base (Hidden)'!$A$1:$Z$1,0)),"")</f>
        <v>4</v>
      </c>
      <c r="Y88" s="65" t="str">
        <f>+IFERROR(INDEX('Restaurant Base (Hidden)'!$A$2:$Z$1048576,MATCH($C88,'Restaurant Base (Hidden)'!$C$2:$C$1048576,0),MATCH(Y$6,'Restaurant Base (Hidden)'!$A$1:$Z$1,0)),"")</f>
        <v>84,30 %</v>
      </c>
      <c r="Z88" s="106">
        <f>+IFERROR(INDEX('Restaurant Base (Hidden)'!$A$2:$Z$1048576,MATCH($C88,'Restaurant Base (Hidden)'!$C$2:$C$1048576,0),MATCH(Z$6,'Restaurant Base (Hidden)'!$A$1:$Z$1,0)),"")</f>
        <v>3</v>
      </c>
      <c r="AA88" s="65" t="str">
        <f>+IFERROR(INDEX('Restaurant Base (Hidden)'!$A$2:$Z$1048576,MATCH($C88,'Restaurant Base (Hidden)'!$C$2:$C$1048576,0),MATCH(AA$6,'Restaurant Base (Hidden)'!$A$1:$Z$1,0)),"")</f>
        <v>74,40 %</v>
      </c>
      <c r="AB88" s="1">
        <f>+IFERROR(INDEX('Restaurant Base (Hidden)'!$A$2:$Z$1048576,MATCH($C88,'Restaurant Base (Hidden)'!$C$2:$C$1048576,0),MATCH(AB$6,'Restaurant Base (Hidden)'!$A$1:$Z$1,0)),"")</f>
        <v>2</v>
      </c>
      <c r="AC88" s="20" t="str">
        <f>+IFERROR(INDEX('Restaurant Base (Hidden)'!$A$2:$Z$1048576,MATCH($C88,'Restaurant Base (Hidden)'!$C$2:$C$1048576,0),MATCH(AC$6,'Restaurant Base (Hidden)'!$A$1:$Z$1,0)),"")</f>
        <v/>
      </c>
      <c r="AD88" s="65" t="str">
        <f>+IFERROR(INDEX('Restaurant Base (Hidden)'!$A$2:$Z$1048576,MATCH($C88,'Restaurant Base (Hidden)'!$C$2:$C$1048576,0),MATCH(AD$6,'Restaurant Base (Hidden)'!$A$1:$Z$1,0)),"")</f>
        <v>70,70 %</v>
      </c>
      <c r="AE88" s="1">
        <f>+IFERROR(INDEX('Restaurant Base (Hidden)'!$A$2:$Z$1048576,MATCH($C88,'Restaurant Base (Hidden)'!$C$2:$C$1048576,0),MATCH(AE$6,'Restaurant Base (Hidden)'!$A$1:$Z$1,0)),"")</f>
        <v>1</v>
      </c>
      <c r="AF88" s="65" t="str">
        <f>+IFERROR(INDEX('Restaurant Base (Hidden)'!$A$2:$Z$1048576,MATCH($C88,'Restaurant Base (Hidden)'!$C$2:$C$1048576,0),MATCH(AF$6,'Restaurant Base (Hidden)'!$A$1:$Z$1,0)),"")</f>
        <v>76,50 %</v>
      </c>
      <c r="AG88" s="1">
        <f>+IFERROR(INDEX('Restaurant Base (Hidden)'!$A$2:$Z$1048576,MATCH($C88,'Restaurant Base (Hidden)'!$C$2:$C$1048576,0),MATCH(AG$6,'Restaurant Base (Hidden)'!$A$1:$Z$1,0)),"")</f>
        <v>2</v>
      </c>
    </row>
    <row r="89" spans="1:33" x14ac:dyDescent="0.4">
      <c r="A89" s="163" t="str">
        <f>IF('Restaurant Base (Hidden)'!A73=0,"", 'Restaurant Base (Hidden)'!A73)</f>
        <v>Morgan Rivington</v>
      </c>
      <c r="B89" s="163" t="str">
        <f>IF('Restaurant Base (Hidden)'!B73=0,"", 'Restaurant Base (Hidden)'!B73)</f>
        <v>Brightstone Food Group</v>
      </c>
      <c r="C89" s="163" t="str">
        <f>IF('Restaurant Base (Hidden)'!C73=0,"", 'Restaurant Base (Hidden)'!C73)</f>
        <v>Westmere Park</v>
      </c>
      <c r="D89" s="104">
        <f t="shared" si="1"/>
        <v>83</v>
      </c>
      <c r="E89" s="105">
        <f>+IFERROR(INDEX('Restaurant Base (Hidden)'!$A$2:$Z$1048576,MATCH($C89,'Restaurant Base (Hidden)'!$C$2:$C$1048576,0),MATCH(E$6,'Restaurant Base (Hidden)'!$A$1:$Z$1,0)),"")</f>
        <v>3.38</v>
      </c>
      <c r="F89" s="64" t="str">
        <f>+IFERROR(INDEX('Restaurant Base (Hidden)'!$A$2:$Z$1048576,MATCH($C89,'Restaurant Base (Hidden)'!$C$2:$C$1048576,0),MATCH(F$6,'Restaurant Base (Hidden)'!$A$1:$Z$1,0)),"")</f>
        <v/>
      </c>
      <c r="G89" s="20" t="str">
        <f>+IFERROR(INDEX('Restaurant Base (Hidden)'!$A$2:$Z$1048576,MATCH($C89,'Restaurant Base (Hidden)'!$C$2:$C$1048576,0),MATCH(G$6,'Restaurant Base (Hidden)'!$A$1:$Z$1,0)),"")</f>
        <v>4,106</v>
      </c>
      <c r="H89" s="50">
        <f>+IFERROR(INDEX('Restaurant Base (Hidden)'!$A$2:$Z$1048576,MATCH($C89,'Restaurant Base (Hidden)'!$C$2:$C$1048576,0),MATCH(H$6,'Restaurant Base (Hidden)'!$A$1:$Z$1,0)),"")</f>
        <v>2</v>
      </c>
      <c r="I89" s="20" t="str">
        <f>+IFERROR(INDEX('Restaurant Base (Hidden)'!$A$2:$Z$1048576,MATCH($C89,'Restaurant Base (Hidden)'!$C$2:$C$1048576,0),MATCH(I$6,'Restaurant Base (Hidden)'!$A$1:$Z$1,0)),"")</f>
        <v>91,70 %</v>
      </c>
      <c r="J89" s="49">
        <f>+IFERROR(INDEX('Restaurant Base (Hidden)'!$A$2:$Z$1048576,MATCH($C89,'Restaurant Base (Hidden)'!$C$2:$C$1048576,0),MATCH(J$6,'Restaurant Base (Hidden)'!$A$1:$Z$1,0)),"")</f>
        <v>4</v>
      </c>
      <c r="K89" s="20" t="str">
        <f>+IFERROR(INDEX('Restaurant Base (Hidden)'!$A$2:$Z$1048576,MATCH($C89,'Restaurant Base (Hidden)'!$C$2:$C$1048576,0),MATCH(K$6,'Restaurant Base (Hidden)'!$A$1:$Z$1,0)),"")</f>
        <v>0,179</v>
      </c>
      <c r="L89" s="51">
        <f>+IFERROR(INDEX('Restaurant Base (Hidden)'!$A$2:$Z$1048576,MATCH($C89,'Restaurant Base (Hidden)'!$C$2:$C$1048576,0),MATCH(L$6,'Restaurant Base (Hidden)'!$A$1:$Z$1,0)),"")</f>
        <v>2</v>
      </c>
      <c r="M89" s="2" t="str">
        <f>+IFERROR(INDEX('Restaurant Base (Hidden)'!$A$2:$Z$1048576,MATCH($C89,'Restaurant Base (Hidden)'!$C$2:$C$1048576,0),MATCH(M$6,'Restaurant Base (Hidden)'!$A$1:$Z$1,0)),"")</f>
        <v/>
      </c>
      <c r="N89" s="234" t="str">
        <f>+IFERROR(INDEX('Restaurant Base (Hidden)'!$A$2:$Z$1048576,MATCH($C89,'Restaurant Base (Hidden)'!$C$2:$C$1048576,0),MATCH(N$6,'Restaurant Base (Hidden)'!$A$1:$Z$1,0)),"")</f>
        <v>70,60 %</v>
      </c>
      <c r="O89" s="1">
        <f>+IFERROR(INDEX('Restaurant Base (Hidden)'!$A$2:$Z$1048576,MATCH($C89,'Restaurant Base (Hidden)'!$C$2:$C$1048576,0),MATCH(O$6,'Restaurant Base (Hidden)'!$A$1:$Z$1,0)),"")</f>
        <v>4</v>
      </c>
      <c r="P89" s="2" t="str">
        <f>+IFERROR(INDEX('Restaurant Base (Hidden)'!$A$2:$Z$1048576,MATCH($C89,'Restaurant Base (Hidden)'!$C$2:$C$1048576,0),MATCH(P$6,'Restaurant Base (Hidden)'!$A$1:$Z$1,0)),"")</f>
        <v/>
      </c>
      <c r="Q89" s="234" t="str">
        <f>+IFERROR(INDEX('Restaurant Base (Hidden)'!$A$2:$Z$1048576,MATCH($C89,'Restaurant Base (Hidden)'!$C$2:$C$1048576,0),MATCH(Q$6,'Restaurant Base (Hidden)'!$A$1:$Z$1,0)),"")</f>
        <v>89,00 %</v>
      </c>
      <c r="R89" s="1">
        <f>+IFERROR(INDEX('Restaurant Base (Hidden)'!$A$2:$Z$1048576,MATCH($C89,'Restaurant Base (Hidden)'!$C$2:$C$1048576,0),MATCH(R$6,'Restaurant Base (Hidden)'!$A$1:$Z$1,0)),"")</f>
        <v>5</v>
      </c>
      <c r="S89" s="2" t="str">
        <f>+IFERROR(INDEX('Restaurant Base (Hidden)'!$A$2:$Z$1048576,MATCH($C89,'Restaurant Base (Hidden)'!$C$2:$C$1048576,0),MATCH(S$6,'Restaurant Base (Hidden)'!$A$1:$Z$1,0)),"")</f>
        <v/>
      </c>
      <c r="T89" s="62">
        <f>+IFERROR(INDEX('Restaurant Base (Hidden)'!$A$2:$Z$1048576,MATCH($C89,'Restaurant Base (Hidden)'!$C$2:$C$1048576,0),MATCH(T$6,'Restaurant Base (Hidden)'!$A$1:$Z$1,0)),"")</f>
        <v>71.3</v>
      </c>
      <c r="U89" s="1">
        <f>+IFERROR(INDEX('Restaurant Base (Hidden)'!$A$2:$Z$1048576,MATCH($C89,'Restaurant Base (Hidden)'!$C$2:$C$1048576,0),MATCH(U$6,'Restaurant Base (Hidden)'!$A$1:$Z$1,0)),"")</f>
        <v>5</v>
      </c>
      <c r="V89" s="2" t="str">
        <f>+IFERROR(INDEX('Restaurant Base (Hidden)'!$A$2:$Z$1048576,MATCH($C89,'Restaurant Base (Hidden)'!$C$2:$C$1048576,0),MATCH(V$6,'Restaurant Base (Hidden)'!$A$1:$Z$1,0)),"")</f>
        <v/>
      </c>
      <c r="W89" s="65" t="str">
        <f>+IFERROR(INDEX('Restaurant Base (Hidden)'!$A$2:$Z$1048576,MATCH($C89,'Restaurant Base (Hidden)'!$C$2:$C$1048576,0),MATCH(W$6,'Restaurant Base (Hidden)'!$A$1:$Z$1,0)),"")</f>
        <v>74,10 %</v>
      </c>
      <c r="X89" s="1">
        <f>+IFERROR(INDEX('Restaurant Base (Hidden)'!$A$2:$Z$1048576,MATCH($C89,'Restaurant Base (Hidden)'!$C$2:$C$1048576,0),MATCH(X$6,'Restaurant Base (Hidden)'!$A$1:$Z$1,0)),"")</f>
        <v>2</v>
      </c>
      <c r="Y89" s="65" t="str">
        <f>+IFERROR(INDEX('Restaurant Base (Hidden)'!$A$2:$Z$1048576,MATCH($C89,'Restaurant Base (Hidden)'!$C$2:$C$1048576,0),MATCH(Y$6,'Restaurant Base (Hidden)'!$A$1:$Z$1,0)),"")</f>
        <v>93,30 %</v>
      </c>
      <c r="Z89" s="106">
        <f>+IFERROR(INDEX('Restaurant Base (Hidden)'!$A$2:$Z$1048576,MATCH($C89,'Restaurant Base (Hidden)'!$C$2:$C$1048576,0),MATCH(Z$6,'Restaurant Base (Hidden)'!$A$1:$Z$1,0)),"")</f>
        <v>3</v>
      </c>
      <c r="AA89" s="65" t="str">
        <f>+IFERROR(INDEX('Restaurant Base (Hidden)'!$A$2:$Z$1048576,MATCH($C89,'Restaurant Base (Hidden)'!$C$2:$C$1048576,0),MATCH(AA$6,'Restaurant Base (Hidden)'!$A$1:$Z$1,0)),"")</f>
        <v>92,50 %</v>
      </c>
      <c r="AB89" s="1">
        <f>+IFERROR(INDEX('Restaurant Base (Hidden)'!$A$2:$Z$1048576,MATCH($C89,'Restaurant Base (Hidden)'!$C$2:$C$1048576,0),MATCH(AB$6,'Restaurant Base (Hidden)'!$A$1:$Z$1,0)),"")</f>
        <v>3</v>
      </c>
      <c r="AC89" s="20" t="str">
        <f>+IFERROR(INDEX('Restaurant Base (Hidden)'!$A$2:$Z$1048576,MATCH($C89,'Restaurant Base (Hidden)'!$C$2:$C$1048576,0),MATCH(AC$6,'Restaurant Base (Hidden)'!$A$1:$Z$1,0)),"")</f>
        <v/>
      </c>
      <c r="AD89" s="65" t="str">
        <f>+IFERROR(INDEX('Restaurant Base (Hidden)'!$A$2:$Z$1048576,MATCH($C89,'Restaurant Base (Hidden)'!$C$2:$C$1048576,0),MATCH(AD$6,'Restaurant Base (Hidden)'!$A$1:$Z$1,0)),"")</f>
        <v>78,30 %</v>
      </c>
      <c r="AE89" s="1">
        <f>+IFERROR(INDEX('Restaurant Base (Hidden)'!$A$2:$Z$1048576,MATCH($C89,'Restaurant Base (Hidden)'!$C$2:$C$1048576,0),MATCH(AE$6,'Restaurant Base (Hidden)'!$A$1:$Z$1,0)),"")</f>
        <v>2</v>
      </c>
      <c r="AF89" s="65" t="str">
        <f>+IFERROR(INDEX('Restaurant Base (Hidden)'!$A$2:$Z$1048576,MATCH($C89,'Restaurant Base (Hidden)'!$C$2:$C$1048576,0),MATCH(AF$6,'Restaurant Base (Hidden)'!$A$1:$Z$1,0)),"")</f>
        <v>80,80 %</v>
      </c>
      <c r="AG89" s="1">
        <f>+IFERROR(INDEX('Restaurant Base (Hidden)'!$A$2:$Z$1048576,MATCH($C89,'Restaurant Base (Hidden)'!$C$2:$C$1048576,0),MATCH(AG$6,'Restaurant Base (Hidden)'!$A$1:$Z$1,0)),"")</f>
        <v>2</v>
      </c>
    </row>
    <row r="90" spans="1:33" x14ac:dyDescent="0.4">
      <c r="A90" s="163" t="str">
        <f>IF('Restaurant Base (Hidden)'!A237=0,"", 'Restaurant Base (Hidden)'!A237)</f>
        <v>Cameron Creston</v>
      </c>
      <c r="B90" s="163" t="str">
        <f>IF('Restaurant Base (Hidden)'!B237=0,"", 'Restaurant Base (Hidden)'!B237)</f>
        <v>Riverstone Food Partners</v>
      </c>
      <c r="C90" s="163" t="str">
        <f>IF('Restaurant Base (Hidden)'!C237=0,"", 'Restaurant Base (Hidden)'!C237)</f>
        <v>Valley Station</v>
      </c>
      <c r="D90" s="104">
        <f t="shared" si="1"/>
        <v>83</v>
      </c>
      <c r="E90" s="105">
        <f>+IFERROR(INDEX('Restaurant Base (Hidden)'!$A$2:$Z$1048576,MATCH($C90,'Restaurant Base (Hidden)'!$C$2:$C$1048576,0),MATCH(E$6,'Restaurant Base (Hidden)'!$A$1:$Z$1,0)),"")</f>
        <v>3.38</v>
      </c>
      <c r="F90" s="2" t="str">
        <f>+IFERROR(INDEX('Restaurant Base (Hidden)'!$A$2:$Z$1048576,MATCH($C90,'Restaurant Base (Hidden)'!$C$2:$C$1048576,0),MATCH(F$6,'Restaurant Base (Hidden)'!$A$1:$Z$1,0)),"")</f>
        <v/>
      </c>
      <c r="G90" s="20" t="str">
        <f>+IFERROR(INDEX('Restaurant Base (Hidden)'!$A$2:$Z$1048576,MATCH($C90,'Restaurant Base (Hidden)'!$C$2:$C$1048576,0),MATCH(G$6,'Restaurant Base (Hidden)'!$A$1:$Z$1,0)),"")</f>
        <v>4,702</v>
      </c>
      <c r="H90" s="50">
        <f>+IFERROR(INDEX('Restaurant Base (Hidden)'!$A$2:$Z$1048576,MATCH($C90,'Restaurant Base (Hidden)'!$C$2:$C$1048576,0),MATCH(H$6,'Restaurant Base (Hidden)'!$A$1:$Z$1,0)),"")</f>
        <v>5</v>
      </c>
      <c r="I90" s="20" t="str">
        <f>+IFERROR(INDEX('Restaurant Base (Hidden)'!$A$2:$Z$1048576,MATCH($C90,'Restaurant Base (Hidden)'!$C$2:$C$1048576,0),MATCH(I$6,'Restaurant Base (Hidden)'!$A$1:$Z$1,0)),"")</f>
        <v>98,30 %</v>
      </c>
      <c r="J90" s="49">
        <f>+IFERROR(INDEX('Restaurant Base (Hidden)'!$A$2:$Z$1048576,MATCH($C90,'Restaurant Base (Hidden)'!$C$2:$C$1048576,0),MATCH(J$6,'Restaurant Base (Hidden)'!$A$1:$Z$1,0)),"")</f>
        <v>5</v>
      </c>
      <c r="K90" s="20" t="str">
        <f>+IFERROR(INDEX('Restaurant Base (Hidden)'!$A$2:$Z$1048576,MATCH($C90,'Restaurant Base (Hidden)'!$C$2:$C$1048576,0),MATCH(K$6,'Restaurant Base (Hidden)'!$A$1:$Z$1,0)),"")</f>
        <v>0,195</v>
      </c>
      <c r="L90" s="51">
        <f>+IFERROR(INDEX('Restaurant Base (Hidden)'!$A$2:$Z$1048576,MATCH($C90,'Restaurant Base (Hidden)'!$C$2:$C$1048576,0),MATCH(L$6,'Restaurant Base (Hidden)'!$A$1:$Z$1,0)),"")</f>
        <v>1</v>
      </c>
      <c r="M90" s="2" t="str">
        <f>+IFERROR(INDEX('Restaurant Base (Hidden)'!$A$2:$Z$1048576,MATCH($C90,'Restaurant Base (Hidden)'!$C$2:$C$1048576,0),MATCH(M$6,'Restaurant Base (Hidden)'!$A$1:$Z$1,0)),"")</f>
        <v/>
      </c>
      <c r="N90" s="234" t="str">
        <f>+IFERROR(INDEX('Restaurant Base (Hidden)'!$A$2:$Z$1048576,MATCH($C90,'Restaurant Base (Hidden)'!$C$2:$C$1048576,0),MATCH(N$6,'Restaurant Base (Hidden)'!$A$1:$Z$1,0)),"")</f>
        <v>98,00 %</v>
      </c>
      <c r="O90" s="1">
        <f>+IFERROR(INDEX('Restaurant Base (Hidden)'!$A$2:$Z$1048576,MATCH($C90,'Restaurant Base (Hidden)'!$C$2:$C$1048576,0),MATCH(O$6,'Restaurant Base (Hidden)'!$A$1:$Z$1,0)),"")</f>
        <v>5</v>
      </c>
      <c r="P90" s="2" t="str">
        <f>+IFERROR(INDEX('Restaurant Base (Hidden)'!$A$2:$Z$1048576,MATCH($C90,'Restaurant Base (Hidden)'!$C$2:$C$1048576,0),MATCH(P$6,'Restaurant Base (Hidden)'!$A$1:$Z$1,0)),"")</f>
        <v/>
      </c>
      <c r="Q90" s="234" t="str">
        <f>+IFERROR(INDEX('Restaurant Base (Hidden)'!$A$2:$Z$1048576,MATCH($C90,'Restaurant Base (Hidden)'!$C$2:$C$1048576,0),MATCH(Q$6,'Restaurant Base (Hidden)'!$A$1:$Z$1,0)),"")</f>
        <v>79,80 %</v>
      </c>
      <c r="R90" s="1">
        <f>+IFERROR(INDEX('Restaurant Base (Hidden)'!$A$2:$Z$1048576,MATCH($C90,'Restaurant Base (Hidden)'!$C$2:$C$1048576,0),MATCH(R$6,'Restaurant Base (Hidden)'!$A$1:$Z$1,0)),"")</f>
        <v>5</v>
      </c>
      <c r="S90" s="2" t="str">
        <f>+IFERROR(INDEX('Restaurant Base (Hidden)'!$A$2:$Z$1048576,MATCH($C90,'Restaurant Base (Hidden)'!$C$2:$C$1048576,0),MATCH(S$6,'Restaurant Base (Hidden)'!$A$1:$Z$1,0)),"")</f>
        <v/>
      </c>
      <c r="T90" s="62">
        <f>+IFERROR(INDEX('Restaurant Base (Hidden)'!$A$2:$Z$1048576,MATCH($C90,'Restaurant Base (Hidden)'!$C$2:$C$1048576,0),MATCH(T$6,'Restaurant Base (Hidden)'!$A$1:$Z$1,0)),"")</f>
        <v>53.2</v>
      </c>
      <c r="U90" s="1">
        <f>+IFERROR(INDEX('Restaurant Base (Hidden)'!$A$2:$Z$1048576,MATCH($C90,'Restaurant Base (Hidden)'!$C$2:$C$1048576,0),MATCH(U$6,'Restaurant Base (Hidden)'!$A$1:$Z$1,0)),"")</f>
        <v>1</v>
      </c>
      <c r="V90" s="2" t="str">
        <f>+IFERROR(INDEX('Restaurant Base (Hidden)'!$A$2:$Z$1048576,MATCH($C90,'Restaurant Base (Hidden)'!$C$2:$C$1048576,0),MATCH(V$6,'Restaurant Base (Hidden)'!$A$1:$Z$1,0)),"")</f>
        <v/>
      </c>
      <c r="W90" s="65" t="str">
        <f>+IFERROR(INDEX('Restaurant Base (Hidden)'!$A$2:$Z$1048576,MATCH($C90,'Restaurant Base (Hidden)'!$C$2:$C$1048576,0),MATCH(W$6,'Restaurant Base (Hidden)'!$A$1:$Z$1,0)),"")</f>
        <v>88,30 %</v>
      </c>
      <c r="X90" s="1">
        <f>+IFERROR(INDEX('Restaurant Base (Hidden)'!$A$2:$Z$1048576,MATCH($C90,'Restaurant Base (Hidden)'!$C$2:$C$1048576,0),MATCH(X$6,'Restaurant Base (Hidden)'!$A$1:$Z$1,0)),"")</f>
        <v>3</v>
      </c>
      <c r="Y90" s="65" t="str">
        <f>+IFERROR(INDEX('Restaurant Base (Hidden)'!$A$2:$Z$1048576,MATCH($C90,'Restaurant Base (Hidden)'!$C$2:$C$1048576,0),MATCH(Y$6,'Restaurant Base (Hidden)'!$A$1:$Z$1,0)),"")</f>
        <v>73,70 %</v>
      </c>
      <c r="Z90" s="106">
        <f>+IFERROR(INDEX('Restaurant Base (Hidden)'!$A$2:$Z$1048576,MATCH($C90,'Restaurant Base (Hidden)'!$C$2:$C$1048576,0),MATCH(Z$6,'Restaurant Base (Hidden)'!$A$1:$Z$1,0)),"")</f>
        <v>2</v>
      </c>
      <c r="AA90" s="65" t="str">
        <f>+IFERROR(INDEX('Restaurant Base (Hidden)'!$A$2:$Z$1048576,MATCH($C90,'Restaurant Base (Hidden)'!$C$2:$C$1048576,0),MATCH(AA$6,'Restaurant Base (Hidden)'!$A$1:$Z$1,0)),"")</f>
        <v>92,30 %</v>
      </c>
      <c r="AB90" s="1">
        <f>+IFERROR(INDEX('Restaurant Base (Hidden)'!$A$2:$Z$1048576,MATCH($C90,'Restaurant Base (Hidden)'!$C$2:$C$1048576,0),MATCH(AB$6,'Restaurant Base (Hidden)'!$A$1:$Z$1,0)),"")</f>
        <v>3</v>
      </c>
      <c r="AC90" s="20" t="str">
        <f>+IFERROR(INDEX('Restaurant Base (Hidden)'!$A$2:$Z$1048576,MATCH($C90,'Restaurant Base (Hidden)'!$C$2:$C$1048576,0),MATCH(AC$6,'Restaurant Base (Hidden)'!$A$1:$Z$1,0)),"")</f>
        <v/>
      </c>
      <c r="AD90" s="65" t="str">
        <f>+IFERROR(INDEX('Restaurant Base (Hidden)'!$A$2:$Z$1048576,MATCH($C90,'Restaurant Base (Hidden)'!$C$2:$C$1048576,0),MATCH(AD$6,'Restaurant Base (Hidden)'!$A$1:$Z$1,0)),"")</f>
        <v>77,70 %</v>
      </c>
      <c r="AE90" s="1">
        <f>+IFERROR(INDEX('Restaurant Base (Hidden)'!$A$2:$Z$1048576,MATCH($C90,'Restaurant Base (Hidden)'!$C$2:$C$1048576,0),MATCH(AE$6,'Restaurant Base (Hidden)'!$A$1:$Z$1,0)),"")</f>
        <v>2</v>
      </c>
      <c r="AF90" s="65" t="str">
        <f>+IFERROR(INDEX('Restaurant Base (Hidden)'!$A$2:$Z$1048576,MATCH($C90,'Restaurant Base (Hidden)'!$C$2:$C$1048576,0),MATCH(AF$6,'Restaurant Base (Hidden)'!$A$1:$Z$1,0)),"")</f>
        <v>76,80 %</v>
      </c>
      <c r="AG90" s="1">
        <f>+IFERROR(INDEX('Restaurant Base (Hidden)'!$A$2:$Z$1048576,MATCH($C90,'Restaurant Base (Hidden)'!$C$2:$C$1048576,0),MATCH(AG$6,'Restaurant Base (Hidden)'!$A$1:$Z$1,0)),"")</f>
        <v>2</v>
      </c>
    </row>
    <row r="91" spans="1:33" x14ac:dyDescent="0.4">
      <c r="A91" s="163" t="str">
        <f>IF('Restaurant Base (Hidden)'!A378=0,"", 'Restaurant Base (Hidden)'!A378)</f>
        <v>Tatum Westmere</v>
      </c>
      <c r="B91" s="163" t="str">
        <f>IF('Restaurant Base (Hidden)'!B378=0,"", 'Restaurant Base (Hidden)'!B378)</f>
        <v>Crownfield Hospitality</v>
      </c>
      <c r="C91" s="163" t="str">
        <f>IF('Restaurant Base (Hidden)'!C378=0,"", 'Restaurant Base (Hidden)'!C378)</f>
        <v>Sunny Mews</v>
      </c>
      <c r="D91" s="104">
        <f t="shared" si="1"/>
        <v>83</v>
      </c>
      <c r="E91" s="105">
        <f>+IFERROR(INDEX('Restaurant Base (Hidden)'!$A$2:$Z$1048576,MATCH($C91,'Restaurant Base (Hidden)'!$C$2:$C$1048576,0),MATCH(E$6,'Restaurant Base (Hidden)'!$A$1:$Z$1,0)),"")</f>
        <v>3.38</v>
      </c>
      <c r="F91" s="2" t="str">
        <f>+IFERROR(INDEX('Restaurant Base (Hidden)'!$A$2:$Z$1048576,MATCH($C91,'Restaurant Base (Hidden)'!$C$2:$C$1048576,0),MATCH(F$6,'Restaurant Base (Hidden)'!$A$1:$Z$1,0)),"")</f>
        <v/>
      </c>
      <c r="G91" s="20" t="str">
        <f>+IFERROR(INDEX('Restaurant Base (Hidden)'!$A$2:$Z$1048576,MATCH($C91,'Restaurant Base (Hidden)'!$C$2:$C$1048576,0),MATCH(G$6,'Restaurant Base (Hidden)'!$A$1:$Z$1,0)),"")</f>
        <v>4,495</v>
      </c>
      <c r="H91" s="50">
        <f>+IFERROR(INDEX('Restaurant Base (Hidden)'!$A$2:$Z$1048576,MATCH($C91,'Restaurant Base (Hidden)'!$C$2:$C$1048576,0),MATCH(H$6,'Restaurant Base (Hidden)'!$A$1:$Z$1,0)),"")</f>
        <v>4</v>
      </c>
      <c r="I91" s="20" t="str">
        <f>+IFERROR(INDEX('Restaurant Base (Hidden)'!$A$2:$Z$1048576,MATCH($C91,'Restaurant Base (Hidden)'!$C$2:$C$1048576,0),MATCH(I$6,'Restaurant Base (Hidden)'!$A$1:$Z$1,0)),"")</f>
        <v>73,80 %</v>
      </c>
      <c r="J91" s="49">
        <f>+IFERROR(INDEX('Restaurant Base (Hidden)'!$A$2:$Z$1048576,MATCH($C91,'Restaurant Base (Hidden)'!$C$2:$C$1048576,0),MATCH(J$6,'Restaurant Base (Hidden)'!$A$1:$Z$1,0)),"")</f>
        <v>1</v>
      </c>
      <c r="K91" s="20" t="str">
        <f>+IFERROR(INDEX('Restaurant Base (Hidden)'!$A$2:$Z$1048576,MATCH($C91,'Restaurant Base (Hidden)'!$C$2:$C$1048576,0),MATCH(K$6,'Restaurant Base (Hidden)'!$A$1:$Z$1,0)),"")</f>
        <v>0,114</v>
      </c>
      <c r="L91" s="51">
        <f>+IFERROR(INDEX('Restaurant Base (Hidden)'!$A$2:$Z$1048576,MATCH($C91,'Restaurant Base (Hidden)'!$C$2:$C$1048576,0),MATCH(L$6,'Restaurant Base (Hidden)'!$A$1:$Z$1,0)),"")</f>
        <v>3</v>
      </c>
      <c r="M91" s="2" t="str">
        <f>+IFERROR(INDEX('Restaurant Base (Hidden)'!$A$2:$Z$1048576,MATCH($C91,'Restaurant Base (Hidden)'!$C$2:$C$1048576,0),MATCH(M$6,'Restaurant Base (Hidden)'!$A$1:$Z$1,0)),"")</f>
        <v/>
      </c>
      <c r="N91" s="234" t="str">
        <f>+IFERROR(INDEX('Restaurant Base (Hidden)'!$A$2:$Z$1048576,MATCH($C91,'Restaurant Base (Hidden)'!$C$2:$C$1048576,0),MATCH(N$6,'Restaurant Base (Hidden)'!$A$1:$Z$1,0)),"")</f>
        <v>87,10 %</v>
      </c>
      <c r="O91" s="1">
        <f>+IFERROR(INDEX('Restaurant Base (Hidden)'!$A$2:$Z$1048576,MATCH($C91,'Restaurant Base (Hidden)'!$C$2:$C$1048576,0),MATCH(O$6,'Restaurant Base (Hidden)'!$A$1:$Z$1,0)),"")</f>
        <v>5</v>
      </c>
      <c r="P91" s="2" t="str">
        <f>+IFERROR(INDEX('Restaurant Base (Hidden)'!$A$2:$Z$1048576,MATCH($C91,'Restaurant Base (Hidden)'!$C$2:$C$1048576,0),MATCH(P$6,'Restaurant Base (Hidden)'!$A$1:$Z$1,0)),"")</f>
        <v/>
      </c>
      <c r="Q91" s="234" t="str">
        <f>+IFERROR(INDEX('Restaurant Base (Hidden)'!$A$2:$Z$1048576,MATCH($C91,'Restaurant Base (Hidden)'!$C$2:$C$1048576,0),MATCH(Q$6,'Restaurant Base (Hidden)'!$A$1:$Z$1,0)),"")</f>
        <v>96,90 %</v>
      </c>
      <c r="R91" s="1">
        <f>+IFERROR(INDEX('Restaurant Base (Hidden)'!$A$2:$Z$1048576,MATCH($C91,'Restaurant Base (Hidden)'!$C$2:$C$1048576,0),MATCH(R$6,'Restaurant Base (Hidden)'!$A$1:$Z$1,0)),"")</f>
        <v>5</v>
      </c>
      <c r="S91" s="2" t="str">
        <f>+IFERROR(INDEX('Restaurant Base (Hidden)'!$A$2:$Z$1048576,MATCH($C91,'Restaurant Base (Hidden)'!$C$2:$C$1048576,0),MATCH(S$6,'Restaurant Base (Hidden)'!$A$1:$Z$1,0)),"")</f>
        <v/>
      </c>
      <c r="T91" s="62">
        <f>+IFERROR(INDEX('Restaurant Base (Hidden)'!$A$2:$Z$1048576,MATCH($C91,'Restaurant Base (Hidden)'!$C$2:$C$1048576,0),MATCH(T$6,'Restaurant Base (Hidden)'!$A$1:$Z$1,0)),"")</f>
        <v>70.8</v>
      </c>
      <c r="U91" s="1">
        <f>+IFERROR(INDEX('Restaurant Base (Hidden)'!$A$2:$Z$1048576,MATCH($C91,'Restaurant Base (Hidden)'!$C$2:$C$1048576,0),MATCH(U$6,'Restaurant Base (Hidden)'!$A$1:$Z$1,0)),"")</f>
        <v>5</v>
      </c>
      <c r="V91" s="2" t="str">
        <f>+IFERROR(INDEX('Restaurant Base (Hidden)'!$A$2:$Z$1048576,MATCH($C91,'Restaurant Base (Hidden)'!$C$2:$C$1048576,0),MATCH(V$6,'Restaurant Base (Hidden)'!$A$1:$Z$1,0)),"")</f>
        <v/>
      </c>
      <c r="W91" s="65" t="str">
        <f>+IFERROR(INDEX('Restaurant Base (Hidden)'!$A$2:$Z$1048576,MATCH($C91,'Restaurant Base (Hidden)'!$C$2:$C$1048576,0),MATCH(W$6,'Restaurant Base (Hidden)'!$A$1:$Z$1,0)),"")</f>
        <v>80,20 %</v>
      </c>
      <c r="X91" s="1">
        <f>+IFERROR(INDEX('Restaurant Base (Hidden)'!$A$2:$Z$1048576,MATCH($C91,'Restaurant Base (Hidden)'!$C$2:$C$1048576,0),MATCH(X$6,'Restaurant Base (Hidden)'!$A$1:$Z$1,0)),"")</f>
        <v>3</v>
      </c>
      <c r="Y91" s="65" t="str">
        <f>+IFERROR(INDEX('Restaurant Base (Hidden)'!$A$2:$Z$1048576,MATCH($C91,'Restaurant Base (Hidden)'!$C$2:$C$1048576,0),MATCH(Y$6,'Restaurant Base (Hidden)'!$A$1:$Z$1,0)),"")</f>
        <v>78,20 %</v>
      </c>
      <c r="Z91" s="106">
        <f>+IFERROR(INDEX('Restaurant Base (Hidden)'!$A$2:$Z$1048576,MATCH($C91,'Restaurant Base (Hidden)'!$C$2:$C$1048576,0),MATCH(Z$6,'Restaurant Base (Hidden)'!$A$1:$Z$1,0)),"")</f>
        <v>2</v>
      </c>
      <c r="AA91" s="65" t="str">
        <f>+IFERROR(INDEX('Restaurant Base (Hidden)'!$A$2:$Z$1048576,MATCH($C91,'Restaurant Base (Hidden)'!$C$2:$C$1048576,0),MATCH(AA$6,'Restaurant Base (Hidden)'!$A$1:$Z$1,0)),"")</f>
        <v>89,20 %</v>
      </c>
      <c r="AB91" s="1">
        <f>+IFERROR(INDEX('Restaurant Base (Hidden)'!$A$2:$Z$1048576,MATCH($C91,'Restaurant Base (Hidden)'!$C$2:$C$1048576,0),MATCH(AB$6,'Restaurant Base (Hidden)'!$A$1:$Z$1,0)),"")</f>
        <v>3</v>
      </c>
      <c r="AC91" s="20" t="str">
        <f>+IFERROR(INDEX('Restaurant Base (Hidden)'!$A$2:$Z$1048576,MATCH($C91,'Restaurant Base (Hidden)'!$C$2:$C$1048576,0),MATCH(AC$6,'Restaurant Base (Hidden)'!$A$1:$Z$1,0)),"")</f>
        <v/>
      </c>
      <c r="AD91" s="65" t="str">
        <f>+IFERROR(INDEX('Restaurant Base (Hidden)'!$A$2:$Z$1048576,MATCH($C91,'Restaurant Base (Hidden)'!$C$2:$C$1048576,0),MATCH(AD$6,'Restaurant Base (Hidden)'!$A$1:$Z$1,0)),"")</f>
        <v>73,10 %</v>
      </c>
      <c r="AE91" s="1">
        <f>+IFERROR(INDEX('Restaurant Base (Hidden)'!$A$2:$Z$1048576,MATCH($C91,'Restaurant Base (Hidden)'!$C$2:$C$1048576,0),MATCH(AE$6,'Restaurant Base (Hidden)'!$A$1:$Z$1,0)),"")</f>
        <v>2</v>
      </c>
      <c r="AF91" s="65" t="str">
        <f>+IFERROR(INDEX('Restaurant Base (Hidden)'!$A$2:$Z$1048576,MATCH($C91,'Restaurant Base (Hidden)'!$C$2:$C$1048576,0),MATCH(AF$6,'Restaurant Base (Hidden)'!$A$1:$Z$1,0)),"")</f>
        <v>82,70 %</v>
      </c>
      <c r="AG91" s="1">
        <f>+IFERROR(INDEX('Restaurant Base (Hidden)'!$A$2:$Z$1048576,MATCH($C91,'Restaurant Base (Hidden)'!$C$2:$C$1048576,0),MATCH(AG$6,'Restaurant Base (Hidden)'!$A$1:$Z$1,0)),"")</f>
        <v>2</v>
      </c>
    </row>
    <row r="92" spans="1:33" x14ac:dyDescent="0.4">
      <c r="A92" s="163" t="str">
        <f>IF('Restaurant Base (Hidden)'!A208=0,"", 'Restaurant Base (Hidden)'!A208)</f>
        <v>Cameron Creston</v>
      </c>
      <c r="B92" s="163" t="str">
        <f>IF('Restaurant Base (Hidden)'!B208=0,"", 'Restaurant Base (Hidden)'!B208)</f>
        <v>Cedarstone Hospitality</v>
      </c>
      <c r="C92" s="163" t="str">
        <f>IF('Restaurant Base (Hidden)'!C208=0,"", 'Restaurant Base (Hidden)'!C208)</f>
        <v>Fox Ridge</v>
      </c>
      <c r="D92" s="104">
        <f t="shared" si="1"/>
        <v>86</v>
      </c>
      <c r="E92" s="105">
        <f>+IFERROR(INDEX('Restaurant Base (Hidden)'!$A$2:$Z$1048576,MATCH($C92,'Restaurant Base (Hidden)'!$C$2:$C$1048576,0),MATCH(E$6,'Restaurant Base (Hidden)'!$A$1:$Z$1,0)),"")</f>
        <v>3.36</v>
      </c>
      <c r="F92" s="2" t="str">
        <f>+IFERROR(INDEX('Restaurant Base (Hidden)'!$A$2:$Z$1048576,MATCH($C92,'Restaurant Base (Hidden)'!$C$2:$C$1048576,0),MATCH(F$6,'Restaurant Base (Hidden)'!$A$1:$Z$1,0)),"")</f>
        <v/>
      </c>
      <c r="G92" s="20" t="str">
        <f>+IFERROR(INDEX('Restaurant Base (Hidden)'!$A$2:$Z$1048576,MATCH($C92,'Restaurant Base (Hidden)'!$C$2:$C$1048576,0),MATCH(G$6,'Restaurant Base (Hidden)'!$A$1:$Z$1,0)),"")</f>
        <v>4,234</v>
      </c>
      <c r="H92" s="50">
        <f>+IFERROR(INDEX('Restaurant Base (Hidden)'!$A$2:$Z$1048576,MATCH($C92,'Restaurant Base (Hidden)'!$C$2:$C$1048576,0),MATCH(H$6,'Restaurant Base (Hidden)'!$A$1:$Z$1,0)),"")</f>
        <v>3</v>
      </c>
      <c r="I92" s="20" t="str">
        <f>+IFERROR(INDEX('Restaurant Base (Hidden)'!$A$2:$Z$1048576,MATCH($C92,'Restaurant Base (Hidden)'!$C$2:$C$1048576,0),MATCH(I$6,'Restaurant Base (Hidden)'!$A$1:$Z$1,0)),"")</f>
        <v>76,30 %</v>
      </c>
      <c r="J92" s="49">
        <f>+IFERROR(INDEX('Restaurant Base (Hidden)'!$A$2:$Z$1048576,MATCH($C92,'Restaurant Base (Hidden)'!$C$2:$C$1048576,0),MATCH(J$6,'Restaurant Base (Hidden)'!$A$1:$Z$1,0)),"")</f>
        <v>1</v>
      </c>
      <c r="K92" s="20" t="str">
        <f>+IFERROR(INDEX('Restaurant Base (Hidden)'!$A$2:$Z$1048576,MATCH($C92,'Restaurant Base (Hidden)'!$C$2:$C$1048576,0),MATCH(K$6,'Restaurant Base (Hidden)'!$A$1:$Z$1,0)),"")</f>
        <v>0,044</v>
      </c>
      <c r="L92" s="51">
        <f>+IFERROR(INDEX('Restaurant Base (Hidden)'!$A$2:$Z$1048576,MATCH($C92,'Restaurant Base (Hidden)'!$C$2:$C$1048576,0),MATCH(L$6,'Restaurant Base (Hidden)'!$A$1:$Z$1,0)),"")</f>
        <v>5</v>
      </c>
      <c r="M92" s="2" t="str">
        <f>+IFERROR(INDEX('Restaurant Base (Hidden)'!$A$2:$Z$1048576,MATCH($C92,'Restaurant Base (Hidden)'!$C$2:$C$1048576,0),MATCH(M$6,'Restaurant Base (Hidden)'!$A$1:$Z$1,0)),"")</f>
        <v/>
      </c>
      <c r="N92" s="234" t="str">
        <f>+IFERROR(INDEX('Restaurant Base (Hidden)'!$A$2:$Z$1048576,MATCH($C92,'Restaurant Base (Hidden)'!$C$2:$C$1048576,0),MATCH(N$6,'Restaurant Base (Hidden)'!$A$1:$Z$1,0)),"")</f>
        <v>88,10 %</v>
      </c>
      <c r="O92" s="1">
        <f>+IFERROR(INDEX('Restaurant Base (Hidden)'!$A$2:$Z$1048576,MATCH($C92,'Restaurant Base (Hidden)'!$C$2:$C$1048576,0),MATCH(O$6,'Restaurant Base (Hidden)'!$A$1:$Z$1,0)),"")</f>
        <v>5</v>
      </c>
      <c r="P92" s="2" t="str">
        <f>+IFERROR(INDEX('Restaurant Base (Hidden)'!$A$2:$Z$1048576,MATCH($C92,'Restaurant Base (Hidden)'!$C$2:$C$1048576,0),MATCH(P$6,'Restaurant Base (Hidden)'!$A$1:$Z$1,0)),"")</f>
        <v/>
      </c>
      <c r="Q92" s="234" t="str">
        <f>+IFERROR(INDEX('Restaurant Base (Hidden)'!$A$2:$Z$1048576,MATCH($C92,'Restaurant Base (Hidden)'!$C$2:$C$1048576,0),MATCH(Q$6,'Restaurant Base (Hidden)'!$A$1:$Z$1,0)),"")</f>
        <v>99,30 %</v>
      </c>
      <c r="R92" s="1">
        <f>+IFERROR(INDEX('Restaurant Base (Hidden)'!$A$2:$Z$1048576,MATCH($C92,'Restaurant Base (Hidden)'!$C$2:$C$1048576,0),MATCH(R$6,'Restaurant Base (Hidden)'!$A$1:$Z$1,0)),"")</f>
        <v>5</v>
      </c>
      <c r="S92" s="2" t="str">
        <f>+IFERROR(INDEX('Restaurant Base (Hidden)'!$A$2:$Z$1048576,MATCH($C92,'Restaurant Base (Hidden)'!$C$2:$C$1048576,0),MATCH(S$6,'Restaurant Base (Hidden)'!$A$1:$Z$1,0)),"")</f>
        <v/>
      </c>
      <c r="T92" s="62">
        <f>+IFERROR(INDEX('Restaurant Base (Hidden)'!$A$2:$Z$1048576,MATCH($C92,'Restaurant Base (Hidden)'!$C$2:$C$1048576,0),MATCH(T$6,'Restaurant Base (Hidden)'!$A$1:$Z$1,0)),"")</f>
        <v>72.400000000000006</v>
      </c>
      <c r="U92" s="1">
        <f>+IFERROR(INDEX('Restaurant Base (Hidden)'!$A$2:$Z$1048576,MATCH($C92,'Restaurant Base (Hidden)'!$C$2:$C$1048576,0),MATCH(U$6,'Restaurant Base (Hidden)'!$A$1:$Z$1,0)),"")</f>
        <v>5</v>
      </c>
      <c r="V92" s="2" t="str">
        <f>+IFERROR(INDEX('Restaurant Base (Hidden)'!$A$2:$Z$1048576,MATCH($C92,'Restaurant Base (Hidden)'!$C$2:$C$1048576,0),MATCH(V$6,'Restaurant Base (Hidden)'!$A$1:$Z$1,0)),"")</f>
        <v/>
      </c>
      <c r="W92" s="65" t="str">
        <f>+IFERROR(INDEX('Restaurant Base (Hidden)'!$A$2:$Z$1048576,MATCH($C92,'Restaurant Base (Hidden)'!$C$2:$C$1048576,0),MATCH(W$6,'Restaurant Base (Hidden)'!$A$1:$Z$1,0)),"")</f>
        <v>86,30 %</v>
      </c>
      <c r="X92" s="1">
        <f>+IFERROR(INDEX('Restaurant Base (Hidden)'!$A$2:$Z$1048576,MATCH($C92,'Restaurant Base (Hidden)'!$C$2:$C$1048576,0),MATCH(X$6,'Restaurant Base (Hidden)'!$A$1:$Z$1,0)),"")</f>
        <v>3</v>
      </c>
      <c r="Y92" s="65" t="str">
        <f>+IFERROR(INDEX('Restaurant Base (Hidden)'!$A$2:$Z$1048576,MATCH($C92,'Restaurant Base (Hidden)'!$C$2:$C$1048576,0),MATCH(Y$6,'Restaurant Base (Hidden)'!$A$1:$Z$1,0)),"")</f>
        <v>78,60 %</v>
      </c>
      <c r="Z92" s="106">
        <f>+IFERROR(INDEX('Restaurant Base (Hidden)'!$A$2:$Z$1048576,MATCH($C92,'Restaurant Base (Hidden)'!$C$2:$C$1048576,0),MATCH(Z$6,'Restaurant Base (Hidden)'!$A$1:$Z$1,0)),"")</f>
        <v>2</v>
      </c>
      <c r="AA92" s="65" t="str">
        <f>+IFERROR(INDEX('Restaurant Base (Hidden)'!$A$2:$Z$1048576,MATCH($C92,'Restaurant Base (Hidden)'!$C$2:$C$1048576,0),MATCH(AA$6,'Restaurant Base (Hidden)'!$A$1:$Z$1,0)),"")</f>
        <v>77,70 %</v>
      </c>
      <c r="AB92" s="1">
        <f>+IFERROR(INDEX('Restaurant Base (Hidden)'!$A$2:$Z$1048576,MATCH($C92,'Restaurant Base (Hidden)'!$C$2:$C$1048576,0),MATCH(AB$6,'Restaurant Base (Hidden)'!$A$1:$Z$1,0)),"")</f>
        <v>2</v>
      </c>
      <c r="AC92" s="20" t="str">
        <f>+IFERROR(INDEX('Restaurant Base (Hidden)'!$A$2:$Z$1048576,MATCH($C92,'Restaurant Base (Hidden)'!$C$2:$C$1048576,0),MATCH(AC$6,'Restaurant Base (Hidden)'!$A$1:$Z$1,0)),"")</f>
        <v/>
      </c>
      <c r="AD92" s="65" t="str">
        <f>+IFERROR(INDEX('Restaurant Base (Hidden)'!$A$2:$Z$1048576,MATCH($C92,'Restaurant Base (Hidden)'!$C$2:$C$1048576,0),MATCH(AD$6,'Restaurant Base (Hidden)'!$A$1:$Z$1,0)),"")</f>
        <v>80,70 %</v>
      </c>
      <c r="AE92" s="1">
        <f>+IFERROR(INDEX('Restaurant Base (Hidden)'!$A$2:$Z$1048576,MATCH($C92,'Restaurant Base (Hidden)'!$C$2:$C$1048576,0),MATCH(AE$6,'Restaurant Base (Hidden)'!$A$1:$Z$1,0)),"")</f>
        <v>2</v>
      </c>
      <c r="AF92" s="65" t="str">
        <f>+IFERROR(INDEX('Restaurant Base (Hidden)'!$A$2:$Z$1048576,MATCH($C92,'Restaurant Base (Hidden)'!$C$2:$C$1048576,0),MATCH(AF$6,'Restaurant Base (Hidden)'!$A$1:$Z$1,0)),"")</f>
        <v>82,90 %</v>
      </c>
      <c r="AG92" s="1">
        <f>+IFERROR(INDEX('Restaurant Base (Hidden)'!$A$2:$Z$1048576,MATCH($C92,'Restaurant Base (Hidden)'!$C$2:$C$1048576,0),MATCH(AG$6,'Restaurant Base (Hidden)'!$A$1:$Z$1,0)),"")</f>
        <v>2</v>
      </c>
    </row>
    <row r="93" spans="1:33" x14ac:dyDescent="0.4">
      <c r="A93" s="163" t="str">
        <f>IF('Restaurant Base (Hidden)'!A402=0,"", 'Restaurant Base (Hidden)'!A402)</f>
        <v>Bailey Silverton</v>
      </c>
      <c r="B93" s="163" t="str">
        <f>IF('Restaurant Base (Hidden)'!B402=0,"", 'Restaurant Base (Hidden)'!B402)</f>
        <v>Northstar Dining Group</v>
      </c>
      <c r="C93" s="163" t="str">
        <f>IF('Restaurant Base (Hidden)'!C402=0,"", 'Restaurant Base (Hidden)'!C402)</f>
        <v>Hilltop Corner</v>
      </c>
      <c r="D93" s="104">
        <f t="shared" si="1"/>
        <v>86</v>
      </c>
      <c r="E93" s="105">
        <f>+IFERROR(INDEX('Restaurant Base (Hidden)'!$A$2:$Z$1048576,MATCH($C93,'Restaurant Base (Hidden)'!$C$2:$C$1048576,0),MATCH(E$6,'Restaurant Base (Hidden)'!$A$1:$Z$1,0)),"")</f>
        <v>3.36</v>
      </c>
      <c r="F93" s="2" t="str">
        <f>+IFERROR(INDEX('Restaurant Base (Hidden)'!$A$2:$Z$1048576,MATCH($C93,'Restaurant Base (Hidden)'!$C$2:$C$1048576,0),MATCH(F$6,'Restaurant Base (Hidden)'!$A$1:$Z$1,0)),"")</f>
        <v/>
      </c>
      <c r="G93" s="20" t="str">
        <f>+IFERROR(INDEX('Restaurant Base (Hidden)'!$A$2:$Z$1048576,MATCH($C93,'Restaurant Base (Hidden)'!$C$2:$C$1048576,0),MATCH(G$6,'Restaurant Base (Hidden)'!$A$1:$Z$1,0)),"")</f>
        <v>4,289</v>
      </c>
      <c r="H93" s="50">
        <f>+IFERROR(INDEX('Restaurant Base (Hidden)'!$A$2:$Z$1048576,MATCH($C93,'Restaurant Base (Hidden)'!$C$2:$C$1048576,0),MATCH(H$6,'Restaurant Base (Hidden)'!$A$1:$Z$1,0)),"")</f>
        <v>3</v>
      </c>
      <c r="I93" s="20" t="str">
        <f>+IFERROR(INDEX('Restaurant Base (Hidden)'!$A$2:$Z$1048576,MATCH($C93,'Restaurant Base (Hidden)'!$C$2:$C$1048576,0),MATCH(I$6,'Restaurant Base (Hidden)'!$A$1:$Z$1,0)),"")</f>
        <v>93,50 %</v>
      </c>
      <c r="J93" s="49">
        <f>+IFERROR(INDEX('Restaurant Base (Hidden)'!$A$2:$Z$1048576,MATCH($C93,'Restaurant Base (Hidden)'!$C$2:$C$1048576,0),MATCH(J$6,'Restaurant Base (Hidden)'!$A$1:$Z$1,0)),"")</f>
        <v>4</v>
      </c>
      <c r="K93" s="20" t="str">
        <f>+IFERROR(INDEX('Restaurant Base (Hidden)'!$A$2:$Z$1048576,MATCH($C93,'Restaurant Base (Hidden)'!$C$2:$C$1048576,0),MATCH(K$6,'Restaurant Base (Hidden)'!$A$1:$Z$1,0)),"")</f>
        <v>0,125</v>
      </c>
      <c r="L93" s="51">
        <f>+IFERROR(INDEX('Restaurant Base (Hidden)'!$A$2:$Z$1048576,MATCH($C93,'Restaurant Base (Hidden)'!$C$2:$C$1048576,0),MATCH(L$6,'Restaurant Base (Hidden)'!$A$1:$Z$1,0)),"")</f>
        <v>3</v>
      </c>
      <c r="M93" s="2" t="str">
        <f>+IFERROR(INDEX('Restaurant Base (Hidden)'!$A$2:$Z$1048576,MATCH($C93,'Restaurant Base (Hidden)'!$C$2:$C$1048576,0),MATCH(M$6,'Restaurant Base (Hidden)'!$A$1:$Z$1,0)),"")</f>
        <v/>
      </c>
      <c r="N93" s="234" t="str">
        <f>+IFERROR(INDEX('Restaurant Base (Hidden)'!$A$2:$Z$1048576,MATCH($C93,'Restaurant Base (Hidden)'!$C$2:$C$1048576,0),MATCH(N$6,'Restaurant Base (Hidden)'!$A$1:$Z$1,0)),"")</f>
        <v>80,30 %</v>
      </c>
      <c r="O93" s="1">
        <f>+IFERROR(INDEX('Restaurant Base (Hidden)'!$A$2:$Z$1048576,MATCH($C93,'Restaurant Base (Hidden)'!$C$2:$C$1048576,0),MATCH(O$6,'Restaurant Base (Hidden)'!$A$1:$Z$1,0)),"")</f>
        <v>5</v>
      </c>
      <c r="P93" s="2" t="str">
        <f>+IFERROR(INDEX('Restaurant Base (Hidden)'!$A$2:$Z$1048576,MATCH($C93,'Restaurant Base (Hidden)'!$C$2:$C$1048576,0),MATCH(P$6,'Restaurant Base (Hidden)'!$A$1:$Z$1,0)),"")</f>
        <v/>
      </c>
      <c r="Q93" s="234" t="str">
        <f>+IFERROR(INDEX('Restaurant Base (Hidden)'!$A$2:$Z$1048576,MATCH($C93,'Restaurant Base (Hidden)'!$C$2:$C$1048576,0),MATCH(Q$6,'Restaurant Base (Hidden)'!$A$1:$Z$1,0)),"")</f>
        <v>72,00 %</v>
      </c>
      <c r="R93" s="1">
        <f>+IFERROR(INDEX('Restaurant Base (Hidden)'!$A$2:$Z$1048576,MATCH($C93,'Restaurant Base (Hidden)'!$C$2:$C$1048576,0),MATCH(R$6,'Restaurant Base (Hidden)'!$A$1:$Z$1,0)),"")</f>
        <v>4</v>
      </c>
      <c r="S93" s="2" t="str">
        <f>+IFERROR(INDEX('Restaurant Base (Hidden)'!$A$2:$Z$1048576,MATCH($C93,'Restaurant Base (Hidden)'!$C$2:$C$1048576,0),MATCH(S$6,'Restaurant Base (Hidden)'!$A$1:$Z$1,0)),"")</f>
        <v/>
      </c>
      <c r="T93" s="62">
        <f>+IFERROR(INDEX('Restaurant Base (Hidden)'!$A$2:$Z$1048576,MATCH($C93,'Restaurant Base (Hidden)'!$C$2:$C$1048576,0),MATCH(T$6,'Restaurant Base (Hidden)'!$A$1:$Z$1,0)),"")</f>
        <v>57.3</v>
      </c>
      <c r="U93" s="1">
        <f>+IFERROR(INDEX('Restaurant Base (Hidden)'!$A$2:$Z$1048576,MATCH($C93,'Restaurant Base (Hidden)'!$C$2:$C$1048576,0),MATCH(U$6,'Restaurant Base (Hidden)'!$A$1:$Z$1,0)),"")</f>
        <v>2</v>
      </c>
      <c r="V93" s="2" t="str">
        <f>+IFERROR(INDEX('Restaurant Base (Hidden)'!$A$2:$Z$1048576,MATCH($C93,'Restaurant Base (Hidden)'!$C$2:$C$1048576,0),MATCH(V$6,'Restaurant Base (Hidden)'!$A$1:$Z$1,0)),"")</f>
        <v/>
      </c>
      <c r="W93" s="65" t="str">
        <f>+IFERROR(INDEX('Restaurant Base (Hidden)'!$A$2:$Z$1048576,MATCH($C93,'Restaurant Base (Hidden)'!$C$2:$C$1048576,0),MATCH(W$6,'Restaurant Base (Hidden)'!$A$1:$Z$1,0)),"")</f>
        <v>95,40 %</v>
      </c>
      <c r="X93" s="1">
        <f>+IFERROR(INDEX('Restaurant Base (Hidden)'!$A$2:$Z$1048576,MATCH($C93,'Restaurant Base (Hidden)'!$C$2:$C$1048576,0),MATCH(X$6,'Restaurant Base (Hidden)'!$A$1:$Z$1,0)),"")</f>
        <v>4</v>
      </c>
      <c r="Y93" s="65" t="str">
        <f>+IFERROR(INDEX('Restaurant Base (Hidden)'!$A$2:$Z$1048576,MATCH($C93,'Restaurant Base (Hidden)'!$C$2:$C$1048576,0),MATCH(Y$6,'Restaurant Base (Hidden)'!$A$1:$Z$1,0)),"")</f>
        <v>71,10 %</v>
      </c>
      <c r="Z93" s="106">
        <f>+IFERROR(INDEX('Restaurant Base (Hidden)'!$A$2:$Z$1048576,MATCH($C93,'Restaurant Base (Hidden)'!$C$2:$C$1048576,0),MATCH(Z$6,'Restaurant Base (Hidden)'!$A$1:$Z$1,0)),"")</f>
        <v>2</v>
      </c>
      <c r="AA93" s="65" t="str">
        <f>+IFERROR(INDEX('Restaurant Base (Hidden)'!$A$2:$Z$1048576,MATCH($C93,'Restaurant Base (Hidden)'!$C$2:$C$1048576,0),MATCH(AA$6,'Restaurant Base (Hidden)'!$A$1:$Z$1,0)),"")</f>
        <v>68,50 %</v>
      </c>
      <c r="AB93" s="1">
        <f>+IFERROR(INDEX('Restaurant Base (Hidden)'!$A$2:$Z$1048576,MATCH($C93,'Restaurant Base (Hidden)'!$C$2:$C$1048576,0),MATCH(AB$6,'Restaurant Base (Hidden)'!$A$1:$Z$1,0)),"")</f>
        <v>2</v>
      </c>
      <c r="AC93" s="20" t="str">
        <f>+IFERROR(INDEX('Restaurant Base (Hidden)'!$A$2:$Z$1048576,MATCH($C93,'Restaurant Base (Hidden)'!$C$2:$C$1048576,0),MATCH(AC$6,'Restaurant Base (Hidden)'!$A$1:$Z$1,0)),"")</f>
        <v/>
      </c>
      <c r="AD93" s="65" t="str">
        <f>+IFERROR(INDEX('Restaurant Base (Hidden)'!$A$2:$Z$1048576,MATCH($C93,'Restaurant Base (Hidden)'!$C$2:$C$1048576,0),MATCH(AD$6,'Restaurant Base (Hidden)'!$A$1:$Z$1,0)),"")</f>
        <v>92,90 %</v>
      </c>
      <c r="AE93" s="1">
        <f>+IFERROR(INDEX('Restaurant Base (Hidden)'!$A$2:$Z$1048576,MATCH($C93,'Restaurant Base (Hidden)'!$C$2:$C$1048576,0),MATCH(AE$6,'Restaurant Base (Hidden)'!$A$1:$Z$1,0)),"")</f>
        <v>4</v>
      </c>
      <c r="AF93" s="65" t="str">
        <f>+IFERROR(INDEX('Restaurant Base (Hidden)'!$A$2:$Z$1048576,MATCH($C93,'Restaurant Base (Hidden)'!$C$2:$C$1048576,0),MATCH(AF$6,'Restaurant Base (Hidden)'!$A$1:$Z$1,0)),"")</f>
        <v>76,80 %</v>
      </c>
      <c r="AG93" s="1">
        <f>+IFERROR(INDEX('Restaurant Base (Hidden)'!$A$2:$Z$1048576,MATCH($C93,'Restaurant Base (Hidden)'!$C$2:$C$1048576,0),MATCH(AG$6,'Restaurant Base (Hidden)'!$A$1:$Z$1,0)),"")</f>
        <v>2</v>
      </c>
    </row>
    <row r="94" spans="1:33" x14ac:dyDescent="0.4">
      <c r="A94" s="163" t="str">
        <f>IF('Restaurant Base (Hidden)'!A18=0,"", 'Restaurant Base (Hidden)'!A18)</f>
        <v>Reese Whitmore</v>
      </c>
      <c r="B94" s="163" t="str">
        <f>IF('Restaurant Base (Hidden)'!B18=0,"", 'Restaurant Base (Hidden)'!B18)</f>
        <v>Crownfield Hospitality</v>
      </c>
      <c r="C94" s="163" t="str">
        <f>IF('Restaurant Base (Hidden)'!C18=0,"", 'Restaurant Base (Hidden)'!C18)</f>
        <v>Fox House</v>
      </c>
      <c r="D94" s="104">
        <f t="shared" si="1"/>
        <v>88</v>
      </c>
      <c r="E94" s="105">
        <f>+IFERROR(INDEX('Restaurant Base (Hidden)'!$A$2:$Z$1048576,MATCH($C94,'Restaurant Base (Hidden)'!$C$2:$C$1048576,0),MATCH(E$6,'Restaurant Base (Hidden)'!$A$1:$Z$1,0)),"")</f>
        <v>3.35</v>
      </c>
      <c r="F94" s="64" t="str">
        <f>+IFERROR(INDEX('Restaurant Base (Hidden)'!$A$2:$Z$1048576,MATCH($C94,'Restaurant Base (Hidden)'!$C$2:$C$1048576,0),MATCH(F$6,'Restaurant Base (Hidden)'!$A$1:$Z$1,0)),"")</f>
        <v/>
      </c>
      <c r="G94" s="20" t="str">
        <f>+IFERROR(INDEX('Restaurant Base (Hidden)'!$A$2:$Z$1048576,MATCH($C94,'Restaurant Base (Hidden)'!$C$2:$C$1048576,0),MATCH(G$6,'Restaurant Base (Hidden)'!$A$1:$Z$1,0)),"")</f>
        <v>4,121</v>
      </c>
      <c r="H94" s="50">
        <f>+IFERROR(INDEX('Restaurant Base (Hidden)'!$A$2:$Z$1048576,MATCH($C94,'Restaurant Base (Hidden)'!$C$2:$C$1048576,0),MATCH(H$6,'Restaurant Base (Hidden)'!$A$1:$Z$1,0)),"")</f>
        <v>2</v>
      </c>
      <c r="I94" s="20" t="str">
        <f>+IFERROR(INDEX('Restaurant Base (Hidden)'!$A$2:$Z$1048576,MATCH($C94,'Restaurant Base (Hidden)'!$C$2:$C$1048576,0),MATCH(I$6,'Restaurant Base (Hidden)'!$A$1:$Z$1,0)),"")</f>
        <v>99,10 %</v>
      </c>
      <c r="J94" s="49">
        <f>+IFERROR(INDEX('Restaurant Base (Hidden)'!$A$2:$Z$1048576,MATCH($C94,'Restaurant Base (Hidden)'!$C$2:$C$1048576,0),MATCH(J$6,'Restaurant Base (Hidden)'!$A$1:$Z$1,0)),"")</f>
        <v>5</v>
      </c>
      <c r="K94" s="20" t="str">
        <f>+IFERROR(INDEX('Restaurant Base (Hidden)'!$A$2:$Z$1048576,MATCH($C94,'Restaurant Base (Hidden)'!$C$2:$C$1048576,0),MATCH(K$6,'Restaurant Base (Hidden)'!$A$1:$Z$1,0)),"")</f>
        <v>0,036</v>
      </c>
      <c r="L94" s="51">
        <f>+IFERROR(INDEX('Restaurant Base (Hidden)'!$A$2:$Z$1048576,MATCH($C94,'Restaurant Base (Hidden)'!$C$2:$C$1048576,0),MATCH(L$6,'Restaurant Base (Hidden)'!$A$1:$Z$1,0)),"")</f>
        <v>5</v>
      </c>
      <c r="M94" s="2" t="str">
        <f>+IFERROR(INDEX('Restaurant Base (Hidden)'!$A$2:$Z$1048576,MATCH($C94,'Restaurant Base (Hidden)'!$C$2:$C$1048576,0),MATCH(M$6,'Restaurant Base (Hidden)'!$A$1:$Z$1,0)),"")</f>
        <v/>
      </c>
      <c r="N94" s="234" t="str">
        <f>+IFERROR(INDEX('Restaurant Base (Hidden)'!$A$2:$Z$1048576,MATCH($C94,'Restaurant Base (Hidden)'!$C$2:$C$1048576,0),MATCH(N$6,'Restaurant Base (Hidden)'!$A$1:$Z$1,0)),"")</f>
        <v>99,50 %</v>
      </c>
      <c r="O94" s="1">
        <f>+IFERROR(INDEX('Restaurant Base (Hidden)'!$A$2:$Z$1048576,MATCH($C94,'Restaurant Base (Hidden)'!$C$2:$C$1048576,0),MATCH(O$6,'Restaurant Base (Hidden)'!$A$1:$Z$1,0)),"")</f>
        <v>5</v>
      </c>
      <c r="P94" s="2" t="str">
        <f>+IFERROR(INDEX('Restaurant Base (Hidden)'!$A$2:$Z$1048576,MATCH($C94,'Restaurant Base (Hidden)'!$C$2:$C$1048576,0),MATCH(P$6,'Restaurant Base (Hidden)'!$A$1:$Z$1,0)),"")</f>
        <v/>
      </c>
      <c r="Q94" s="234" t="str">
        <f>+IFERROR(INDEX('Restaurant Base (Hidden)'!$A$2:$Z$1048576,MATCH($C94,'Restaurant Base (Hidden)'!$C$2:$C$1048576,0),MATCH(Q$6,'Restaurant Base (Hidden)'!$A$1:$Z$1,0)),"")</f>
        <v>71,60 %</v>
      </c>
      <c r="R94" s="1">
        <f>+IFERROR(INDEX('Restaurant Base (Hidden)'!$A$2:$Z$1048576,MATCH($C94,'Restaurant Base (Hidden)'!$C$2:$C$1048576,0),MATCH(R$6,'Restaurant Base (Hidden)'!$A$1:$Z$1,0)),"")</f>
        <v>4</v>
      </c>
      <c r="S94" s="2" t="str">
        <f>+IFERROR(INDEX('Restaurant Base (Hidden)'!$A$2:$Z$1048576,MATCH($C94,'Restaurant Base (Hidden)'!$C$2:$C$1048576,0),MATCH(S$6,'Restaurant Base (Hidden)'!$A$1:$Z$1,0)),"")</f>
        <v/>
      </c>
      <c r="T94" s="62">
        <f>+IFERROR(INDEX('Restaurant Base (Hidden)'!$A$2:$Z$1048576,MATCH($C94,'Restaurant Base (Hidden)'!$C$2:$C$1048576,0),MATCH(T$6,'Restaurant Base (Hidden)'!$A$1:$Z$1,0)),"")</f>
        <v>58.9</v>
      </c>
      <c r="U94" s="1">
        <f>+IFERROR(INDEX('Restaurant Base (Hidden)'!$A$2:$Z$1048576,MATCH($C94,'Restaurant Base (Hidden)'!$C$2:$C$1048576,0),MATCH(U$6,'Restaurant Base (Hidden)'!$A$1:$Z$1,0)),"")</f>
        <v>2</v>
      </c>
      <c r="V94" s="2" t="str">
        <f>+IFERROR(INDEX('Restaurant Base (Hidden)'!$A$2:$Z$1048576,MATCH($C94,'Restaurant Base (Hidden)'!$C$2:$C$1048576,0),MATCH(V$6,'Restaurant Base (Hidden)'!$A$1:$Z$1,0)),"")</f>
        <v/>
      </c>
      <c r="W94" s="65" t="str">
        <f>+IFERROR(INDEX('Restaurant Base (Hidden)'!$A$2:$Z$1048576,MATCH($C94,'Restaurant Base (Hidden)'!$C$2:$C$1048576,0),MATCH(W$6,'Restaurant Base (Hidden)'!$A$1:$Z$1,0)),"")</f>
        <v>86,80 %</v>
      </c>
      <c r="X94" s="1">
        <f>+IFERROR(INDEX('Restaurant Base (Hidden)'!$A$2:$Z$1048576,MATCH($C94,'Restaurant Base (Hidden)'!$C$2:$C$1048576,0),MATCH(X$6,'Restaurant Base (Hidden)'!$A$1:$Z$1,0)),"")</f>
        <v>3</v>
      </c>
      <c r="Y94" s="65" t="str">
        <f>+IFERROR(INDEX('Restaurant Base (Hidden)'!$A$2:$Z$1048576,MATCH($C94,'Restaurant Base (Hidden)'!$C$2:$C$1048576,0),MATCH(Y$6,'Restaurant Base (Hidden)'!$A$1:$Z$1,0)),"")</f>
        <v>75,60 %</v>
      </c>
      <c r="Z94" s="106">
        <f>+IFERROR(INDEX('Restaurant Base (Hidden)'!$A$2:$Z$1048576,MATCH($C94,'Restaurant Base (Hidden)'!$C$2:$C$1048576,0),MATCH(Z$6,'Restaurant Base (Hidden)'!$A$1:$Z$1,0)),"")</f>
        <v>2</v>
      </c>
      <c r="AA94" s="65" t="str">
        <f>+IFERROR(INDEX('Restaurant Base (Hidden)'!$A$2:$Z$1048576,MATCH($C94,'Restaurant Base (Hidden)'!$C$2:$C$1048576,0),MATCH(AA$6,'Restaurant Base (Hidden)'!$A$1:$Z$1,0)),"")</f>
        <v>92,30 %</v>
      </c>
      <c r="AB94" s="1">
        <f>+IFERROR(INDEX('Restaurant Base (Hidden)'!$A$2:$Z$1048576,MATCH($C94,'Restaurant Base (Hidden)'!$C$2:$C$1048576,0),MATCH(AB$6,'Restaurant Base (Hidden)'!$A$1:$Z$1,0)),"")</f>
        <v>3</v>
      </c>
      <c r="AC94" s="20" t="str">
        <f>+IFERROR(INDEX('Restaurant Base (Hidden)'!$A$2:$Z$1048576,MATCH($C94,'Restaurant Base (Hidden)'!$C$2:$C$1048576,0),MATCH(AC$6,'Restaurant Base (Hidden)'!$A$1:$Z$1,0)),"")</f>
        <v/>
      </c>
      <c r="AD94" s="65" t="str">
        <f>+IFERROR(INDEX('Restaurant Base (Hidden)'!$A$2:$Z$1048576,MATCH($C94,'Restaurant Base (Hidden)'!$C$2:$C$1048576,0),MATCH(AD$6,'Restaurant Base (Hidden)'!$A$1:$Z$1,0)),"")</f>
        <v>80,80 %</v>
      </c>
      <c r="AE94" s="1">
        <f>+IFERROR(INDEX('Restaurant Base (Hidden)'!$A$2:$Z$1048576,MATCH($C94,'Restaurant Base (Hidden)'!$C$2:$C$1048576,0),MATCH(AE$6,'Restaurant Base (Hidden)'!$A$1:$Z$1,0)),"")</f>
        <v>2</v>
      </c>
      <c r="AF94" s="65" t="str">
        <f>+IFERROR(INDEX('Restaurant Base (Hidden)'!$A$2:$Z$1048576,MATCH($C94,'Restaurant Base (Hidden)'!$C$2:$C$1048576,0),MATCH(AF$6,'Restaurant Base (Hidden)'!$A$1:$Z$1,0)),"")</f>
        <v>81,80 %</v>
      </c>
      <c r="AG94" s="1">
        <f>+IFERROR(INDEX('Restaurant Base (Hidden)'!$A$2:$Z$1048576,MATCH($C94,'Restaurant Base (Hidden)'!$C$2:$C$1048576,0),MATCH(AG$6,'Restaurant Base (Hidden)'!$A$1:$Z$1,0)),"")</f>
        <v>2</v>
      </c>
    </row>
    <row r="95" spans="1:33" x14ac:dyDescent="0.4">
      <c r="A95" s="163" t="str">
        <f>IF('Restaurant Base (Hidden)'!A42=0,"", 'Restaurant Base (Hidden)'!A42)</f>
        <v>Kendall Prescott</v>
      </c>
      <c r="B95" s="163" t="str">
        <f>IF('Restaurant Base (Hidden)'!B42=0,"", 'Restaurant Base (Hidden)'!B42)</f>
        <v>Northstar Dining Group</v>
      </c>
      <c r="C95" s="163" t="str">
        <f>IF('Restaurant Base (Hidden)'!C42=0,"", 'Restaurant Base (Hidden)'!C42)</f>
        <v>Glen Place</v>
      </c>
      <c r="D95" s="104">
        <f t="shared" si="1"/>
        <v>88</v>
      </c>
      <c r="E95" s="105">
        <f>+IFERROR(INDEX('Restaurant Base (Hidden)'!$A$2:$Z$1048576,MATCH($C95,'Restaurant Base (Hidden)'!$C$2:$C$1048576,0),MATCH(E$6,'Restaurant Base (Hidden)'!$A$1:$Z$1,0)),"")</f>
        <v>3.35</v>
      </c>
      <c r="F95" s="64" t="str">
        <f>+IFERROR(INDEX('Restaurant Base (Hidden)'!$A$2:$Z$1048576,MATCH($C95,'Restaurant Base (Hidden)'!$C$2:$C$1048576,0),MATCH(F$6,'Restaurant Base (Hidden)'!$A$1:$Z$1,0)),"")</f>
        <v/>
      </c>
      <c r="G95" s="20" t="str">
        <f>+IFERROR(INDEX('Restaurant Base (Hidden)'!$A$2:$Z$1048576,MATCH($C95,'Restaurant Base (Hidden)'!$C$2:$C$1048576,0),MATCH(G$6,'Restaurant Base (Hidden)'!$A$1:$Z$1,0)),"")</f>
        <v>4,543</v>
      </c>
      <c r="H95" s="50">
        <f>+IFERROR(INDEX('Restaurant Base (Hidden)'!$A$2:$Z$1048576,MATCH($C95,'Restaurant Base (Hidden)'!$C$2:$C$1048576,0),MATCH(H$6,'Restaurant Base (Hidden)'!$A$1:$Z$1,0)),"")</f>
        <v>5</v>
      </c>
      <c r="I95" s="20" t="str">
        <f>+IFERROR(INDEX('Restaurant Base (Hidden)'!$A$2:$Z$1048576,MATCH($C95,'Restaurant Base (Hidden)'!$C$2:$C$1048576,0),MATCH(I$6,'Restaurant Base (Hidden)'!$A$1:$Z$1,0)),"")</f>
        <v>67,20 %</v>
      </c>
      <c r="J95" s="49">
        <f>+IFERROR(INDEX('Restaurant Base (Hidden)'!$A$2:$Z$1048576,MATCH($C95,'Restaurant Base (Hidden)'!$C$2:$C$1048576,0),MATCH(J$6,'Restaurant Base (Hidden)'!$A$1:$Z$1,0)),"")</f>
        <v>1</v>
      </c>
      <c r="K95" s="20" t="str">
        <f>+IFERROR(INDEX('Restaurant Base (Hidden)'!$A$2:$Z$1048576,MATCH($C95,'Restaurant Base (Hidden)'!$C$2:$C$1048576,0),MATCH(K$6,'Restaurant Base (Hidden)'!$A$1:$Z$1,0)),"")</f>
        <v>0,062</v>
      </c>
      <c r="L95" s="51">
        <f>+IFERROR(INDEX('Restaurant Base (Hidden)'!$A$2:$Z$1048576,MATCH($C95,'Restaurant Base (Hidden)'!$C$2:$C$1048576,0),MATCH(L$6,'Restaurant Base (Hidden)'!$A$1:$Z$1,0)),"")</f>
        <v>4</v>
      </c>
      <c r="M95" s="2" t="str">
        <f>+IFERROR(INDEX('Restaurant Base (Hidden)'!$A$2:$Z$1048576,MATCH($C95,'Restaurant Base (Hidden)'!$C$2:$C$1048576,0),MATCH(M$6,'Restaurant Base (Hidden)'!$A$1:$Z$1,0)),"")</f>
        <v/>
      </c>
      <c r="N95" s="234" t="str">
        <f>+IFERROR(INDEX('Restaurant Base (Hidden)'!$A$2:$Z$1048576,MATCH($C95,'Restaurant Base (Hidden)'!$C$2:$C$1048576,0),MATCH(N$6,'Restaurant Base (Hidden)'!$A$1:$Z$1,0)),"")</f>
        <v>80,70 %</v>
      </c>
      <c r="O95" s="1">
        <f>+IFERROR(INDEX('Restaurant Base (Hidden)'!$A$2:$Z$1048576,MATCH($C95,'Restaurant Base (Hidden)'!$C$2:$C$1048576,0),MATCH(O$6,'Restaurant Base (Hidden)'!$A$1:$Z$1,0)),"")</f>
        <v>5</v>
      </c>
      <c r="P95" s="2" t="str">
        <f>+IFERROR(INDEX('Restaurant Base (Hidden)'!$A$2:$Z$1048576,MATCH($C95,'Restaurant Base (Hidden)'!$C$2:$C$1048576,0),MATCH(P$6,'Restaurant Base (Hidden)'!$A$1:$Z$1,0)),"")</f>
        <v/>
      </c>
      <c r="Q95" s="234" t="str">
        <f>+IFERROR(INDEX('Restaurant Base (Hidden)'!$A$2:$Z$1048576,MATCH($C95,'Restaurant Base (Hidden)'!$C$2:$C$1048576,0),MATCH(Q$6,'Restaurant Base (Hidden)'!$A$1:$Z$1,0)),"")</f>
        <v>94,70 %</v>
      </c>
      <c r="R95" s="1">
        <f>+IFERROR(INDEX('Restaurant Base (Hidden)'!$A$2:$Z$1048576,MATCH($C95,'Restaurant Base (Hidden)'!$C$2:$C$1048576,0),MATCH(R$6,'Restaurant Base (Hidden)'!$A$1:$Z$1,0)),"")</f>
        <v>5</v>
      </c>
      <c r="S95" s="2" t="str">
        <f>+IFERROR(INDEX('Restaurant Base (Hidden)'!$A$2:$Z$1048576,MATCH($C95,'Restaurant Base (Hidden)'!$C$2:$C$1048576,0),MATCH(S$6,'Restaurant Base (Hidden)'!$A$1:$Z$1,0)),"")</f>
        <v/>
      </c>
      <c r="T95" s="62">
        <f>+IFERROR(INDEX('Restaurant Base (Hidden)'!$A$2:$Z$1048576,MATCH($C95,'Restaurant Base (Hidden)'!$C$2:$C$1048576,0),MATCH(T$6,'Restaurant Base (Hidden)'!$A$1:$Z$1,0)),"")</f>
        <v>65.099999999999994</v>
      </c>
      <c r="U95" s="1">
        <f>+IFERROR(INDEX('Restaurant Base (Hidden)'!$A$2:$Z$1048576,MATCH($C95,'Restaurant Base (Hidden)'!$C$2:$C$1048576,0),MATCH(U$6,'Restaurant Base (Hidden)'!$A$1:$Z$1,0)),"")</f>
        <v>4</v>
      </c>
      <c r="V95" s="2" t="str">
        <f>+IFERROR(INDEX('Restaurant Base (Hidden)'!$A$2:$Z$1048576,MATCH($C95,'Restaurant Base (Hidden)'!$C$2:$C$1048576,0),MATCH(V$6,'Restaurant Base (Hidden)'!$A$1:$Z$1,0)),"")</f>
        <v/>
      </c>
      <c r="W95" s="65" t="str">
        <f>+IFERROR(INDEX('Restaurant Base (Hidden)'!$A$2:$Z$1048576,MATCH($C95,'Restaurant Base (Hidden)'!$C$2:$C$1048576,0),MATCH(W$6,'Restaurant Base (Hidden)'!$A$1:$Z$1,0)),"")</f>
        <v>70,30 %</v>
      </c>
      <c r="X95" s="1">
        <f>+IFERROR(INDEX('Restaurant Base (Hidden)'!$A$2:$Z$1048576,MATCH($C95,'Restaurant Base (Hidden)'!$C$2:$C$1048576,0),MATCH(X$6,'Restaurant Base (Hidden)'!$A$1:$Z$1,0)),"")</f>
        <v>2</v>
      </c>
      <c r="Y95" s="65" t="str">
        <f>+IFERROR(INDEX('Restaurant Base (Hidden)'!$A$2:$Z$1048576,MATCH($C95,'Restaurant Base (Hidden)'!$C$2:$C$1048576,0),MATCH(Y$6,'Restaurant Base (Hidden)'!$A$1:$Z$1,0)),"")</f>
        <v>64,10 %</v>
      </c>
      <c r="Z95" s="106">
        <f>+IFERROR(INDEX('Restaurant Base (Hidden)'!$A$2:$Z$1048576,MATCH($C95,'Restaurant Base (Hidden)'!$C$2:$C$1048576,0),MATCH(Z$6,'Restaurant Base (Hidden)'!$A$1:$Z$1,0)),"")</f>
        <v>2</v>
      </c>
      <c r="AA95" s="65" t="str">
        <f>+IFERROR(INDEX('Restaurant Base (Hidden)'!$A$2:$Z$1048576,MATCH($C95,'Restaurant Base (Hidden)'!$C$2:$C$1048576,0),MATCH(AA$6,'Restaurant Base (Hidden)'!$A$1:$Z$1,0)),"")</f>
        <v>94,20 %</v>
      </c>
      <c r="AB95" s="1">
        <f>+IFERROR(INDEX('Restaurant Base (Hidden)'!$A$2:$Z$1048576,MATCH($C95,'Restaurant Base (Hidden)'!$C$2:$C$1048576,0),MATCH(AB$6,'Restaurant Base (Hidden)'!$A$1:$Z$1,0)),"")</f>
        <v>3</v>
      </c>
      <c r="AC95" s="20" t="str">
        <f>+IFERROR(INDEX('Restaurant Base (Hidden)'!$A$2:$Z$1048576,MATCH($C95,'Restaurant Base (Hidden)'!$C$2:$C$1048576,0),MATCH(AC$6,'Restaurant Base (Hidden)'!$A$1:$Z$1,0)),"")</f>
        <v/>
      </c>
      <c r="AD95" s="65" t="str">
        <f>+IFERROR(INDEX('Restaurant Base (Hidden)'!$A$2:$Z$1048576,MATCH($C95,'Restaurant Base (Hidden)'!$C$2:$C$1048576,0),MATCH(AD$6,'Restaurant Base (Hidden)'!$A$1:$Z$1,0)),"")</f>
        <v>84,60 %</v>
      </c>
      <c r="AE95" s="1">
        <f>+IFERROR(INDEX('Restaurant Base (Hidden)'!$A$2:$Z$1048576,MATCH($C95,'Restaurant Base (Hidden)'!$C$2:$C$1048576,0),MATCH(AE$6,'Restaurant Base (Hidden)'!$A$1:$Z$1,0)),"")</f>
        <v>3</v>
      </c>
      <c r="AF95" s="65" t="str">
        <f>+IFERROR(INDEX('Restaurant Base (Hidden)'!$A$2:$Z$1048576,MATCH($C95,'Restaurant Base (Hidden)'!$C$2:$C$1048576,0),MATCH(AF$6,'Restaurant Base (Hidden)'!$A$1:$Z$1,0)),"")</f>
        <v>55,00 %</v>
      </c>
      <c r="AG95" s="1">
        <f>+IFERROR(INDEX('Restaurant Base (Hidden)'!$A$2:$Z$1048576,MATCH($C95,'Restaurant Base (Hidden)'!$C$2:$C$1048576,0),MATCH(AG$6,'Restaurant Base (Hidden)'!$A$1:$Z$1,0)),"")</f>
        <v>1</v>
      </c>
    </row>
    <row r="96" spans="1:33" x14ac:dyDescent="0.4">
      <c r="A96" s="163" t="str">
        <f>IF('Restaurant Base (Hidden)'!A120=0,"", 'Restaurant Base (Hidden)'!A120)</f>
        <v>Casey Briarwood</v>
      </c>
      <c r="B96" s="163" t="str">
        <f>IF('Restaurant Base (Hidden)'!B120=0,"", 'Restaurant Base (Hidden)'!B120)</f>
        <v>Elmwood Dining Group</v>
      </c>
      <c r="C96" s="163" t="str">
        <f>IF('Restaurant Base (Hidden)'!C120=0,"", 'Restaurant Base (Hidden)'!C120)</f>
        <v>Parkside Village</v>
      </c>
      <c r="D96" s="104">
        <f t="shared" si="1"/>
        <v>88</v>
      </c>
      <c r="E96" s="105">
        <f>+IFERROR(INDEX('Restaurant Base (Hidden)'!$A$2:$Z$1048576,MATCH($C96,'Restaurant Base (Hidden)'!$C$2:$C$1048576,0),MATCH(E$6,'Restaurant Base (Hidden)'!$A$1:$Z$1,0)),"")</f>
        <v>3.35</v>
      </c>
      <c r="F96" s="2" t="str">
        <f>+IFERROR(INDEX('Restaurant Base (Hidden)'!$A$2:$Z$1048576,MATCH($C96,'Restaurant Base (Hidden)'!$C$2:$C$1048576,0),MATCH(F$6,'Restaurant Base (Hidden)'!$A$1:$Z$1,0)),"")</f>
        <v/>
      </c>
      <c r="G96" s="20" t="str">
        <f>+IFERROR(INDEX('Restaurant Base (Hidden)'!$A$2:$Z$1048576,MATCH($C96,'Restaurant Base (Hidden)'!$C$2:$C$1048576,0),MATCH(G$6,'Restaurant Base (Hidden)'!$A$1:$Z$1,0)),"")</f>
        <v>4,203</v>
      </c>
      <c r="H96" s="50">
        <f>+IFERROR(INDEX('Restaurant Base (Hidden)'!$A$2:$Z$1048576,MATCH($C96,'Restaurant Base (Hidden)'!$C$2:$C$1048576,0),MATCH(H$6,'Restaurant Base (Hidden)'!$A$1:$Z$1,0)),"")</f>
        <v>3</v>
      </c>
      <c r="I96" s="20" t="str">
        <f>+IFERROR(INDEX('Restaurant Base (Hidden)'!$A$2:$Z$1048576,MATCH($C96,'Restaurant Base (Hidden)'!$C$2:$C$1048576,0),MATCH(I$6,'Restaurant Base (Hidden)'!$A$1:$Z$1,0)),"")</f>
        <v>83,20 %</v>
      </c>
      <c r="J96" s="49">
        <f>+IFERROR(INDEX('Restaurant Base (Hidden)'!$A$2:$Z$1048576,MATCH($C96,'Restaurant Base (Hidden)'!$C$2:$C$1048576,0),MATCH(J$6,'Restaurant Base (Hidden)'!$A$1:$Z$1,0)),"")</f>
        <v>3</v>
      </c>
      <c r="K96" s="20" t="str">
        <f>+IFERROR(INDEX('Restaurant Base (Hidden)'!$A$2:$Z$1048576,MATCH($C96,'Restaurant Base (Hidden)'!$C$2:$C$1048576,0),MATCH(K$6,'Restaurant Base (Hidden)'!$A$1:$Z$1,0)),"")</f>
        <v>0,068</v>
      </c>
      <c r="L96" s="51">
        <f>+IFERROR(INDEX('Restaurant Base (Hidden)'!$A$2:$Z$1048576,MATCH($C96,'Restaurant Base (Hidden)'!$C$2:$C$1048576,0),MATCH(L$6,'Restaurant Base (Hidden)'!$A$1:$Z$1,0)),"")</f>
        <v>4</v>
      </c>
      <c r="M96" s="2" t="str">
        <f>+IFERROR(INDEX('Restaurant Base (Hidden)'!$A$2:$Z$1048576,MATCH($C96,'Restaurant Base (Hidden)'!$C$2:$C$1048576,0),MATCH(M$6,'Restaurant Base (Hidden)'!$A$1:$Z$1,0)),"")</f>
        <v/>
      </c>
      <c r="N96" s="234" t="str">
        <f>+IFERROR(INDEX('Restaurant Base (Hidden)'!$A$2:$Z$1048576,MATCH($C96,'Restaurant Base (Hidden)'!$C$2:$C$1048576,0),MATCH(N$6,'Restaurant Base (Hidden)'!$A$1:$Z$1,0)),"")</f>
        <v>88,40 %</v>
      </c>
      <c r="O96" s="1">
        <f>+IFERROR(INDEX('Restaurant Base (Hidden)'!$A$2:$Z$1048576,MATCH($C96,'Restaurant Base (Hidden)'!$C$2:$C$1048576,0),MATCH(O$6,'Restaurant Base (Hidden)'!$A$1:$Z$1,0)),"")</f>
        <v>5</v>
      </c>
      <c r="P96" s="2" t="str">
        <f>+IFERROR(INDEX('Restaurant Base (Hidden)'!$A$2:$Z$1048576,MATCH($C96,'Restaurant Base (Hidden)'!$C$2:$C$1048576,0),MATCH(P$6,'Restaurant Base (Hidden)'!$A$1:$Z$1,0)),"")</f>
        <v/>
      </c>
      <c r="Q96" s="234" t="str">
        <f>+IFERROR(INDEX('Restaurant Base (Hidden)'!$A$2:$Z$1048576,MATCH($C96,'Restaurant Base (Hidden)'!$C$2:$C$1048576,0),MATCH(Q$6,'Restaurant Base (Hidden)'!$A$1:$Z$1,0)),"")</f>
        <v>89,50 %</v>
      </c>
      <c r="R96" s="1">
        <f>+IFERROR(INDEX('Restaurant Base (Hidden)'!$A$2:$Z$1048576,MATCH($C96,'Restaurant Base (Hidden)'!$C$2:$C$1048576,0),MATCH(R$6,'Restaurant Base (Hidden)'!$A$1:$Z$1,0)),"")</f>
        <v>5</v>
      </c>
      <c r="S96" s="2" t="str">
        <f>+IFERROR(INDEX('Restaurant Base (Hidden)'!$A$2:$Z$1048576,MATCH($C96,'Restaurant Base (Hidden)'!$C$2:$C$1048576,0),MATCH(S$6,'Restaurant Base (Hidden)'!$A$1:$Z$1,0)),"")</f>
        <v/>
      </c>
      <c r="T96" s="62">
        <f>+IFERROR(INDEX('Restaurant Base (Hidden)'!$A$2:$Z$1048576,MATCH($C96,'Restaurant Base (Hidden)'!$C$2:$C$1048576,0),MATCH(T$6,'Restaurant Base (Hidden)'!$A$1:$Z$1,0)),"")</f>
        <v>58.9</v>
      </c>
      <c r="U96" s="1">
        <f>+IFERROR(INDEX('Restaurant Base (Hidden)'!$A$2:$Z$1048576,MATCH($C96,'Restaurant Base (Hidden)'!$C$2:$C$1048576,0),MATCH(U$6,'Restaurant Base (Hidden)'!$A$1:$Z$1,0)),"")</f>
        <v>2</v>
      </c>
      <c r="V96" s="2" t="str">
        <f>+IFERROR(INDEX('Restaurant Base (Hidden)'!$A$2:$Z$1048576,MATCH($C96,'Restaurant Base (Hidden)'!$C$2:$C$1048576,0),MATCH(V$6,'Restaurant Base (Hidden)'!$A$1:$Z$1,0)),"")</f>
        <v/>
      </c>
      <c r="W96" s="65" t="str">
        <f>+IFERROR(INDEX('Restaurant Base (Hidden)'!$A$2:$Z$1048576,MATCH($C96,'Restaurant Base (Hidden)'!$C$2:$C$1048576,0),MATCH(W$6,'Restaurant Base (Hidden)'!$A$1:$Z$1,0)),"")</f>
        <v>93,40 %</v>
      </c>
      <c r="X96" s="1">
        <f>+IFERROR(INDEX('Restaurant Base (Hidden)'!$A$2:$Z$1048576,MATCH($C96,'Restaurant Base (Hidden)'!$C$2:$C$1048576,0),MATCH(X$6,'Restaurant Base (Hidden)'!$A$1:$Z$1,0)),"")</f>
        <v>4</v>
      </c>
      <c r="Y96" s="65" t="str">
        <f>+IFERROR(INDEX('Restaurant Base (Hidden)'!$A$2:$Z$1048576,MATCH($C96,'Restaurant Base (Hidden)'!$C$2:$C$1048576,0),MATCH(Y$6,'Restaurant Base (Hidden)'!$A$1:$Z$1,0)),"")</f>
        <v>94,60 %</v>
      </c>
      <c r="Z96" s="106">
        <f>+IFERROR(INDEX('Restaurant Base (Hidden)'!$A$2:$Z$1048576,MATCH($C96,'Restaurant Base (Hidden)'!$C$2:$C$1048576,0),MATCH(Z$6,'Restaurant Base (Hidden)'!$A$1:$Z$1,0)),"")</f>
        <v>4</v>
      </c>
      <c r="AA96" s="65" t="str">
        <f>+IFERROR(INDEX('Restaurant Base (Hidden)'!$A$2:$Z$1048576,MATCH($C96,'Restaurant Base (Hidden)'!$C$2:$C$1048576,0),MATCH(AA$6,'Restaurant Base (Hidden)'!$A$1:$Z$1,0)),"")</f>
        <v>67,80 %</v>
      </c>
      <c r="AB96" s="1">
        <f>+IFERROR(INDEX('Restaurant Base (Hidden)'!$A$2:$Z$1048576,MATCH($C96,'Restaurant Base (Hidden)'!$C$2:$C$1048576,0),MATCH(AB$6,'Restaurant Base (Hidden)'!$A$1:$Z$1,0)),"")</f>
        <v>2</v>
      </c>
      <c r="AC96" s="20" t="str">
        <f>+IFERROR(INDEX('Restaurant Base (Hidden)'!$A$2:$Z$1048576,MATCH($C96,'Restaurant Base (Hidden)'!$C$2:$C$1048576,0),MATCH(AC$6,'Restaurant Base (Hidden)'!$A$1:$Z$1,0)),"")</f>
        <v/>
      </c>
      <c r="AD96" s="65" t="str">
        <f>+IFERROR(INDEX('Restaurant Base (Hidden)'!$A$2:$Z$1048576,MATCH($C96,'Restaurant Base (Hidden)'!$C$2:$C$1048576,0),MATCH(AD$6,'Restaurant Base (Hidden)'!$A$1:$Z$1,0)),"")</f>
        <v>84,80 %</v>
      </c>
      <c r="AE96" s="1">
        <f>+IFERROR(INDEX('Restaurant Base (Hidden)'!$A$2:$Z$1048576,MATCH($C96,'Restaurant Base (Hidden)'!$C$2:$C$1048576,0),MATCH(AE$6,'Restaurant Base (Hidden)'!$A$1:$Z$1,0)),"")</f>
        <v>3</v>
      </c>
      <c r="AF96" s="65" t="str">
        <f>+IFERROR(INDEX('Restaurant Base (Hidden)'!$A$2:$Z$1048576,MATCH($C96,'Restaurant Base (Hidden)'!$C$2:$C$1048576,0),MATCH(AF$6,'Restaurant Base (Hidden)'!$A$1:$Z$1,0)),"")</f>
        <v>70,80 %</v>
      </c>
      <c r="AG96" s="1">
        <f>+IFERROR(INDEX('Restaurant Base (Hidden)'!$A$2:$Z$1048576,MATCH($C96,'Restaurant Base (Hidden)'!$C$2:$C$1048576,0),MATCH(AG$6,'Restaurant Base (Hidden)'!$A$1:$Z$1,0)),"")</f>
        <v>1</v>
      </c>
    </row>
    <row r="97" spans="1:33" x14ac:dyDescent="0.4">
      <c r="A97" s="163" t="str">
        <f>IF('Restaurant Base (Hidden)'!A370=0,"", 'Restaurant Base (Hidden)'!A370)</f>
        <v>Taylor Hartwell</v>
      </c>
      <c r="B97" s="163" t="str">
        <f>IF('Restaurant Base (Hidden)'!B370=0,"", 'Restaurant Base (Hidden)'!B370)</f>
        <v>Evercrest Restaurants</v>
      </c>
      <c r="C97" s="163" t="str">
        <f>IF('Restaurant Base (Hidden)'!C370=0,"", 'Restaurant Base (Hidden)'!C370)</f>
        <v>Eastwood Gardens</v>
      </c>
      <c r="D97" s="104">
        <f t="shared" si="1"/>
        <v>88</v>
      </c>
      <c r="E97" s="105">
        <f>+IFERROR(INDEX('Restaurant Base (Hidden)'!$A$2:$Z$1048576,MATCH($C97,'Restaurant Base (Hidden)'!$C$2:$C$1048576,0),MATCH(E$6,'Restaurant Base (Hidden)'!$A$1:$Z$1,0)),"")</f>
        <v>3.35</v>
      </c>
      <c r="F97" s="2" t="str">
        <f>+IFERROR(INDEX('Restaurant Base (Hidden)'!$A$2:$Z$1048576,MATCH($C97,'Restaurant Base (Hidden)'!$C$2:$C$1048576,0),MATCH(F$6,'Restaurant Base (Hidden)'!$A$1:$Z$1,0)),"")</f>
        <v/>
      </c>
      <c r="G97" s="20" t="str">
        <f>+IFERROR(INDEX('Restaurant Base (Hidden)'!$A$2:$Z$1048576,MATCH($C97,'Restaurant Base (Hidden)'!$C$2:$C$1048576,0),MATCH(G$6,'Restaurant Base (Hidden)'!$A$1:$Z$1,0)),"")</f>
        <v>4,249</v>
      </c>
      <c r="H97" s="50">
        <f>+IFERROR(INDEX('Restaurant Base (Hidden)'!$A$2:$Z$1048576,MATCH($C97,'Restaurant Base (Hidden)'!$C$2:$C$1048576,0),MATCH(H$6,'Restaurant Base (Hidden)'!$A$1:$Z$1,0)),"")</f>
        <v>3</v>
      </c>
      <c r="I97" s="20" t="str">
        <f>+IFERROR(INDEX('Restaurant Base (Hidden)'!$A$2:$Z$1048576,MATCH($C97,'Restaurant Base (Hidden)'!$C$2:$C$1048576,0),MATCH(I$6,'Restaurant Base (Hidden)'!$A$1:$Z$1,0)),"")</f>
        <v>68,50 %</v>
      </c>
      <c r="J97" s="49">
        <f>+IFERROR(INDEX('Restaurant Base (Hidden)'!$A$2:$Z$1048576,MATCH($C97,'Restaurant Base (Hidden)'!$C$2:$C$1048576,0),MATCH(J$6,'Restaurant Base (Hidden)'!$A$1:$Z$1,0)),"")</f>
        <v>1</v>
      </c>
      <c r="K97" s="20" t="str">
        <f>+IFERROR(INDEX('Restaurant Base (Hidden)'!$A$2:$Z$1048576,MATCH($C97,'Restaurant Base (Hidden)'!$C$2:$C$1048576,0),MATCH(K$6,'Restaurant Base (Hidden)'!$A$1:$Z$1,0)),"")</f>
        <v>0,125</v>
      </c>
      <c r="L97" s="51">
        <f>+IFERROR(INDEX('Restaurant Base (Hidden)'!$A$2:$Z$1048576,MATCH($C97,'Restaurant Base (Hidden)'!$C$2:$C$1048576,0),MATCH(L$6,'Restaurant Base (Hidden)'!$A$1:$Z$1,0)),"")</f>
        <v>3</v>
      </c>
      <c r="M97" s="2" t="str">
        <f>+IFERROR(INDEX('Restaurant Base (Hidden)'!$A$2:$Z$1048576,MATCH($C97,'Restaurant Base (Hidden)'!$C$2:$C$1048576,0),MATCH(M$6,'Restaurant Base (Hidden)'!$A$1:$Z$1,0)),"")</f>
        <v/>
      </c>
      <c r="N97" s="234" t="str">
        <f>+IFERROR(INDEX('Restaurant Base (Hidden)'!$A$2:$Z$1048576,MATCH($C97,'Restaurant Base (Hidden)'!$C$2:$C$1048576,0),MATCH(N$6,'Restaurant Base (Hidden)'!$A$1:$Z$1,0)),"")</f>
        <v>83,80 %</v>
      </c>
      <c r="O97" s="1">
        <f>+IFERROR(INDEX('Restaurant Base (Hidden)'!$A$2:$Z$1048576,MATCH($C97,'Restaurant Base (Hidden)'!$C$2:$C$1048576,0),MATCH(O$6,'Restaurant Base (Hidden)'!$A$1:$Z$1,0)),"")</f>
        <v>5</v>
      </c>
      <c r="P97" s="2" t="str">
        <f>+IFERROR(INDEX('Restaurant Base (Hidden)'!$A$2:$Z$1048576,MATCH($C97,'Restaurant Base (Hidden)'!$C$2:$C$1048576,0),MATCH(P$6,'Restaurant Base (Hidden)'!$A$1:$Z$1,0)),"")</f>
        <v/>
      </c>
      <c r="Q97" s="234" t="str">
        <f>+IFERROR(INDEX('Restaurant Base (Hidden)'!$A$2:$Z$1048576,MATCH($C97,'Restaurant Base (Hidden)'!$C$2:$C$1048576,0),MATCH(Q$6,'Restaurant Base (Hidden)'!$A$1:$Z$1,0)),"")</f>
        <v>76,60 %</v>
      </c>
      <c r="R97" s="1">
        <f>+IFERROR(INDEX('Restaurant Base (Hidden)'!$A$2:$Z$1048576,MATCH($C97,'Restaurant Base (Hidden)'!$C$2:$C$1048576,0),MATCH(R$6,'Restaurant Base (Hidden)'!$A$1:$Z$1,0)),"")</f>
        <v>5</v>
      </c>
      <c r="S97" s="2" t="str">
        <f>+IFERROR(INDEX('Restaurant Base (Hidden)'!$A$2:$Z$1048576,MATCH($C97,'Restaurant Base (Hidden)'!$C$2:$C$1048576,0),MATCH(S$6,'Restaurant Base (Hidden)'!$A$1:$Z$1,0)),"")</f>
        <v/>
      </c>
      <c r="T97" s="62">
        <f>+IFERROR(INDEX('Restaurant Base (Hidden)'!$A$2:$Z$1048576,MATCH($C97,'Restaurant Base (Hidden)'!$C$2:$C$1048576,0),MATCH(T$6,'Restaurant Base (Hidden)'!$A$1:$Z$1,0)),"")</f>
        <v>57.2</v>
      </c>
      <c r="U97" s="1">
        <f>+IFERROR(INDEX('Restaurant Base (Hidden)'!$A$2:$Z$1048576,MATCH($C97,'Restaurant Base (Hidden)'!$C$2:$C$1048576,0),MATCH(U$6,'Restaurant Base (Hidden)'!$A$1:$Z$1,0)),"")</f>
        <v>2</v>
      </c>
      <c r="V97" s="2" t="str">
        <f>+IFERROR(INDEX('Restaurant Base (Hidden)'!$A$2:$Z$1048576,MATCH($C97,'Restaurant Base (Hidden)'!$C$2:$C$1048576,0),MATCH(V$6,'Restaurant Base (Hidden)'!$A$1:$Z$1,0)),"")</f>
        <v/>
      </c>
      <c r="W97" s="65" t="str">
        <f>+IFERROR(INDEX('Restaurant Base (Hidden)'!$A$2:$Z$1048576,MATCH($C97,'Restaurant Base (Hidden)'!$C$2:$C$1048576,0),MATCH(W$6,'Restaurant Base (Hidden)'!$A$1:$Z$1,0)),"")</f>
        <v>87,00 %</v>
      </c>
      <c r="X97" s="1">
        <f>+IFERROR(INDEX('Restaurant Base (Hidden)'!$A$2:$Z$1048576,MATCH($C97,'Restaurant Base (Hidden)'!$C$2:$C$1048576,0),MATCH(X$6,'Restaurant Base (Hidden)'!$A$1:$Z$1,0)),"")</f>
        <v>3</v>
      </c>
      <c r="Y97" s="65" t="str">
        <f>+IFERROR(INDEX('Restaurant Base (Hidden)'!$A$2:$Z$1048576,MATCH($C97,'Restaurant Base (Hidden)'!$C$2:$C$1048576,0),MATCH(Y$6,'Restaurant Base (Hidden)'!$A$1:$Z$1,0)),"")</f>
        <v>57,20 %</v>
      </c>
      <c r="Z97" s="106">
        <f>+IFERROR(INDEX('Restaurant Base (Hidden)'!$A$2:$Z$1048576,MATCH($C97,'Restaurant Base (Hidden)'!$C$2:$C$1048576,0),MATCH(Z$6,'Restaurant Base (Hidden)'!$A$1:$Z$1,0)),"")</f>
        <v>1</v>
      </c>
      <c r="AA97" s="65" t="str">
        <f>+IFERROR(INDEX('Restaurant Base (Hidden)'!$A$2:$Z$1048576,MATCH($C97,'Restaurant Base (Hidden)'!$C$2:$C$1048576,0),MATCH(AA$6,'Restaurant Base (Hidden)'!$A$1:$Z$1,0)),"")</f>
        <v>97,30 %</v>
      </c>
      <c r="AB97" s="1">
        <f>+IFERROR(INDEX('Restaurant Base (Hidden)'!$A$2:$Z$1048576,MATCH($C97,'Restaurant Base (Hidden)'!$C$2:$C$1048576,0),MATCH(AB$6,'Restaurant Base (Hidden)'!$A$1:$Z$1,0)),"")</f>
        <v>4</v>
      </c>
      <c r="AC97" s="20" t="str">
        <f>+IFERROR(INDEX('Restaurant Base (Hidden)'!$A$2:$Z$1048576,MATCH($C97,'Restaurant Base (Hidden)'!$C$2:$C$1048576,0),MATCH(AC$6,'Restaurant Base (Hidden)'!$A$1:$Z$1,0)),"")</f>
        <v/>
      </c>
      <c r="AD97" s="65" t="str">
        <f>+IFERROR(INDEX('Restaurant Base (Hidden)'!$A$2:$Z$1048576,MATCH($C97,'Restaurant Base (Hidden)'!$C$2:$C$1048576,0),MATCH(AD$6,'Restaurant Base (Hidden)'!$A$1:$Z$1,0)),"")</f>
        <v>95,80 %</v>
      </c>
      <c r="AE97" s="1">
        <f>+IFERROR(INDEX('Restaurant Base (Hidden)'!$A$2:$Z$1048576,MATCH($C97,'Restaurant Base (Hidden)'!$C$2:$C$1048576,0),MATCH(AE$6,'Restaurant Base (Hidden)'!$A$1:$Z$1,0)),"")</f>
        <v>5</v>
      </c>
      <c r="AF97" s="65" t="str">
        <f>+IFERROR(INDEX('Restaurant Base (Hidden)'!$A$2:$Z$1048576,MATCH($C97,'Restaurant Base (Hidden)'!$C$2:$C$1048576,0),MATCH(AF$6,'Restaurant Base (Hidden)'!$A$1:$Z$1,0)),"")</f>
        <v>92,50 %</v>
      </c>
      <c r="AG97" s="1">
        <f>+IFERROR(INDEX('Restaurant Base (Hidden)'!$A$2:$Z$1048576,MATCH($C97,'Restaurant Base (Hidden)'!$C$2:$C$1048576,0),MATCH(AG$6,'Restaurant Base (Hidden)'!$A$1:$Z$1,0)),"")</f>
        <v>3</v>
      </c>
    </row>
    <row r="98" spans="1:33" x14ac:dyDescent="0.4">
      <c r="A98" s="163" t="str">
        <f>IF('Restaurant Base (Hidden)'!A126=0,"", 'Restaurant Base (Hidden)'!A126)</f>
        <v>Hayden Merriton</v>
      </c>
      <c r="B98" s="163" t="str">
        <f>IF('Restaurant Base (Hidden)'!B126=0,"", 'Restaurant Base (Hidden)'!B126)</f>
        <v>Westhaven Foods</v>
      </c>
      <c r="C98" s="163" t="str">
        <f>IF('Restaurant Base (Hidden)'!C126=0,"", 'Restaurant Base (Hidden)'!C126)</f>
        <v>Emerald Gate</v>
      </c>
      <c r="D98" s="104">
        <f t="shared" si="1"/>
        <v>92</v>
      </c>
      <c r="E98" s="105">
        <f>+IFERROR(INDEX('Restaurant Base (Hidden)'!$A$2:$Z$1048576,MATCH($C98,'Restaurant Base (Hidden)'!$C$2:$C$1048576,0),MATCH(E$6,'Restaurant Base (Hidden)'!$A$1:$Z$1,0)),"")</f>
        <v>3.34</v>
      </c>
      <c r="F98" s="2" t="str">
        <f>+IFERROR(INDEX('Restaurant Base (Hidden)'!$A$2:$Z$1048576,MATCH($C98,'Restaurant Base (Hidden)'!$C$2:$C$1048576,0),MATCH(F$6,'Restaurant Base (Hidden)'!$A$1:$Z$1,0)),"")</f>
        <v/>
      </c>
      <c r="G98" s="20" t="str">
        <f>+IFERROR(INDEX('Restaurant Base (Hidden)'!$A$2:$Z$1048576,MATCH($C98,'Restaurant Base (Hidden)'!$C$2:$C$1048576,0),MATCH(G$6,'Restaurant Base (Hidden)'!$A$1:$Z$1,0)),"")</f>
        <v>4,035</v>
      </c>
      <c r="H98" s="50">
        <f>+IFERROR(INDEX('Restaurant Base (Hidden)'!$A$2:$Z$1048576,MATCH($C98,'Restaurant Base (Hidden)'!$C$2:$C$1048576,0),MATCH(H$6,'Restaurant Base (Hidden)'!$A$1:$Z$1,0)),"")</f>
        <v>1</v>
      </c>
      <c r="I98" s="20" t="str">
        <f>+IFERROR(INDEX('Restaurant Base (Hidden)'!$A$2:$Z$1048576,MATCH($C98,'Restaurant Base (Hidden)'!$C$2:$C$1048576,0),MATCH(I$6,'Restaurant Base (Hidden)'!$A$1:$Z$1,0)),"")</f>
        <v>77,60 %</v>
      </c>
      <c r="J98" s="49">
        <f>+IFERROR(INDEX('Restaurant Base (Hidden)'!$A$2:$Z$1048576,MATCH($C98,'Restaurant Base (Hidden)'!$C$2:$C$1048576,0),MATCH(J$6,'Restaurant Base (Hidden)'!$A$1:$Z$1,0)),"")</f>
        <v>1</v>
      </c>
      <c r="K98" s="20" t="str">
        <f>+IFERROR(INDEX('Restaurant Base (Hidden)'!$A$2:$Z$1048576,MATCH($C98,'Restaurant Base (Hidden)'!$C$2:$C$1048576,0),MATCH(K$6,'Restaurant Base (Hidden)'!$A$1:$Z$1,0)),"")</f>
        <v>0,047</v>
      </c>
      <c r="L98" s="51">
        <f>+IFERROR(INDEX('Restaurant Base (Hidden)'!$A$2:$Z$1048576,MATCH($C98,'Restaurant Base (Hidden)'!$C$2:$C$1048576,0),MATCH(L$6,'Restaurant Base (Hidden)'!$A$1:$Z$1,0)),"")</f>
        <v>5</v>
      </c>
      <c r="M98" s="2" t="str">
        <f>+IFERROR(INDEX('Restaurant Base (Hidden)'!$A$2:$Z$1048576,MATCH($C98,'Restaurant Base (Hidden)'!$C$2:$C$1048576,0),MATCH(M$6,'Restaurant Base (Hidden)'!$A$1:$Z$1,0)),"")</f>
        <v/>
      </c>
      <c r="N98" s="234" t="str">
        <f>+IFERROR(INDEX('Restaurant Base (Hidden)'!$A$2:$Z$1048576,MATCH($C98,'Restaurant Base (Hidden)'!$C$2:$C$1048576,0),MATCH(N$6,'Restaurant Base (Hidden)'!$A$1:$Z$1,0)),"")</f>
        <v>89,20 %</v>
      </c>
      <c r="O98" s="1">
        <f>+IFERROR(INDEX('Restaurant Base (Hidden)'!$A$2:$Z$1048576,MATCH($C98,'Restaurant Base (Hidden)'!$C$2:$C$1048576,0),MATCH(O$6,'Restaurant Base (Hidden)'!$A$1:$Z$1,0)),"")</f>
        <v>5</v>
      </c>
      <c r="P98" s="2" t="str">
        <f>+IFERROR(INDEX('Restaurant Base (Hidden)'!$A$2:$Z$1048576,MATCH($C98,'Restaurant Base (Hidden)'!$C$2:$C$1048576,0),MATCH(P$6,'Restaurant Base (Hidden)'!$A$1:$Z$1,0)),"")</f>
        <v/>
      </c>
      <c r="Q98" s="234" t="str">
        <f>+IFERROR(INDEX('Restaurant Base (Hidden)'!$A$2:$Z$1048576,MATCH($C98,'Restaurant Base (Hidden)'!$C$2:$C$1048576,0),MATCH(Q$6,'Restaurant Base (Hidden)'!$A$1:$Z$1,0)),"")</f>
        <v>93,90 %</v>
      </c>
      <c r="R98" s="1">
        <f>+IFERROR(INDEX('Restaurant Base (Hidden)'!$A$2:$Z$1048576,MATCH($C98,'Restaurant Base (Hidden)'!$C$2:$C$1048576,0),MATCH(R$6,'Restaurant Base (Hidden)'!$A$1:$Z$1,0)),"")</f>
        <v>5</v>
      </c>
      <c r="S98" s="2" t="str">
        <f>+IFERROR(INDEX('Restaurant Base (Hidden)'!$A$2:$Z$1048576,MATCH($C98,'Restaurant Base (Hidden)'!$C$2:$C$1048576,0),MATCH(S$6,'Restaurant Base (Hidden)'!$A$1:$Z$1,0)),"")</f>
        <v/>
      </c>
      <c r="T98" s="62">
        <f>+IFERROR(INDEX('Restaurant Base (Hidden)'!$A$2:$Z$1048576,MATCH($C98,'Restaurant Base (Hidden)'!$C$2:$C$1048576,0),MATCH(T$6,'Restaurant Base (Hidden)'!$A$1:$Z$1,0)),"")</f>
        <v>57.8</v>
      </c>
      <c r="U98" s="1">
        <f>+IFERROR(INDEX('Restaurant Base (Hidden)'!$A$2:$Z$1048576,MATCH($C98,'Restaurant Base (Hidden)'!$C$2:$C$1048576,0),MATCH(U$6,'Restaurant Base (Hidden)'!$A$1:$Z$1,0)),"")</f>
        <v>2</v>
      </c>
      <c r="V98" s="2" t="str">
        <f>+IFERROR(INDEX('Restaurant Base (Hidden)'!$A$2:$Z$1048576,MATCH($C98,'Restaurant Base (Hidden)'!$C$2:$C$1048576,0),MATCH(V$6,'Restaurant Base (Hidden)'!$A$1:$Z$1,0)),"")</f>
        <v/>
      </c>
      <c r="W98" s="65" t="str">
        <f>+IFERROR(INDEX('Restaurant Base (Hidden)'!$A$2:$Z$1048576,MATCH($C98,'Restaurant Base (Hidden)'!$C$2:$C$1048576,0),MATCH(W$6,'Restaurant Base (Hidden)'!$A$1:$Z$1,0)),"")</f>
        <v>78,80 %</v>
      </c>
      <c r="X98" s="1">
        <f>+IFERROR(INDEX('Restaurant Base (Hidden)'!$A$2:$Z$1048576,MATCH($C98,'Restaurant Base (Hidden)'!$C$2:$C$1048576,0),MATCH(X$6,'Restaurant Base (Hidden)'!$A$1:$Z$1,0)),"")</f>
        <v>2</v>
      </c>
      <c r="Y98" s="65" t="str">
        <f>+IFERROR(INDEX('Restaurant Base (Hidden)'!$A$2:$Z$1048576,MATCH($C98,'Restaurant Base (Hidden)'!$C$2:$C$1048576,0),MATCH(Y$6,'Restaurant Base (Hidden)'!$A$1:$Z$1,0)),"")</f>
        <v>55,40 %</v>
      </c>
      <c r="Z98" s="106">
        <f>+IFERROR(INDEX('Restaurant Base (Hidden)'!$A$2:$Z$1048576,MATCH($C98,'Restaurant Base (Hidden)'!$C$2:$C$1048576,0),MATCH(Z$6,'Restaurant Base (Hidden)'!$A$1:$Z$1,0)),"")</f>
        <v>1</v>
      </c>
      <c r="AA98" s="65" t="str">
        <f>+IFERROR(INDEX('Restaurant Base (Hidden)'!$A$2:$Z$1048576,MATCH($C98,'Restaurant Base (Hidden)'!$C$2:$C$1048576,0),MATCH(AA$6,'Restaurant Base (Hidden)'!$A$1:$Z$1,0)),"")</f>
        <v>73,60 %</v>
      </c>
      <c r="AB98" s="1">
        <f>+IFERROR(INDEX('Restaurant Base (Hidden)'!$A$2:$Z$1048576,MATCH($C98,'Restaurant Base (Hidden)'!$C$2:$C$1048576,0),MATCH(AB$6,'Restaurant Base (Hidden)'!$A$1:$Z$1,0)),"")</f>
        <v>2</v>
      </c>
      <c r="AC98" s="20" t="str">
        <f>+IFERROR(INDEX('Restaurant Base (Hidden)'!$A$2:$Z$1048576,MATCH($C98,'Restaurant Base (Hidden)'!$C$2:$C$1048576,0),MATCH(AC$6,'Restaurant Base (Hidden)'!$A$1:$Z$1,0)),"")</f>
        <v/>
      </c>
      <c r="AD98" s="65" t="str">
        <f>+IFERROR(INDEX('Restaurant Base (Hidden)'!$A$2:$Z$1048576,MATCH($C98,'Restaurant Base (Hidden)'!$C$2:$C$1048576,0),MATCH(AD$6,'Restaurant Base (Hidden)'!$A$1:$Z$1,0)),"")</f>
        <v>97,70 %</v>
      </c>
      <c r="AE98" s="1">
        <f>+IFERROR(INDEX('Restaurant Base (Hidden)'!$A$2:$Z$1048576,MATCH($C98,'Restaurant Base (Hidden)'!$C$2:$C$1048576,0),MATCH(AE$6,'Restaurant Base (Hidden)'!$A$1:$Z$1,0)),"")</f>
        <v>5</v>
      </c>
      <c r="AF98" s="65" t="str">
        <f>+IFERROR(INDEX('Restaurant Base (Hidden)'!$A$2:$Z$1048576,MATCH($C98,'Restaurant Base (Hidden)'!$C$2:$C$1048576,0),MATCH(AF$6,'Restaurant Base (Hidden)'!$A$1:$Z$1,0)),"")</f>
        <v>98,90 %</v>
      </c>
      <c r="AG98" s="1">
        <f>+IFERROR(INDEX('Restaurant Base (Hidden)'!$A$2:$Z$1048576,MATCH($C98,'Restaurant Base (Hidden)'!$C$2:$C$1048576,0),MATCH(AG$6,'Restaurant Base (Hidden)'!$A$1:$Z$1,0)),"")</f>
        <v>5</v>
      </c>
    </row>
    <row r="99" spans="1:33" x14ac:dyDescent="0.4">
      <c r="A99" s="163" t="str">
        <f>IF('Restaurant Base (Hidden)'!A333=0,"", 'Restaurant Base (Hidden)'!A333)</f>
        <v>Logan Redford</v>
      </c>
      <c r="B99" s="163" t="str">
        <f>IF('Restaurant Base (Hidden)'!B333=0,"", 'Restaurant Base (Hidden)'!B333)</f>
        <v>Maplewood Hospitality</v>
      </c>
      <c r="C99" s="163" t="str">
        <f>IF('Restaurant Base (Hidden)'!C333=0,"", 'Restaurant Base (Hidden)'!C333)</f>
        <v>Royal Creek</v>
      </c>
      <c r="D99" s="104">
        <f t="shared" si="1"/>
        <v>92</v>
      </c>
      <c r="E99" s="105">
        <f>+IFERROR(INDEX('Restaurant Base (Hidden)'!$A$2:$Z$1048576,MATCH($C99,'Restaurant Base (Hidden)'!$C$2:$C$1048576,0),MATCH(E$6,'Restaurant Base (Hidden)'!$A$1:$Z$1,0)),"")</f>
        <v>3.34</v>
      </c>
      <c r="F99" s="2" t="str">
        <f>+IFERROR(INDEX('Restaurant Base (Hidden)'!$A$2:$Z$1048576,MATCH($C99,'Restaurant Base (Hidden)'!$C$2:$C$1048576,0),MATCH(F$6,'Restaurant Base (Hidden)'!$A$1:$Z$1,0)),"")</f>
        <v/>
      </c>
      <c r="G99" s="20" t="str">
        <f>+IFERROR(INDEX('Restaurant Base (Hidden)'!$A$2:$Z$1048576,MATCH($C99,'Restaurant Base (Hidden)'!$C$2:$C$1048576,0),MATCH(G$6,'Restaurant Base (Hidden)'!$A$1:$Z$1,0)),"")</f>
        <v>4,243</v>
      </c>
      <c r="H99" s="50">
        <f>+IFERROR(INDEX('Restaurant Base (Hidden)'!$A$2:$Z$1048576,MATCH($C99,'Restaurant Base (Hidden)'!$C$2:$C$1048576,0),MATCH(H$6,'Restaurant Base (Hidden)'!$A$1:$Z$1,0)),"")</f>
        <v>3</v>
      </c>
      <c r="I99" s="20" t="str">
        <f>+IFERROR(INDEX('Restaurant Base (Hidden)'!$A$2:$Z$1048576,MATCH($C99,'Restaurant Base (Hidden)'!$C$2:$C$1048576,0),MATCH(I$6,'Restaurant Base (Hidden)'!$A$1:$Z$1,0)),"")</f>
        <v>63,80 %</v>
      </c>
      <c r="J99" s="49">
        <f>+IFERROR(INDEX('Restaurant Base (Hidden)'!$A$2:$Z$1048576,MATCH($C99,'Restaurant Base (Hidden)'!$C$2:$C$1048576,0),MATCH(J$6,'Restaurant Base (Hidden)'!$A$1:$Z$1,0)),"")</f>
        <v>1</v>
      </c>
      <c r="K99" s="20" t="str">
        <f>+IFERROR(INDEX('Restaurant Base (Hidden)'!$A$2:$Z$1048576,MATCH($C99,'Restaurant Base (Hidden)'!$C$2:$C$1048576,0),MATCH(K$6,'Restaurant Base (Hidden)'!$A$1:$Z$1,0)),"")</f>
        <v>0,103</v>
      </c>
      <c r="L99" s="51">
        <f>+IFERROR(INDEX('Restaurant Base (Hidden)'!$A$2:$Z$1048576,MATCH($C99,'Restaurant Base (Hidden)'!$C$2:$C$1048576,0),MATCH(L$6,'Restaurant Base (Hidden)'!$A$1:$Z$1,0)),"")</f>
        <v>3</v>
      </c>
      <c r="M99" s="2" t="str">
        <f>+IFERROR(INDEX('Restaurant Base (Hidden)'!$A$2:$Z$1048576,MATCH($C99,'Restaurant Base (Hidden)'!$C$2:$C$1048576,0),MATCH(M$6,'Restaurant Base (Hidden)'!$A$1:$Z$1,0)),"")</f>
        <v/>
      </c>
      <c r="N99" s="234" t="str">
        <f>+IFERROR(INDEX('Restaurant Base (Hidden)'!$A$2:$Z$1048576,MATCH($C99,'Restaurant Base (Hidden)'!$C$2:$C$1048576,0),MATCH(N$6,'Restaurant Base (Hidden)'!$A$1:$Z$1,0)),"")</f>
        <v>98,70 %</v>
      </c>
      <c r="O99" s="1">
        <f>+IFERROR(INDEX('Restaurant Base (Hidden)'!$A$2:$Z$1048576,MATCH($C99,'Restaurant Base (Hidden)'!$C$2:$C$1048576,0),MATCH(O$6,'Restaurant Base (Hidden)'!$A$1:$Z$1,0)),"")</f>
        <v>5</v>
      </c>
      <c r="P99" s="2" t="str">
        <f>+IFERROR(INDEX('Restaurant Base (Hidden)'!$A$2:$Z$1048576,MATCH($C99,'Restaurant Base (Hidden)'!$C$2:$C$1048576,0),MATCH(P$6,'Restaurant Base (Hidden)'!$A$1:$Z$1,0)),"")</f>
        <v/>
      </c>
      <c r="Q99" s="234" t="str">
        <f>+IFERROR(INDEX('Restaurant Base (Hidden)'!$A$2:$Z$1048576,MATCH($C99,'Restaurant Base (Hidden)'!$C$2:$C$1048576,0),MATCH(Q$6,'Restaurant Base (Hidden)'!$A$1:$Z$1,0)),"")</f>
        <v>87,60 %</v>
      </c>
      <c r="R99" s="1">
        <f>+IFERROR(INDEX('Restaurant Base (Hidden)'!$A$2:$Z$1048576,MATCH($C99,'Restaurant Base (Hidden)'!$C$2:$C$1048576,0),MATCH(R$6,'Restaurant Base (Hidden)'!$A$1:$Z$1,0)),"")</f>
        <v>5</v>
      </c>
      <c r="S99" s="2" t="str">
        <f>+IFERROR(INDEX('Restaurant Base (Hidden)'!$A$2:$Z$1048576,MATCH($C99,'Restaurant Base (Hidden)'!$C$2:$C$1048576,0),MATCH(S$6,'Restaurant Base (Hidden)'!$A$1:$Z$1,0)),"")</f>
        <v/>
      </c>
      <c r="T99" s="62">
        <f>+IFERROR(INDEX('Restaurant Base (Hidden)'!$A$2:$Z$1048576,MATCH($C99,'Restaurant Base (Hidden)'!$C$2:$C$1048576,0),MATCH(T$6,'Restaurant Base (Hidden)'!$A$1:$Z$1,0)),"")</f>
        <v>73.7</v>
      </c>
      <c r="U99" s="1">
        <f>+IFERROR(INDEX('Restaurant Base (Hidden)'!$A$2:$Z$1048576,MATCH($C99,'Restaurant Base (Hidden)'!$C$2:$C$1048576,0),MATCH(U$6,'Restaurant Base (Hidden)'!$A$1:$Z$1,0)),"")</f>
        <v>5</v>
      </c>
      <c r="V99" s="2" t="str">
        <f>+IFERROR(INDEX('Restaurant Base (Hidden)'!$A$2:$Z$1048576,MATCH($C99,'Restaurant Base (Hidden)'!$C$2:$C$1048576,0),MATCH(V$6,'Restaurant Base (Hidden)'!$A$1:$Z$1,0)),"")</f>
        <v/>
      </c>
      <c r="W99" s="65" t="str">
        <f>+IFERROR(INDEX('Restaurant Base (Hidden)'!$A$2:$Z$1048576,MATCH($C99,'Restaurant Base (Hidden)'!$C$2:$C$1048576,0),MATCH(W$6,'Restaurant Base (Hidden)'!$A$1:$Z$1,0)),"")</f>
        <v>86,60 %</v>
      </c>
      <c r="X99" s="1">
        <f>+IFERROR(INDEX('Restaurant Base (Hidden)'!$A$2:$Z$1048576,MATCH($C99,'Restaurant Base (Hidden)'!$C$2:$C$1048576,0),MATCH(X$6,'Restaurant Base (Hidden)'!$A$1:$Z$1,0)),"")</f>
        <v>3</v>
      </c>
      <c r="Y99" s="65" t="str">
        <f>+IFERROR(INDEX('Restaurant Base (Hidden)'!$A$2:$Z$1048576,MATCH($C99,'Restaurant Base (Hidden)'!$C$2:$C$1048576,0),MATCH(Y$6,'Restaurant Base (Hidden)'!$A$1:$Z$1,0)),"")</f>
        <v>95,60 %</v>
      </c>
      <c r="Z99" s="106">
        <f>+IFERROR(INDEX('Restaurant Base (Hidden)'!$A$2:$Z$1048576,MATCH($C99,'Restaurant Base (Hidden)'!$C$2:$C$1048576,0),MATCH(Z$6,'Restaurant Base (Hidden)'!$A$1:$Z$1,0)),"")</f>
        <v>4</v>
      </c>
      <c r="AA99" s="65" t="str">
        <f>+IFERROR(INDEX('Restaurant Base (Hidden)'!$A$2:$Z$1048576,MATCH($C99,'Restaurant Base (Hidden)'!$C$2:$C$1048576,0),MATCH(AA$6,'Restaurant Base (Hidden)'!$A$1:$Z$1,0)),"")</f>
        <v>83,20 %</v>
      </c>
      <c r="AB99" s="1">
        <f>+IFERROR(INDEX('Restaurant Base (Hidden)'!$A$2:$Z$1048576,MATCH($C99,'Restaurant Base (Hidden)'!$C$2:$C$1048576,0),MATCH(AB$6,'Restaurant Base (Hidden)'!$A$1:$Z$1,0)),"")</f>
        <v>2</v>
      </c>
      <c r="AC99" s="20" t="str">
        <f>+IFERROR(INDEX('Restaurant Base (Hidden)'!$A$2:$Z$1048576,MATCH($C99,'Restaurant Base (Hidden)'!$C$2:$C$1048576,0),MATCH(AC$6,'Restaurant Base (Hidden)'!$A$1:$Z$1,0)),"")</f>
        <v/>
      </c>
      <c r="AD99" s="65" t="str">
        <f>+IFERROR(INDEX('Restaurant Base (Hidden)'!$A$2:$Z$1048576,MATCH($C99,'Restaurant Base (Hidden)'!$C$2:$C$1048576,0),MATCH(AD$6,'Restaurant Base (Hidden)'!$A$1:$Z$1,0)),"")</f>
        <v>72,20 %</v>
      </c>
      <c r="AE99" s="1">
        <f>+IFERROR(INDEX('Restaurant Base (Hidden)'!$A$2:$Z$1048576,MATCH($C99,'Restaurant Base (Hidden)'!$C$2:$C$1048576,0),MATCH(AE$6,'Restaurant Base (Hidden)'!$A$1:$Z$1,0)),"")</f>
        <v>2</v>
      </c>
      <c r="AF99" s="65" t="str">
        <f>+IFERROR(INDEX('Restaurant Base (Hidden)'!$A$2:$Z$1048576,MATCH($C99,'Restaurant Base (Hidden)'!$C$2:$C$1048576,0),MATCH(AF$6,'Restaurant Base (Hidden)'!$A$1:$Z$1,0)),"")</f>
        <v>77,10 %</v>
      </c>
      <c r="AG99" s="1">
        <f>+IFERROR(INDEX('Restaurant Base (Hidden)'!$A$2:$Z$1048576,MATCH($C99,'Restaurant Base (Hidden)'!$C$2:$C$1048576,0),MATCH(AG$6,'Restaurant Base (Hidden)'!$A$1:$Z$1,0)),"")</f>
        <v>2</v>
      </c>
    </row>
    <row r="100" spans="1:33" x14ac:dyDescent="0.4">
      <c r="A100" s="163" t="str">
        <f>IF('Restaurant Base (Hidden)'!A354=0,"", 'Restaurant Base (Hidden)'!A354)</f>
        <v>Drew Fairbourne</v>
      </c>
      <c r="B100" s="163" t="str">
        <f>IF('Restaurant Base (Hidden)'!B354=0,"", 'Restaurant Base (Hidden)'!B354)</f>
        <v>Ridgeway Restaurants</v>
      </c>
      <c r="C100" s="163" t="str">
        <f>IF('Restaurant Base (Hidden)'!C354=0,"", 'Restaurant Base (Hidden)'!C354)</f>
        <v>Meadow View</v>
      </c>
      <c r="D100" s="104">
        <f t="shared" si="1"/>
        <v>92</v>
      </c>
      <c r="E100" s="105">
        <f>+IFERROR(INDEX('Restaurant Base (Hidden)'!$A$2:$Z$1048576,MATCH($C100,'Restaurant Base (Hidden)'!$C$2:$C$1048576,0),MATCH(E$6,'Restaurant Base (Hidden)'!$A$1:$Z$1,0)),"")</f>
        <v>3.34</v>
      </c>
      <c r="F100" s="2" t="str">
        <f>+IFERROR(INDEX('Restaurant Base (Hidden)'!$A$2:$Z$1048576,MATCH($C100,'Restaurant Base (Hidden)'!$C$2:$C$1048576,0),MATCH(F$6,'Restaurant Base (Hidden)'!$A$1:$Z$1,0)),"")</f>
        <v/>
      </c>
      <c r="G100" s="20" t="str">
        <f>+IFERROR(INDEX('Restaurant Base (Hidden)'!$A$2:$Z$1048576,MATCH($C100,'Restaurant Base (Hidden)'!$C$2:$C$1048576,0),MATCH(G$6,'Restaurant Base (Hidden)'!$A$1:$Z$1,0)),"")</f>
        <v>4,390</v>
      </c>
      <c r="H100" s="50">
        <f>+IFERROR(INDEX('Restaurant Base (Hidden)'!$A$2:$Z$1048576,MATCH($C100,'Restaurant Base (Hidden)'!$C$2:$C$1048576,0),MATCH(H$6,'Restaurant Base (Hidden)'!$A$1:$Z$1,0)),"")</f>
        <v>4</v>
      </c>
      <c r="I100" s="20" t="str">
        <f>+IFERROR(INDEX('Restaurant Base (Hidden)'!$A$2:$Z$1048576,MATCH($C100,'Restaurant Base (Hidden)'!$C$2:$C$1048576,0),MATCH(I$6,'Restaurant Base (Hidden)'!$A$1:$Z$1,0)),"")</f>
        <v>86,30 %</v>
      </c>
      <c r="J100" s="49">
        <f>+IFERROR(INDEX('Restaurant Base (Hidden)'!$A$2:$Z$1048576,MATCH($C100,'Restaurant Base (Hidden)'!$C$2:$C$1048576,0),MATCH(J$6,'Restaurant Base (Hidden)'!$A$1:$Z$1,0)),"")</f>
        <v>3</v>
      </c>
      <c r="K100" s="20" t="str">
        <f>+IFERROR(INDEX('Restaurant Base (Hidden)'!$A$2:$Z$1048576,MATCH($C100,'Restaurant Base (Hidden)'!$C$2:$C$1048576,0),MATCH(K$6,'Restaurant Base (Hidden)'!$A$1:$Z$1,0)),"")</f>
        <v>0,174</v>
      </c>
      <c r="L100" s="51">
        <f>+IFERROR(INDEX('Restaurant Base (Hidden)'!$A$2:$Z$1048576,MATCH($C100,'Restaurant Base (Hidden)'!$C$2:$C$1048576,0),MATCH(L$6,'Restaurant Base (Hidden)'!$A$1:$Z$1,0)),"")</f>
        <v>2</v>
      </c>
      <c r="M100" s="2" t="str">
        <f>+IFERROR(INDEX('Restaurant Base (Hidden)'!$A$2:$Z$1048576,MATCH($C100,'Restaurant Base (Hidden)'!$C$2:$C$1048576,0),MATCH(M$6,'Restaurant Base (Hidden)'!$A$1:$Z$1,0)),"")</f>
        <v/>
      </c>
      <c r="N100" s="234" t="str">
        <f>+IFERROR(INDEX('Restaurant Base (Hidden)'!$A$2:$Z$1048576,MATCH($C100,'Restaurant Base (Hidden)'!$C$2:$C$1048576,0),MATCH(N$6,'Restaurant Base (Hidden)'!$A$1:$Z$1,0)),"")</f>
        <v>78,30 %</v>
      </c>
      <c r="O100" s="1">
        <f>+IFERROR(INDEX('Restaurant Base (Hidden)'!$A$2:$Z$1048576,MATCH($C100,'Restaurant Base (Hidden)'!$C$2:$C$1048576,0),MATCH(O$6,'Restaurant Base (Hidden)'!$A$1:$Z$1,0)),"")</f>
        <v>5</v>
      </c>
      <c r="P100" s="2" t="str">
        <f>+IFERROR(INDEX('Restaurant Base (Hidden)'!$A$2:$Z$1048576,MATCH($C100,'Restaurant Base (Hidden)'!$C$2:$C$1048576,0),MATCH(P$6,'Restaurant Base (Hidden)'!$A$1:$Z$1,0)),"")</f>
        <v/>
      </c>
      <c r="Q100" s="234" t="str">
        <f>+IFERROR(INDEX('Restaurant Base (Hidden)'!$A$2:$Z$1048576,MATCH($C100,'Restaurant Base (Hidden)'!$C$2:$C$1048576,0),MATCH(Q$6,'Restaurant Base (Hidden)'!$A$1:$Z$1,0)),"")</f>
        <v>96,60 %</v>
      </c>
      <c r="R100" s="1">
        <f>+IFERROR(INDEX('Restaurant Base (Hidden)'!$A$2:$Z$1048576,MATCH($C100,'Restaurant Base (Hidden)'!$C$2:$C$1048576,0),MATCH(R$6,'Restaurant Base (Hidden)'!$A$1:$Z$1,0)),"")</f>
        <v>5</v>
      </c>
      <c r="S100" s="2" t="str">
        <f>+IFERROR(INDEX('Restaurant Base (Hidden)'!$A$2:$Z$1048576,MATCH($C100,'Restaurant Base (Hidden)'!$C$2:$C$1048576,0),MATCH(S$6,'Restaurant Base (Hidden)'!$A$1:$Z$1,0)),"")</f>
        <v/>
      </c>
      <c r="T100" s="62">
        <f>+IFERROR(INDEX('Restaurant Base (Hidden)'!$A$2:$Z$1048576,MATCH($C100,'Restaurant Base (Hidden)'!$C$2:$C$1048576,0),MATCH(T$6,'Restaurant Base (Hidden)'!$A$1:$Z$1,0)),"")</f>
        <v>73.2</v>
      </c>
      <c r="U100" s="1">
        <f>+IFERROR(INDEX('Restaurant Base (Hidden)'!$A$2:$Z$1048576,MATCH($C100,'Restaurant Base (Hidden)'!$C$2:$C$1048576,0),MATCH(U$6,'Restaurant Base (Hidden)'!$A$1:$Z$1,0)),"")</f>
        <v>5</v>
      </c>
      <c r="V100" s="2" t="str">
        <f>+IFERROR(INDEX('Restaurant Base (Hidden)'!$A$2:$Z$1048576,MATCH($C100,'Restaurant Base (Hidden)'!$C$2:$C$1048576,0),MATCH(V$6,'Restaurant Base (Hidden)'!$A$1:$Z$1,0)),"")</f>
        <v/>
      </c>
      <c r="W100" s="65" t="str">
        <f>+IFERROR(INDEX('Restaurant Base (Hidden)'!$A$2:$Z$1048576,MATCH($C100,'Restaurant Base (Hidden)'!$C$2:$C$1048576,0),MATCH(W$6,'Restaurant Base (Hidden)'!$A$1:$Z$1,0)),"")</f>
        <v>72,90 %</v>
      </c>
      <c r="X100" s="1">
        <f>+IFERROR(INDEX('Restaurant Base (Hidden)'!$A$2:$Z$1048576,MATCH($C100,'Restaurant Base (Hidden)'!$C$2:$C$1048576,0),MATCH(X$6,'Restaurant Base (Hidden)'!$A$1:$Z$1,0)),"")</f>
        <v>2</v>
      </c>
      <c r="Y100" s="65" t="str">
        <f>+IFERROR(INDEX('Restaurant Base (Hidden)'!$A$2:$Z$1048576,MATCH($C100,'Restaurant Base (Hidden)'!$C$2:$C$1048576,0),MATCH(Y$6,'Restaurant Base (Hidden)'!$A$1:$Z$1,0)),"")</f>
        <v>92,40 %</v>
      </c>
      <c r="Z100" s="106">
        <f>+IFERROR(INDEX('Restaurant Base (Hidden)'!$A$2:$Z$1048576,MATCH($C100,'Restaurant Base (Hidden)'!$C$2:$C$1048576,0),MATCH(Z$6,'Restaurant Base (Hidden)'!$A$1:$Z$1,0)),"")</f>
        <v>3</v>
      </c>
      <c r="AA100" s="65" t="str">
        <f>+IFERROR(INDEX('Restaurant Base (Hidden)'!$A$2:$Z$1048576,MATCH($C100,'Restaurant Base (Hidden)'!$C$2:$C$1048576,0),MATCH(AA$6,'Restaurant Base (Hidden)'!$A$1:$Z$1,0)),"")</f>
        <v>55,20 %</v>
      </c>
      <c r="AB100" s="1">
        <f>+IFERROR(INDEX('Restaurant Base (Hidden)'!$A$2:$Z$1048576,MATCH($C100,'Restaurant Base (Hidden)'!$C$2:$C$1048576,0),MATCH(AB$6,'Restaurant Base (Hidden)'!$A$1:$Z$1,0)),"")</f>
        <v>1</v>
      </c>
      <c r="AC100" s="20" t="str">
        <f>+IFERROR(INDEX('Restaurant Base (Hidden)'!$A$2:$Z$1048576,MATCH($C100,'Restaurant Base (Hidden)'!$C$2:$C$1048576,0),MATCH(AC$6,'Restaurant Base (Hidden)'!$A$1:$Z$1,0)),"")</f>
        <v/>
      </c>
      <c r="AD100" s="65" t="str">
        <f>+IFERROR(INDEX('Restaurant Base (Hidden)'!$A$2:$Z$1048576,MATCH($C100,'Restaurant Base (Hidden)'!$C$2:$C$1048576,0),MATCH(AD$6,'Restaurant Base (Hidden)'!$A$1:$Z$1,0)),"")</f>
        <v>78,20 %</v>
      </c>
      <c r="AE100" s="1">
        <f>+IFERROR(INDEX('Restaurant Base (Hidden)'!$A$2:$Z$1048576,MATCH($C100,'Restaurant Base (Hidden)'!$C$2:$C$1048576,0),MATCH(AE$6,'Restaurant Base (Hidden)'!$A$1:$Z$1,0)),"")</f>
        <v>2</v>
      </c>
      <c r="AF100" s="65" t="str">
        <f>+IFERROR(INDEX('Restaurant Base (Hidden)'!$A$2:$Z$1048576,MATCH($C100,'Restaurant Base (Hidden)'!$C$2:$C$1048576,0),MATCH(AF$6,'Restaurant Base (Hidden)'!$A$1:$Z$1,0)),"")</f>
        <v>61,80 %</v>
      </c>
      <c r="AG100" s="1">
        <f>+IFERROR(INDEX('Restaurant Base (Hidden)'!$A$2:$Z$1048576,MATCH($C100,'Restaurant Base (Hidden)'!$C$2:$C$1048576,0),MATCH(AG$6,'Restaurant Base (Hidden)'!$A$1:$Z$1,0)),"")</f>
        <v>1</v>
      </c>
    </row>
    <row r="101" spans="1:33" x14ac:dyDescent="0.4">
      <c r="A101" s="163" t="str">
        <f>IF('Restaurant Base (Hidden)'!A28=0,"", 'Restaurant Base (Hidden)'!A28)</f>
        <v>Sage Rosemont</v>
      </c>
      <c r="B101" s="163" t="str">
        <f>IF('Restaurant Base (Hidden)'!B28=0,"", 'Restaurant Base (Hidden)'!B28)</f>
        <v>Silverbrook Dining</v>
      </c>
      <c r="C101" s="163" t="str">
        <f>IF('Restaurant Base (Hidden)'!C28=0,"", 'Restaurant Base (Hidden)'!C28)</f>
        <v>Oak Point</v>
      </c>
      <c r="D101" s="104">
        <f t="shared" si="1"/>
        <v>95</v>
      </c>
      <c r="E101" s="105">
        <f>+IFERROR(INDEX('Restaurant Base (Hidden)'!$A$2:$Z$1048576,MATCH($C101,'Restaurant Base (Hidden)'!$C$2:$C$1048576,0),MATCH(E$6,'Restaurant Base (Hidden)'!$A$1:$Z$1,0)),"")</f>
        <v>3.33</v>
      </c>
      <c r="F101" s="64" t="str">
        <f>+IFERROR(INDEX('Restaurant Base (Hidden)'!$A$2:$Z$1048576,MATCH($C101,'Restaurant Base (Hidden)'!$C$2:$C$1048576,0),MATCH(F$6,'Restaurant Base (Hidden)'!$A$1:$Z$1,0)),"")</f>
        <v/>
      </c>
      <c r="G101" s="20" t="str">
        <f>+IFERROR(INDEX('Restaurant Base (Hidden)'!$A$2:$Z$1048576,MATCH($C101,'Restaurant Base (Hidden)'!$C$2:$C$1048576,0),MATCH(G$6,'Restaurant Base (Hidden)'!$A$1:$Z$1,0)),"")</f>
        <v>4,130</v>
      </c>
      <c r="H101" s="50">
        <f>+IFERROR(INDEX('Restaurant Base (Hidden)'!$A$2:$Z$1048576,MATCH($C101,'Restaurant Base (Hidden)'!$C$2:$C$1048576,0),MATCH(H$6,'Restaurant Base (Hidden)'!$A$1:$Z$1,0)),"")</f>
        <v>2</v>
      </c>
      <c r="I101" s="20" t="str">
        <f>+IFERROR(INDEX('Restaurant Base (Hidden)'!$A$2:$Z$1048576,MATCH($C101,'Restaurant Base (Hidden)'!$C$2:$C$1048576,0),MATCH(I$6,'Restaurant Base (Hidden)'!$A$1:$Z$1,0)),"")</f>
        <v>96,80 %</v>
      </c>
      <c r="J101" s="49">
        <f>+IFERROR(INDEX('Restaurant Base (Hidden)'!$A$2:$Z$1048576,MATCH($C101,'Restaurant Base (Hidden)'!$C$2:$C$1048576,0),MATCH(J$6,'Restaurant Base (Hidden)'!$A$1:$Z$1,0)),"")</f>
        <v>5</v>
      </c>
      <c r="K101" s="20" t="str">
        <f>+IFERROR(INDEX('Restaurant Base (Hidden)'!$A$2:$Z$1048576,MATCH($C101,'Restaurant Base (Hidden)'!$C$2:$C$1048576,0),MATCH(K$6,'Restaurant Base (Hidden)'!$A$1:$Z$1,0)),"")</f>
        <v>0,157</v>
      </c>
      <c r="L101" s="51">
        <f>+IFERROR(INDEX('Restaurant Base (Hidden)'!$A$2:$Z$1048576,MATCH($C101,'Restaurant Base (Hidden)'!$C$2:$C$1048576,0),MATCH(L$6,'Restaurant Base (Hidden)'!$A$1:$Z$1,0)),"")</f>
        <v>2</v>
      </c>
      <c r="M101" s="2" t="str">
        <f>+IFERROR(INDEX('Restaurant Base (Hidden)'!$A$2:$Z$1048576,MATCH($C101,'Restaurant Base (Hidden)'!$C$2:$C$1048576,0),MATCH(M$6,'Restaurant Base (Hidden)'!$A$1:$Z$1,0)),"")</f>
        <v/>
      </c>
      <c r="N101" s="234" t="str">
        <f>+IFERROR(INDEX('Restaurant Base (Hidden)'!$A$2:$Z$1048576,MATCH($C101,'Restaurant Base (Hidden)'!$C$2:$C$1048576,0),MATCH(N$6,'Restaurant Base (Hidden)'!$A$1:$Z$1,0)),"")</f>
        <v>65,10 %</v>
      </c>
      <c r="O101" s="1">
        <f>+IFERROR(INDEX('Restaurant Base (Hidden)'!$A$2:$Z$1048576,MATCH($C101,'Restaurant Base (Hidden)'!$C$2:$C$1048576,0),MATCH(O$6,'Restaurant Base (Hidden)'!$A$1:$Z$1,0)),"")</f>
        <v>3</v>
      </c>
      <c r="P101" s="2" t="str">
        <f>+IFERROR(INDEX('Restaurant Base (Hidden)'!$A$2:$Z$1048576,MATCH($C101,'Restaurant Base (Hidden)'!$C$2:$C$1048576,0),MATCH(P$6,'Restaurant Base (Hidden)'!$A$1:$Z$1,0)),"")</f>
        <v/>
      </c>
      <c r="Q101" s="234" t="str">
        <f>+IFERROR(INDEX('Restaurant Base (Hidden)'!$A$2:$Z$1048576,MATCH($C101,'Restaurant Base (Hidden)'!$C$2:$C$1048576,0),MATCH(Q$6,'Restaurant Base (Hidden)'!$A$1:$Z$1,0)),"")</f>
        <v>83,10 %</v>
      </c>
      <c r="R101" s="1">
        <f>+IFERROR(INDEX('Restaurant Base (Hidden)'!$A$2:$Z$1048576,MATCH($C101,'Restaurant Base (Hidden)'!$C$2:$C$1048576,0),MATCH(R$6,'Restaurant Base (Hidden)'!$A$1:$Z$1,0)),"")</f>
        <v>5</v>
      </c>
      <c r="S101" s="2" t="str">
        <f>+IFERROR(INDEX('Restaurant Base (Hidden)'!$A$2:$Z$1048576,MATCH($C101,'Restaurant Base (Hidden)'!$C$2:$C$1048576,0),MATCH(S$6,'Restaurant Base (Hidden)'!$A$1:$Z$1,0)),"")</f>
        <v/>
      </c>
      <c r="T101" s="62">
        <f>+IFERROR(INDEX('Restaurant Base (Hidden)'!$A$2:$Z$1048576,MATCH($C101,'Restaurant Base (Hidden)'!$C$2:$C$1048576,0),MATCH(T$6,'Restaurant Base (Hidden)'!$A$1:$Z$1,0)),"")</f>
        <v>67.900000000000006</v>
      </c>
      <c r="U101" s="1">
        <f>+IFERROR(INDEX('Restaurant Base (Hidden)'!$A$2:$Z$1048576,MATCH($C101,'Restaurant Base (Hidden)'!$C$2:$C$1048576,0),MATCH(U$6,'Restaurant Base (Hidden)'!$A$1:$Z$1,0)),"")</f>
        <v>4</v>
      </c>
      <c r="V101" s="2" t="str">
        <f>+IFERROR(INDEX('Restaurant Base (Hidden)'!$A$2:$Z$1048576,MATCH($C101,'Restaurant Base (Hidden)'!$C$2:$C$1048576,0),MATCH(V$6,'Restaurant Base (Hidden)'!$A$1:$Z$1,0)),"")</f>
        <v/>
      </c>
      <c r="W101" s="65" t="str">
        <f>+IFERROR(INDEX('Restaurant Base (Hidden)'!$A$2:$Z$1048576,MATCH($C101,'Restaurant Base (Hidden)'!$C$2:$C$1048576,0),MATCH(W$6,'Restaurant Base (Hidden)'!$A$1:$Z$1,0)),"")</f>
        <v>58,20 %</v>
      </c>
      <c r="X101" s="1">
        <f>+IFERROR(INDEX('Restaurant Base (Hidden)'!$A$2:$Z$1048576,MATCH($C101,'Restaurant Base (Hidden)'!$C$2:$C$1048576,0),MATCH(X$6,'Restaurant Base (Hidden)'!$A$1:$Z$1,0)),"")</f>
        <v>1</v>
      </c>
      <c r="Y101" s="65" t="str">
        <f>+IFERROR(INDEX('Restaurant Base (Hidden)'!$A$2:$Z$1048576,MATCH($C101,'Restaurant Base (Hidden)'!$C$2:$C$1048576,0),MATCH(Y$6,'Restaurant Base (Hidden)'!$A$1:$Z$1,0)),"")</f>
        <v>68,80 %</v>
      </c>
      <c r="Z101" s="106">
        <f>+IFERROR(INDEX('Restaurant Base (Hidden)'!$A$2:$Z$1048576,MATCH($C101,'Restaurant Base (Hidden)'!$C$2:$C$1048576,0),MATCH(Z$6,'Restaurant Base (Hidden)'!$A$1:$Z$1,0)),"")</f>
        <v>2</v>
      </c>
      <c r="AA101" s="65" t="str">
        <f>+IFERROR(INDEX('Restaurant Base (Hidden)'!$A$2:$Z$1048576,MATCH($C101,'Restaurant Base (Hidden)'!$C$2:$C$1048576,0),MATCH(AA$6,'Restaurant Base (Hidden)'!$A$1:$Z$1,0)),"")</f>
        <v>94,00 %</v>
      </c>
      <c r="AB101" s="1">
        <f>+IFERROR(INDEX('Restaurant Base (Hidden)'!$A$2:$Z$1048576,MATCH($C101,'Restaurant Base (Hidden)'!$C$2:$C$1048576,0),MATCH(AB$6,'Restaurant Base (Hidden)'!$A$1:$Z$1,0)),"")</f>
        <v>3</v>
      </c>
      <c r="AC101" s="20" t="str">
        <f>+IFERROR(INDEX('Restaurant Base (Hidden)'!$A$2:$Z$1048576,MATCH($C101,'Restaurant Base (Hidden)'!$C$2:$C$1048576,0),MATCH(AC$6,'Restaurant Base (Hidden)'!$A$1:$Z$1,0)),"")</f>
        <v/>
      </c>
      <c r="AD101" s="65" t="str">
        <f>+IFERROR(INDEX('Restaurant Base (Hidden)'!$A$2:$Z$1048576,MATCH($C101,'Restaurant Base (Hidden)'!$C$2:$C$1048576,0),MATCH(AD$6,'Restaurant Base (Hidden)'!$A$1:$Z$1,0)),"")</f>
        <v>89,60 %</v>
      </c>
      <c r="AE101" s="1">
        <f>+IFERROR(INDEX('Restaurant Base (Hidden)'!$A$2:$Z$1048576,MATCH($C101,'Restaurant Base (Hidden)'!$C$2:$C$1048576,0),MATCH(AE$6,'Restaurant Base (Hidden)'!$A$1:$Z$1,0)),"")</f>
        <v>4</v>
      </c>
      <c r="AF101" s="65" t="str">
        <f>+IFERROR(INDEX('Restaurant Base (Hidden)'!$A$2:$Z$1048576,MATCH($C101,'Restaurant Base (Hidden)'!$C$2:$C$1048576,0),MATCH(AF$6,'Restaurant Base (Hidden)'!$A$1:$Z$1,0)),"")</f>
        <v>80,70 %</v>
      </c>
      <c r="AG101" s="1">
        <f>+IFERROR(INDEX('Restaurant Base (Hidden)'!$A$2:$Z$1048576,MATCH($C101,'Restaurant Base (Hidden)'!$C$2:$C$1048576,0),MATCH(AG$6,'Restaurant Base (Hidden)'!$A$1:$Z$1,0)),"")</f>
        <v>2</v>
      </c>
    </row>
    <row r="102" spans="1:33" x14ac:dyDescent="0.4">
      <c r="A102" s="163" t="str">
        <f>IF('Restaurant Base (Hidden)'!A371=0,"", 'Restaurant Base (Hidden)'!A371)</f>
        <v>Arden Brookstone</v>
      </c>
      <c r="B102" s="163" t="str">
        <f>IF('Restaurant Base (Hidden)'!B371=0,"", 'Restaurant Base (Hidden)'!B371)</f>
        <v>Harborline Dining</v>
      </c>
      <c r="C102" s="163" t="str">
        <f>IF('Restaurant Base (Hidden)'!C371=0,"", 'Restaurant Base (Hidden)'!C371)</f>
        <v>Glen Harbor</v>
      </c>
      <c r="D102" s="104">
        <f t="shared" si="1"/>
        <v>96</v>
      </c>
      <c r="E102" s="105">
        <f>+IFERROR(INDEX('Restaurant Base (Hidden)'!$A$2:$Z$1048576,MATCH($C102,'Restaurant Base (Hidden)'!$C$2:$C$1048576,0),MATCH(E$6,'Restaurant Base (Hidden)'!$A$1:$Z$1,0)),"")</f>
        <v>3.32</v>
      </c>
      <c r="F102" s="2" t="str">
        <f>+IFERROR(INDEX('Restaurant Base (Hidden)'!$A$2:$Z$1048576,MATCH($C102,'Restaurant Base (Hidden)'!$C$2:$C$1048576,0),MATCH(F$6,'Restaurant Base (Hidden)'!$A$1:$Z$1,0)),"")</f>
        <v/>
      </c>
      <c r="G102" s="20" t="str">
        <f>+IFERROR(INDEX('Restaurant Base (Hidden)'!$A$2:$Z$1048576,MATCH($C102,'Restaurant Base (Hidden)'!$C$2:$C$1048576,0),MATCH(G$6,'Restaurant Base (Hidden)'!$A$1:$Z$1,0)),"")</f>
        <v>4,708</v>
      </c>
      <c r="H102" s="50">
        <f>+IFERROR(INDEX('Restaurant Base (Hidden)'!$A$2:$Z$1048576,MATCH($C102,'Restaurant Base (Hidden)'!$C$2:$C$1048576,0),MATCH(H$6,'Restaurant Base (Hidden)'!$A$1:$Z$1,0)),"")</f>
        <v>5</v>
      </c>
      <c r="I102" s="20" t="str">
        <f>+IFERROR(INDEX('Restaurant Base (Hidden)'!$A$2:$Z$1048576,MATCH($C102,'Restaurant Base (Hidden)'!$C$2:$C$1048576,0),MATCH(I$6,'Restaurant Base (Hidden)'!$A$1:$Z$1,0)),"")</f>
        <v>64,60 %</v>
      </c>
      <c r="J102" s="49">
        <f>+IFERROR(INDEX('Restaurant Base (Hidden)'!$A$2:$Z$1048576,MATCH($C102,'Restaurant Base (Hidden)'!$C$2:$C$1048576,0),MATCH(J$6,'Restaurant Base (Hidden)'!$A$1:$Z$1,0)),"")</f>
        <v>1</v>
      </c>
      <c r="K102" s="20" t="str">
        <f>+IFERROR(INDEX('Restaurant Base (Hidden)'!$A$2:$Z$1048576,MATCH($C102,'Restaurant Base (Hidden)'!$C$2:$C$1048576,0),MATCH(K$6,'Restaurant Base (Hidden)'!$A$1:$Z$1,0)),"")</f>
        <v>0,041</v>
      </c>
      <c r="L102" s="51">
        <f>+IFERROR(INDEX('Restaurant Base (Hidden)'!$A$2:$Z$1048576,MATCH($C102,'Restaurant Base (Hidden)'!$C$2:$C$1048576,0),MATCH(L$6,'Restaurant Base (Hidden)'!$A$1:$Z$1,0)),"")</f>
        <v>5</v>
      </c>
      <c r="M102" s="2" t="str">
        <f>+IFERROR(INDEX('Restaurant Base (Hidden)'!$A$2:$Z$1048576,MATCH($C102,'Restaurant Base (Hidden)'!$C$2:$C$1048576,0),MATCH(M$6,'Restaurant Base (Hidden)'!$A$1:$Z$1,0)),"")</f>
        <v/>
      </c>
      <c r="N102" s="234" t="str">
        <f>+IFERROR(INDEX('Restaurant Base (Hidden)'!$A$2:$Z$1048576,MATCH($C102,'Restaurant Base (Hidden)'!$C$2:$C$1048576,0),MATCH(N$6,'Restaurant Base (Hidden)'!$A$1:$Z$1,0)),"")</f>
        <v>76,60 %</v>
      </c>
      <c r="O102" s="1">
        <f>+IFERROR(INDEX('Restaurant Base (Hidden)'!$A$2:$Z$1048576,MATCH($C102,'Restaurant Base (Hidden)'!$C$2:$C$1048576,0),MATCH(O$6,'Restaurant Base (Hidden)'!$A$1:$Z$1,0)),"")</f>
        <v>5</v>
      </c>
      <c r="P102" s="2" t="str">
        <f>+IFERROR(INDEX('Restaurant Base (Hidden)'!$A$2:$Z$1048576,MATCH($C102,'Restaurant Base (Hidden)'!$C$2:$C$1048576,0),MATCH(P$6,'Restaurant Base (Hidden)'!$A$1:$Z$1,0)),"")</f>
        <v/>
      </c>
      <c r="Q102" s="234" t="str">
        <f>+IFERROR(INDEX('Restaurant Base (Hidden)'!$A$2:$Z$1048576,MATCH($C102,'Restaurant Base (Hidden)'!$C$2:$C$1048576,0),MATCH(Q$6,'Restaurant Base (Hidden)'!$A$1:$Z$1,0)),"")</f>
        <v>87,70 %</v>
      </c>
      <c r="R102" s="1">
        <f>+IFERROR(INDEX('Restaurant Base (Hidden)'!$A$2:$Z$1048576,MATCH($C102,'Restaurant Base (Hidden)'!$C$2:$C$1048576,0),MATCH(R$6,'Restaurant Base (Hidden)'!$A$1:$Z$1,0)),"")</f>
        <v>5</v>
      </c>
      <c r="S102" s="2" t="str">
        <f>+IFERROR(INDEX('Restaurant Base (Hidden)'!$A$2:$Z$1048576,MATCH($C102,'Restaurant Base (Hidden)'!$C$2:$C$1048576,0),MATCH(S$6,'Restaurant Base (Hidden)'!$A$1:$Z$1,0)),"")</f>
        <v/>
      </c>
      <c r="T102" s="62">
        <f>+IFERROR(INDEX('Restaurant Base (Hidden)'!$A$2:$Z$1048576,MATCH($C102,'Restaurant Base (Hidden)'!$C$2:$C$1048576,0),MATCH(T$6,'Restaurant Base (Hidden)'!$A$1:$Z$1,0)),"")</f>
        <v>64.099999999999994</v>
      </c>
      <c r="U102" s="1">
        <f>+IFERROR(INDEX('Restaurant Base (Hidden)'!$A$2:$Z$1048576,MATCH($C102,'Restaurant Base (Hidden)'!$C$2:$C$1048576,0),MATCH(U$6,'Restaurant Base (Hidden)'!$A$1:$Z$1,0)),"")</f>
        <v>4</v>
      </c>
      <c r="V102" s="2" t="str">
        <f>+IFERROR(INDEX('Restaurant Base (Hidden)'!$A$2:$Z$1048576,MATCH($C102,'Restaurant Base (Hidden)'!$C$2:$C$1048576,0),MATCH(V$6,'Restaurant Base (Hidden)'!$A$1:$Z$1,0)),"")</f>
        <v/>
      </c>
      <c r="W102" s="65" t="str">
        <f>+IFERROR(INDEX('Restaurant Base (Hidden)'!$A$2:$Z$1048576,MATCH($C102,'Restaurant Base (Hidden)'!$C$2:$C$1048576,0),MATCH(W$6,'Restaurant Base (Hidden)'!$A$1:$Z$1,0)),"")</f>
        <v>94,80 %</v>
      </c>
      <c r="X102" s="1">
        <f>+IFERROR(INDEX('Restaurant Base (Hidden)'!$A$2:$Z$1048576,MATCH($C102,'Restaurant Base (Hidden)'!$C$2:$C$1048576,0),MATCH(X$6,'Restaurant Base (Hidden)'!$A$1:$Z$1,0)),"")</f>
        <v>4</v>
      </c>
      <c r="Y102" s="65" t="str">
        <f>+IFERROR(INDEX('Restaurant Base (Hidden)'!$A$2:$Z$1048576,MATCH($C102,'Restaurant Base (Hidden)'!$C$2:$C$1048576,0),MATCH(Y$6,'Restaurant Base (Hidden)'!$A$1:$Z$1,0)),"")</f>
        <v>87,70 %</v>
      </c>
      <c r="Z102" s="106">
        <f>+IFERROR(INDEX('Restaurant Base (Hidden)'!$A$2:$Z$1048576,MATCH($C102,'Restaurant Base (Hidden)'!$C$2:$C$1048576,0),MATCH(Z$6,'Restaurant Base (Hidden)'!$A$1:$Z$1,0)),"")</f>
        <v>3</v>
      </c>
      <c r="AA102" s="65" t="str">
        <f>+IFERROR(INDEX('Restaurant Base (Hidden)'!$A$2:$Z$1048576,MATCH($C102,'Restaurant Base (Hidden)'!$C$2:$C$1048576,0),MATCH(AA$6,'Restaurant Base (Hidden)'!$A$1:$Z$1,0)),"")</f>
        <v>72,20 %</v>
      </c>
      <c r="AB102" s="1">
        <f>+IFERROR(INDEX('Restaurant Base (Hidden)'!$A$2:$Z$1048576,MATCH($C102,'Restaurant Base (Hidden)'!$C$2:$C$1048576,0),MATCH(AB$6,'Restaurant Base (Hidden)'!$A$1:$Z$1,0)),"")</f>
        <v>2</v>
      </c>
      <c r="AC102" s="20" t="str">
        <f>+IFERROR(INDEX('Restaurant Base (Hidden)'!$A$2:$Z$1048576,MATCH($C102,'Restaurant Base (Hidden)'!$C$2:$C$1048576,0),MATCH(AC$6,'Restaurant Base (Hidden)'!$A$1:$Z$1,0)),"")</f>
        <v/>
      </c>
      <c r="AD102" s="65" t="str">
        <f>+IFERROR(INDEX('Restaurant Base (Hidden)'!$A$2:$Z$1048576,MATCH($C102,'Restaurant Base (Hidden)'!$C$2:$C$1048576,0),MATCH(AD$6,'Restaurant Base (Hidden)'!$A$1:$Z$1,0)),"")</f>
        <v>62,20 %</v>
      </c>
      <c r="AE102" s="1">
        <f>+IFERROR(INDEX('Restaurant Base (Hidden)'!$A$2:$Z$1048576,MATCH($C102,'Restaurant Base (Hidden)'!$C$2:$C$1048576,0),MATCH(AE$6,'Restaurant Base (Hidden)'!$A$1:$Z$1,0)),"")</f>
        <v>1</v>
      </c>
      <c r="AF102" s="65" t="str">
        <f>+IFERROR(INDEX('Restaurant Base (Hidden)'!$A$2:$Z$1048576,MATCH($C102,'Restaurant Base (Hidden)'!$C$2:$C$1048576,0),MATCH(AF$6,'Restaurant Base (Hidden)'!$A$1:$Z$1,0)),"")</f>
        <v>64,30 %</v>
      </c>
      <c r="AG102" s="1">
        <f>+IFERROR(INDEX('Restaurant Base (Hidden)'!$A$2:$Z$1048576,MATCH($C102,'Restaurant Base (Hidden)'!$C$2:$C$1048576,0),MATCH(AG$6,'Restaurant Base (Hidden)'!$A$1:$Z$1,0)),"")</f>
        <v>1</v>
      </c>
    </row>
    <row r="103" spans="1:33" x14ac:dyDescent="0.4">
      <c r="A103" s="163" t="str">
        <f>IF('Restaurant Base (Hidden)'!A150=0,"", 'Restaurant Base (Hidden)'!A150)</f>
        <v>Cameron Creston</v>
      </c>
      <c r="B103" s="163" t="str">
        <f>IF('Restaurant Base (Hidden)'!B150=0,"", 'Restaurant Base (Hidden)'!B150)</f>
        <v>Northvale Restaurants</v>
      </c>
      <c r="C103" s="163" t="str">
        <f>IF('Restaurant Base (Hidden)'!C150=0,"", 'Restaurant Base (Hidden)'!C150)</f>
        <v>Rosewood Crescent</v>
      </c>
      <c r="D103" s="104">
        <f t="shared" si="1"/>
        <v>97</v>
      </c>
      <c r="E103" s="105">
        <f>+IFERROR(INDEX('Restaurant Base (Hidden)'!$A$2:$Z$1048576,MATCH($C103,'Restaurant Base (Hidden)'!$C$2:$C$1048576,0),MATCH(E$6,'Restaurant Base (Hidden)'!$A$1:$Z$1,0)),"")</f>
        <v>3.31</v>
      </c>
      <c r="F103" s="2" t="str">
        <f>+IFERROR(INDEX('Restaurant Base (Hidden)'!$A$2:$Z$1048576,MATCH($C103,'Restaurant Base (Hidden)'!$C$2:$C$1048576,0),MATCH(F$6,'Restaurant Base (Hidden)'!$A$1:$Z$1,0)),"")</f>
        <v/>
      </c>
      <c r="G103" s="20" t="str">
        <f>+IFERROR(INDEX('Restaurant Base (Hidden)'!$A$2:$Z$1048576,MATCH($C103,'Restaurant Base (Hidden)'!$C$2:$C$1048576,0),MATCH(G$6,'Restaurant Base (Hidden)'!$A$1:$Z$1,0)),"")</f>
        <v>4,051</v>
      </c>
      <c r="H103" s="50">
        <f>+IFERROR(INDEX('Restaurant Base (Hidden)'!$A$2:$Z$1048576,MATCH($C103,'Restaurant Base (Hidden)'!$C$2:$C$1048576,0),MATCH(H$6,'Restaurant Base (Hidden)'!$A$1:$Z$1,0)),"")</f>
        <v>2</v>
      </c>
      <c r="I103" s="20" t="str">
        <f>+IFERROR(INDEX('Restaurant Base (Hidden)'!$A$2:$Z$1048576,MATCH($C103,'Restaurant Base (Hidden)'!$C$2:$C$1048576,0),MATCH(I$6,'Restaurant Base (Hidden)'!$A$1:$Z$1,0)),"")</f>
        <v>94,40 %</v>
      </c>
      <c r="J103" s="49">
        <f>+IFERROR(INDEX('Restaurant Base (Hidden)'!$A$2:$Z$1048576,MATCH($C103,'Restaurant Base (Hidden)'!$C$2:$C$1048576,0),MATCH(J$6,'Restaurant Base (Hidden)'!$A$1:$Z$1,0)),"")</f>
        <v>5</v>
      </c>
      <c r="K103" s="20" t="str">
        <f>+IFERROR(INDEX('Restaurant Base (Hidden)'!$A$2:$Z$1048576,MATCH($C103,'Restaurant Base (Hidden)'!$C$2:$C$1048576,0),MATCH(K$6,'Restaurant Base (Hidden)'!$A$1:$Z$1,0)),"")</f>
        <v>0,126</v>
      </c>
      <c r="L103" s="51">
        <f>+IFERROR(INDEX('Restaurant Base (Hidden)'!$A$2:$Z$1048576,MATCH($C103,'Restaurant Base (Hidden)'!$C$2:$C$1048576,0),MATCH(L$6,'Restaurant Base (Hidden)'!$A$1:$Z$1,0)),"")</f>
        <v>3</v>
      </c>
      <c r="M103" s="2" t="str">
        <f>+IFERROR(INDEX('Restaurant Base (Hidden)'!$A$2:$Z$1048576,MATCH($C103,'Restaurant Base (Hidden)'!$C$2:$C$1048576,0),MATCH(M$6,'Restaurant Base (Hidden)'!$A$1:$Z$1,0)),"")</f>
        <v/>
      </c>
      <c r="N103" s="234" t="str">
        <f>+IFERROR(INDEX('Restaurant Base (Hidden)'!$A$2:$Z$1048576,MATCH($C103,'Restaurant Base (Hidden)'!$C$2:$C$1048576,0),MATCH(N$6,'Restaurant Base (Hidden)'!$A$1:$Z$1,0)),"")</f>
        <v>66,00 %</v>
      </c>
      <c r="O103" s="1">
        <f>+IFERROR(INDEX('Restaurant Base (Hidden)'!$A$2:$Z$1048576,MATCH($C103,'Restaurant Base (Hidden)'!$C$2:$C$1048576,0),MATCH(O$6,'Restaurant Base (Hidden)'!$A$1:$Z$1,0)),"")</f>
        <v>3</v>
      </c>
      <c r="P103" s="2" t="str">
        <f>+IFERROR(INDEX('Restaurant Base (Hidden)'!$A$2:$Z$1048576,MATCH($C103,'Restaurant Base (Hidden)'!$C$2:$C$1048576,0),MATCH(P$6,'Restaurant Base (Hidden)'!$A$1:$Z$1,0)),"")</f>
        <v/>
      </c>
      <c r="Q103" s="234" t="str">
        <f>+IFERROR(INDEX('Restaurant Base (Hidden)'!$A$2:$Z$1048576,MATCH($C103,'Restaurant Base (Hidden)'!$C$2:$C$1048576,0),MATCH(Q$6,'Restaurant Base (Hidden)'!$A$1:$Z$1,0)),"")</f>
        <v>82,80 %</v>
      </c>
      <c r="R103" s="1">
        <f>+IFERROR(INDEX('Restaurant Base (Hidden)'!$A$2:$Z$1048576,MATCH($C103,'Restaurant Base (Hidden)'!$C$2:$C$1048576,0),MATCH(R$6,'Restaurant Base (Hidden)'!$A$1:$Z$1,0)),"")</f>
        <v>5</v>
      </c>
      <c r="S103" s="2" t="str">
        <f>+IFERROR(INDEX('Restaurant Base (Hidden)'!$A$2:$Z$1048576,MATCH($C103,'Restaurant Base (Hidden)'!$C$2:$C$1048576,0),MATCH(S$6,'Restaurant Base (Hidden)'!$A$1:$Z$1,0)),"")</f>
        <v/>
      </c>
      <c r="T103" s="62">
        <f>+IFERROR(INDEX('Restaurant Base (Hidden)'!$A$2:$Z$1048576,MATCH($C103,'Restaurant Base (Hidden)'!$C$2:$C$1048576,0),MATCH(T$6,'Restaurant Base (Hidden)'!$A$1:$Z$1,0)),"")</f>
        <v>64</v>
      </c>
      <c r="U103" s="1">
        <f>+IFERROR(INDEX('Restaurant Base (Hidden)'!$A$2:$Z$1048576,MATCH($C103,'Restaurant Base (Hidden)'!$C$2:$C$1048576,0),MATCH(U$6,'Restaurant Base (Hidden)'!$A$1:$Z$1,0)),"")</f>
        <v>4</v>
      </c>
      <c r="V103" s="2" t="str">
        <f>+IFERROR(INDEX('Restaurant Base (Hidden)'!$A$2:$Z$1048576,MATCH($C103,'Restaurant Base (Hidden)'!$C$2:$C$1048576,0),MATCH(V$6,'Restaurant Base (Hidden)'!$A$1:$Z$1,0)),"")</f>
        <v/>
      </c>
      <c r="W103" s="65" t="str">
        <f>+IFERROR(INDEX('Restaurant Base (Hidden)'!$A$2:$Z$1048576,MATCH($C103,'Restaurant Base (Hidden)'!$C$2:$C$1048576,0),MATCH(W$6,'Restaurant Base (Hidden)'!$A$1:$Z$1,0)),"")</f>
        <v>92,00 %</v>
      </c>
      <c r="X103" s="1">
        <f>+IFERROR(INDEX('Restaurant Base (Hidden)'!$A$2:$Z$1048576,MATCH($C103,'Restaurant Base (Hidden)'!$C$2:$C$1048576,0),MATCH(X$6,'Restaurant Base (Hidden)'!$A$1:$Z$1,0)),"")</f>
        <v>4</v>
      </c>
      <c r="Y103" s="65" t="str">
        <f>+IFERROR(INDEX('Restaurant Base (Hidden)'!$A$2:$Z$1048576,MATCH($C103,'Restaurant Base (Hidden)'!$C$2:$C$1048576,0),MATCH(Y$6,'Restaurant Base (Hidden)'!$A$1:$Z$1,0)),"")</f>
        <v>82,90 %</v>
      </c>
      <c r="Z103" s="106">
        <f>+IFERROR(INDEX('Restaurant Base (Hidden)'!$A$2:$Z$1048576,MATCH($C103,'Restaurant Base (Hidden)'!$C$2:$C$1048576,0),MATCH(Z$6,'Restaurant Base (Hidden)'!$A$1:$Z$1,0)),"")</f>
        <v>3</v>
      </c>
      <c r="AA103" s="65" t="str">
        <f>+IFERROR(INDEX('Restaurant Base (Hidden)'!$A$2:$Z$1048576,MATCH($C103,'Restaurant Base (Hidden)'!$C$2:$C$1048576,0),MATCH(AA$6,'Restaurant Base (Hidden)'!$A$1:$Z$1,0)),"")</f>
        <v>90,20 %</v>
      </c>
      <c r="AB103" s="1">
        <f>+IFERROR(INDEX('Restaurant Base (Hidden)'!$A$2:$Z$1048576,MATCH($C103,'Restaurant Base (Hidden)'!$C$2:$C$1048576,0),MATCH(AB$6,'Restaurant Base (Hidden)'!$A$1:$Z$1,0)),"")</f>
        <v>3</v>
      </c>
      <c r="AC103" s="20" t="str">
        <f>+IFERROR(INDEX('Restaurant Base (Hidden)'!$A$2:$Z$1048576,MATCH($C103,'Restaurant Base (Hidden)'!$C$2:$C$1048576,0),MATCH(AC$6,'Restaurant Base (Hidden)'!$A$1:$Z$1,0)),"")</f>
        <v/>
      </c>
      <c r="AD103" s="65" t="str">
        <f>+IFERROR(INDEX('Restaurant Base (Hidden)'!$A$2:$Z$1048576,MATCH($C103,'Restaurant Base (Hidden)'!$C$2:$C$1048576,0),MATCH(AD$6,'Restaurant Base (Hidden)'!$A$1:$Z$1,0)),"")</f>
        <v>72,90 %</v>
      </c>
      <c r="AE103" s="1">
        <f>+IFERROR(INDEX('Restaurant Base (Hidden)'!$A$2:$Z$1048576,MATCH($C103,'Restaurant Base (Hidden)'!$C$2:$C$1048576,0),MATCH(AE$6,'Restaurant Base (Hidden)'!$A$1:$Z$1,0)),"")</f>
        <v>2</v>
      </c>
      <c r="AF103" s="65" t="str">
        <f>+IFERROR(INDEX('Restaurant Base (Hidden)'!$A$2:$Z$1048576,MATCH($C103,'Restaurant Base (Hidden)'!$C$2:$C$1048576,0),MATCH(AF$6,'Restaurant Base (Hidden)'!$A$1:$Z$1,0)),"")</f>
        <v>60,60 %</v>
      </c>
      <c r="AG103" s="1">
        <f>+IFERROR(INDEX('Restaurant Base (Hidden)'!$A$2:$Z$1048576,MATCH($C103,'Restaurant Base (Hidden)'!$C$2:$C$1048576,0),MATCH(AG$6,'Restaurant Base (Hidden)'!$A$1:$Z$1,0)),"")</f>
        <v>1</v>
      </c>
    </row>
    <row r="104" spans="1:33" x14ac:dyDescent="0.4">
      <c r="A104" s="163" t="str">
        <f>IF('Restaurant Base (Hidden)'!A241=0,"", 'Restaurant Base (Hidden)'!A241)</f>
        <v>Harper Langford</v>
      </c>
      <c r="B104" s="163" t="str">
        <f>IF('Restaurant Base (Hidden)'!B241=0,"", 'Restaurant Base (Hidden)'!B241)</f>
        <v>Sunridge Food Partners</v>
      </c>
      <c r="C104" s="163" t="str">
        <f>IF('Restaurant Base (Hidden)'!C241=0,"", 'Restaurant Base (Hidden)'!C241)</f>
        <v>Rosewood Heath</v>
      </c>
      <c r="D104" s="104">
        <f t="shared" si="1"/>
        <v>97</v>
      </c>
      <c r="E104" s="105">
        <f>+IFERROR(INDEX('Restaurant Base (Hidden)'!$A$2:$Z$1048576,MATCH($C104,'Restaurant Base (Hidden)'!$C$2:$C$1048576,0),MATCH(E$6,'Restaurant Base (Hidden)'!$A$1:$Z$1,0)),"")</f>
        <v>3.31</v>
      </c>
      <c r="F104" s="2" t="str">
        <f>+IFERROR(INDEX('Restaurant Base (Hidden)'!$A$2:$Z$1048576,MATCH($C104,'Restaurant Base (Hidden)'!$C$2:$C$1048576,0),MATCH(F$6,'Restaurant Base (Hidden)'!$A$1:$Z$1,0)),"")</f>
        <v/>
      </c>
      <c r="G104" s="20" t="str">
        <f>+IFERROR(INDEX('Restaurant Base (Hidden)'!$A$2:$Z$1048576,MATCH($C104,'Restaurant Base (Hidden)'!$C$2:$C$1048576,0),MATCH(G$6,'Restaurant Base (Hidden)'!$A$1:$Z$1,0)),"")</f>
        <v>4,539</v>
      </c>
      <c r="H104" s="50">
        <f>+IFERROR(INDEX('Restaurant Base (Hidden)'!$A$2:$Z$1048576,MATCH($C104,'Restaurant Base (Hidden)'!$C$2:$C$1048576,0),MATCH(H$6,'Restaurant Base (Hidden)'!$A$1:$Z$1,0)),"")</f>
        <v>5</v>
      </c>
      <c r="I104" s="20" t="str">
        <f>+IFERROR(INDEX('Restaurant Base (Hidden)'!$A$2:$Z$1048576,MATCH($C104,'Restaurant Base (Hidden)'!$C$2:$C$1048576,0),MATCH(I$6,'Restaurant Base (Hidden)'!$A$1:$Z$1,0)),"")</f>
        <v>89,30 %</v>
      </c>
      <c r="J104" s="49">
        <f>+IFERROR(INDEX('Restaurant Base (Hidden)'!$A$2:$Z$1048576,MATCH($C104,'Restaurant Base (Hidden)'!$C$2:$C$1048576,0),MATCH(J$6,'Restaurant Base (Hidden)'!$A$1:$Z$1,0)),"")</f>
        <v>4</v>
      </c>
      <c r="K104" s="20" t="str">
        <f>+IFERROR(INDEX('Restaurant Base (Hidden)'!$A$2:$Z$1048576,MATCH($C104,'Restaurant Base (Hidden)'!$C$2:$C$1048576,0),MATCH(K$6,'Restaurant Base (Hidden)'!$A$1:$Z$1,0)),"")</f>
        <v>0,050</v>
      </c>
      <c r="L104" s="51">
        <f>+IFERROR(INDEX('Restaurant Base (Hidden)'!$A$2:$Z$1048576,MATCH($C104,'Restaurant Base (Hidden)'!$C$2:$C$1048576,0),MATCH(L$6,'Restaurant Base (Hidden)'!$A$1:$Z$1,0)),"")</f>
        <v>5</v>
      </c>
      <c r="M104" s="2" t="str">
        <f>+IFERROR(INDEX('Restaurant Base (Hidden)'!$A$2:$Z$1048576,MATCH($C104,'Restaurant Base (Hidden)'!$C$2:$C$1048576,0),MATCH(M$6,'Restaurant Base (Hidden)'!$A$1:$Z$1,0)),"")</f>
        <v/>
      </c>
      <c r="N104" s="234" t="str">
        <f>+IFERROR(INDEX('Restaurant Base (Hidden)'!$A$2:$Z$1048576,MATCH($C104,'Restaurant Base (Hidden)'!$C$2:$C$1048576,0),MATCH(N$6,'Restaurant Base (Hidden)'!$A$1:$Z$1,0)),"")</f>
        <v>77,20 %</v>
      </c>
      <c r="O104" s="1">
        <f>+IFERROR(INDEX('Restaurant Base (Hidden)'!$A$2:$Z$1048576,MATCH($C104,'Restaurant Base (Hidden)'!$C$2:$C$1048576,0),MATCH(O$6,'Restaurant Base (Hidden)'!$A$1:$Z$1,0)),"")</f>
        <v>5</v>
      </c>
      <c r="P104" s="2" t="str">
        <f>+IFERROR(INDEX('Restaurant Base (Hidden)'!$A$2:$Z$1048576,MATCH($C104,'Restaurant Base (Hidden)'!$C$2:$C$1048576,0),MATCH(P$6,'Restaurant Base (Hidden)'!$A$1:$Z$1,0)),"")</f>
        <v/>
      </c>
      <c r="Q104" s="234" t="str">
        <f>+IFERROR(INDEX('Restaurant Base (Hidden)'!$A$2:$Z$1048576,MATCH($C104,'Restaurant Base (Hidden)'!$C$2:$C$1048576,0),MATCH(Q$6,'Restaurant Base (Hidden)'!$A$1:$Z$1,0)),"")</f>
        <v>56,50 %</v>
      </c>
      <c r="R104" s="1">
        <f>+IFERROR(INDEX('Restaurant Base (Hidden)'!$A$2:$Z$1048576,MATCH($C104,'Restaurant Base (Hidden)'!$C$2:$C$1048576,0),MATCH(R$6,'Restaurant Base (Hidden)'!$A$1:$Z$1,0)),"")</f>
        <v>1</v>
      </c>
      <c r="S104" s="2" t="str">
        <f>+IFERROR(INDEX('Restaurant Base (Hidden)'!$A$2:$Z$1048576,MATCH($C104,'Restaurant Base (Hidden)'!$C$2:$C$1048576,0),MATCH(S$6,'Restaurant Base (Hidden)'!$A$1:$Z$1,0)),"")</f>
        <v/>
      </c>
      <c r="T104" s="62">
        <f>+IFERROR(INDEX('Restaurant Base (Hidden)'!$A$2:$Z$1048576,MATCH($C104,'Restaurant Base (Hidden)'!$C$2:$C$1048576,0),MATCH(T$6,'Restaurant Base (Hidden)'!$A$1:$Z$1,0)),"")</f>
        <v>66.900000000000006</v>
      </c>
      <c r="U104" s="1">
        <f>+IFERROR(INDEX('Restaurant Base (Hidden)'!$A$2:$Z$1048576,MATCH($C104,'Restaurant Base (Hidden)'!$C$2:$C$1048576,0),MATCH(U$6,'Restaurant Base (Hidden)'!$A$1:$Z$1,0)),"")</f>
        <v>4</v>
      </c>
      <c r="V104" s="2" t="str">
        <f>+IFERROR(INDEX('Restaurant Base (Hidden)'!$A$2:$Z$1048576,MATCH($C104,'Restaurant Base (Hidden)'!$C$2:$C$1048576,0),MATCH(V$6,'Restaurant Base (Hidden)'!$A$1:$Z$1,0)),"")</f>
        <v/>
      </c>
      <c r="W104" s="65" t="str">
        <f>+IFERROR(INDEX('Restaurant Base (Hidden)'!$A$2:$Z$1048576,MATCH($C104,'Restaurant Base (Hidden)'!$C$2:$C$1048576,0),MATCH(W$6,'Restaurant Base (Hidden)'!$A$1:$Z$1,0)),"")</f>
        <v>75,20 %</v>
      </c>
      <c r="X104" s="1">
        <f>+IFERROR(INDEX('Restaurant Base (Hidden)'!$A$2:$Z$1048576,MATCH($C104,'Restaurant Base (Hidden)'!$C$2:$C$1048576,0),MATCH(X$6,'Restaurant Base (Hidden)'!$A$1:$Z$1,0)),"")</f>
        <v>2</v>
      </c>
      <c r="Y104" s="65" t="str">
        <f>+IFERROR(INDEX('Restaurant Base (Hidden)'!$A$2:$Z$1048576,MATCH($C104,'Restaurant Base (Hidden)'!$C$2:$C$1048576,0),MATCH(Y$6,'Restaurant Base (Hidden)'!$A$1:$Z$1,0)),"")</f>
        <v>75,40 %</v>
      </c>
      <c r="Z104" s="106">
        <f>+IFERROR(INDEX('Restaurant Base (Hidden)'!$A$2:$Z$1048576,MATCH($C104,'Restaurant Base (Hidden)'!$C$2:$C$1048576,0),MATCH(Z$6,'Restaurant Base (Hidden)'!$A$1:$Z$1,0)),"")</f>
        <v>2</v>
      </c>
      <c r="AA104" s="65" t="str">
        <f>+IFERROR(INDEX('Restaurant Base (Hidden)'!$A$2:$Z$1048576,MATCH($C104,'Restaurant Base (Hidden)'!$C$2:$C$1048576,0),MATCH(AA$6,'Restaurant Base (Hidden)'!$A$1:$Z$1,0)),"")</f>
        <v>94,00 %</v>
      </c>
      <c r="AB104" s="1">
        <f>+IFERROR(INDEX('Restaurant Base (Hidden)'!$A$2:$Z$1048576,MATCH($C104,'Restaurant Base (Hidden)'!$C$2:$C$1048576,0),MATCH(AB$6,'Restaurant Base (Hidden)'!$A$1:$Z$1,0)),"")</f>
        <v>3</v>
      </c>
      <c r="AC104" s="20" t="str">
        <f>+IFERROR(INDEX('Restaurant Base (Hidden)'!$A$2:$Z$1048576,MATCH($C104,'Restaurant Base (Hidden)'!$C$2:$C$1048576,0),MATCH(AC$6,'Restaurant Base (Hidden)'!$A$1:$Z$1,0)),"")</f>
        <v/>
      </c>
      <c r="AD104" s="65" t="str">
        <f>+IFERROR(INDEX('Restaurant Base (Hidden)'!$A$2:$Z$1048576,MATCH($C104,'Restaurant Base (Hidden)'!$C$2:$C$1048576,0),MATCH(AD$6,'Restaurant Base (Hidden)'!$A$1:$Z$1,0)),"")</f>
        <v>87,30 %</v>
      </c>
      <c r="AE104" s="1">
        <f>+IFERROR(INDEX('Restaurant Base (Hidden)'!$A$2:$Z$1048576,MATCH($C104,'Restaurant Base (Hidden)'!$C$2:$C$1048576,0),MATCH(AE$6,'Restaurant Base (Hidden)'!$A$1:$Z$1,0)),"")</f>
        <v>3</v>
      </c>
      <c r="AF104" s="65" t="str">
        <f>+IFERROR(INDEX('Restaurant Base (Hidden)'!$A$2:$Z$1048576,MATCH($C104,'Restaurant Base (Hidden)'!$C$2:$C$1048576,0),MATCH(AF$6,'Restaurant Base (Hidden)'!$A$1:$Z$1,0)),"")</f>
        <v>82,20 %</v>
      </c>
      <c r="AG104" s="1">
        <f>+IFERROR(INDEX('Restaurant Base (Hidden)'!$A$2:$Z$1048576,MATCH($C104,'Restaurant Base (Hidden)'!$C$2:$C$1048576,0),MATCH(AG$6,'Restaurant Base (Hidden)'!$A$1:$Z$1,0)),"")</f>
        <v>2</v>
      </c>
    </row>
    <row r="105" spans="1:33" x14ac:dyDescent="0.4">
      <c r="A105" s="163" t="str">
        <f>IF('Restaurant Base (Hidden)'!A257=0,"", 'Restaurant Base (Hidden)'!A257)</f>
        <v>Bailey Silverton</v>
      </c>
      <c r="B105" s="163" t="str">
        <f>IF('Restaurant Base (Hidden)'!B257=0,"", 'Restaurant Base (Hidden)'!B257)</f>
        <v>Greenhaven Restaurants</v>
      </c>
      <c r="C105" s="163" t="str">
        <f>IF('Restaurant Base (Hidden)'!C257=0,"", 'Restaurant Base (Hidden)'!C257)</f>
        <v>Golden Harbor</v>
      </c>
      <c r="D105" s="104">
        <f t="shared" si="1"/>
        <v>97</v>
      </c>
      <c r="E105" s="105">
        <f>+IFERROR(INDEX('Restaurant Base (Hidden)'!$A$2:$Z$1048576,MATCH($C105,'Restaurant Base (Hidden)'!$C$2:$C$1048576,0),MATCH(E$6,'Restaurant Base (Hidden)'!$A$1:$Z$1,0)),"")</f>
        <v>3.31</v>
      </c>
      <c r="F105" s="2" t="str">
        <f>+IFERROR(INDEX('Restaurant Base (Hidden)'!$A$2:$Z$1048576,MATCH($C105,'Restaurant Base (Hidden)'!$C$2:$C$1048576,0),MATCH(F$6,'Restaurant Base (Hidden)'!$A$1:$Z$1,0)),"")</f>
        <v/>
      </c>
      <c r="G105" s="20" t="str">
        <f>+IFERROR(INDEX('Restaurant Base (Hidden)'!$A$2:$Z$1048576,MATCH($C105,'Restaurant Base (Hidden)'!$C$2:$C$1048576,0),MATCH(G$6,'Restaurant Base (Hidden)'!$A$1:$Z$1,0)),"")</f>
        <v>4,106</v>
      </c>
      <c r="H105" s="50">
        <f>+IFERROR(INDEX('Restaurant Base (Hidden)'!$A$2:$Z$1048576,MATCH($C105,'Restaurant Base (Hidden)'!$C$2:$C$1048576,0),MATCH(H$6,'Restaurant Base (Hidden)'!$A$1:$Z$1,0)),"")</f>
        <v>2</v>
      </c>
      <c r="I105" s="20" t="str">
        <f>+IFERROR(INDEX('Restaurant Base (Hidden)'!$A$2:$Z$1048576,MATCH($C105,'Restaurant Base (Hidden)'!$C$2:$C$1048576,0),MATCH(I$6,'Restaurant Base (Hidden)'!$A$1:$Z$1,0)),"")</f>
        <v>66,20 %</v>
      </c>
      <c r="J105" s="49">
        <f>+IFERROR(INDEX('Restaurant Base (Hidden)'!$A$2:$Z$1048576,MATCH($C105,'Restaurant Base (Hidden)'!$C$2:$C$1048576,0),MATCH(J$6,'Restaurant Base (Hidden)'!$A$1:$Z$1,0)),"")</f>
        <v>1</v>
      </c>
      <c r="K105" s="20" t="str">
        <f>+IFERROR(INDEX('Restaurant Base (Hidden)'!$A$2:$Z$1048576,MATCH($C105,'Restaurant Base (Hidden)'!$C$2:$C$1048576,0),MATCH(K$6,'Restaurant Base (Hidden)'!$A$1:$Z$1,0)),"")</f>
        <v>0,084</v>
      </c>
      <c r="L105" s="51">
        <f>+IFERROR(INDEX('Restaurant Base (Hidden)'!$A$2:$Z$1048576,MATCH($C105,'Restaurant Base (Hidden)'!$C$2:$C$1048576,0),MATCH(L$6,'Restaurant Base (Hidden)'!$A$1:$Z$1,0)),"")</f>
        <v>4</v>
      </c>
      <c r="M105" s="2" t="str">
        <f>+IFERROR(INDEX('Restaurant Base (Hidden)'!$A$2:$Z$1048576,MATCH($C105,'Restaurant Base (Hidden)'!$C$2:$C$1048576,0),MATCH(M$6,'Restaurant Base (Hidden)'!$A$1:$Z$1,0)),"")</f>
        <v/>
      </c>
      <c r="N105" s="234" t="str">
        <f>+IFERROR(INDEX('Restaurant Base (Hidden)'!$A$2:$Z$1048576,MATCH($C105,'Restaurant Base (Hidden)'!$C$2:$C$1048576,0),MATCH(N$6,'Restaurant Base (Hidden)'!$A$1:$Z$1,0)),"")</f>
        <v>69,10 %</v>
      </c>
      <c r="O105" s="1">
        <f>+IFERROR(INDEX('Restaurant Base (Hidden)'!$A$2:$Z$1048576,MATCH($C105,'Restaurant Base (Hidden)'!$C$2:$C$1048576,0),MATCH(O$6,'Restaurant Base (Hidden)'!$A$1:$Z$1,0)),"")</f>
        <v>4</v>
      </c>
      <c r="P105" s="2" t="str">
        <f>+IFERROR(INDEX('Restaurant Base (Hidden)'!$A$2:$Z$1048576,MATCH($C105,'Restaurant Base (Hidden)'!$C$2:$C$1048576,0),MATCH(P$6,'Restaurant Base (Hidden)'!$A$1:$Z$1,0)),"")</f>
        <v/>
      </c>
      <c r="Q105" s="234" t="str">
        <f>+IFERROR(INDEX('Restaurant Base (Hidden)'!$A$2:$Z$1048576,MATCH($C105,'Restaurant Base (Hidden)'!$C$2:$C$1048576,0),MATCH(Q$6,'Restaurant Base (Hidden)'!$A$1:$Z$1,0)),"")</f>
        <v>91,80 %</v>
      </c>
      <c r="R105" s="1">
        <f>+IFERROR(INDEX('Restaurant Base (Hidden)'!$A$2:$Z$1048576,MATCH($C105,'Restaurant Base (Hidden)'!$C$2:$C$1048576,0),MATCH(R$6,'Restaurant Base (Hidden)'!$A$1:$Z$1,0)),"")</f>
        <v>5</v>
      </c>
      <c r="S105" s="2" t="str">
        <f>+IFERROR(INDEX('Restaurant Base (Hidden)'!$A$2:$Z$1048576,MATCH($C105,'Restaurant Base (Hidden)'!$C$2:$C$1048576,0),MATCH(S$6,'Restaurant Base (Hidden)'!$A$1:$Z$1,0)),"")</f>
        <v/>
      </c>
      <c r="T105" s="62">
        <f>+IFERROR(INDEX('Restaurant Base (Hidden)'!$A$2:$Z$1048576,MATCH($C105,'Restaurant Base (Hidden)'!$C$2:$C$1048576,0),MATCH(T$6,'Restaurant Base (Hidden)'!$A$1:$Z$1,0)),"")</f>
        <v>75.3</v>
      </c>
      <c r="U105" s="1">
        <f>+IFERROR(INDEX('Restaurant Base (Hidden)'!$A$2:$Z$1048576,MATCH($C105,'Restaurant Base (Hidden)'!$C$2:$C$1048576,0),MATCH(U$6,'Restaurant Base (Hidden)'!$A$1:$Z$1,0)),"")</f>
        <v>5</v>
      </c>
      <c r="V105" s="2" t="str">
        <f>+IFERROR(INDEX('Restaurant Base (Hidden)'!$A$2:$Z$1048576,MATCH($C105,'Restaurant Base (Hidden)'!$C$2:$C$1048576,0),MATCH(V$6,'Restaurant Base (Hidden)'!$A$1:$Z$1,0)),"")</f>
        <v/>
      </c>
      <c r="W105" s="65" t="str">
        <f>+IFERROR(INDEX('Restaurant Base (Hidden)'!$A$2:$Z$1048576,MATCH($C105,'Restaurant Base (Hidden)'!$C$2:$C$1048576,0),MATCH(W$6,'Restaurant Base (Hidden)'!$A$1:$Z$1,0)),"")</f>
        <v>92,10 %</v>
      </c>
      <c r="X105" s="1">
        <f>+IFERROR(INDEX('Restaurant Base (Hidden)'!$A$2:$Z$1048576,MATCH($C105,'Restaurant Base (Hidden)'!$C$2:$C$1048576,0),MATCH(X$6,'Restaurant Base (Hidden)'!$A$1:$Z$1,0)),"")</f>
        <v>4</v>
      </c>
      <c r="Y105" s="65" t="str">
        <f>+IFERROR(INDEX('Restaurant Base (Hidden)'!$A$2:$Z$1048576,MATCH($C105,'Restaurant Base (Hidden)'!$C$2:$C$1048576,0),MATCH(Y$6,'Restaurant Base (Hidden)'!$A$1:$Z$1,0)),"")</f>
        <v>92,70 %</v>
      </c>
      <c r="Z105" s="106">
        <f>+IFERROR(INDEX('Restaurant Base (Hidden)'!$A$2:$Z$1048576,MATCH($C105,'Restaurant Base (Hidden)'!$C$2:$C$1048576,0),MATCH(Z$6,'Restaurant Base (Hidden)'!$A$1:$Z$1,0)),"")</f>
        <v>3</v>
      </c>
      <c r="AA105" s="65" t="str">
        <f>+IFERROR(INDEX('Restaurant Base (Hidden)'!$A$2:$Z$1048576,MATCH($C105,'Restaurant Base (Hidden)'!$C$2:$C$1048576,0),MATCH(AA$6,'Restaurant Base (Hidden)'!$A$1:$Z$1,0)),"")</f>
        <v>56,60 %</v>
      </c>
      <c r="AB105" s="1">
        <f>+IFERROR(INDEX('Restaurant Base (Hidden)'!$A$2:$Z$1048576,MATCH($C105,'Restaurant Base (Hidden)'!$C$2:$C$1048576,0),MATCH(AB$6,'Restaurant Base (Hidden)'!$A$1:$Z$1,0)),"")</f>
        <v>1</v>
      </c>
      <c r="AC105" s="20" t="str">
        <f>+IFERROR(INDEX('Restaurant Base (Hidden)'!$A$2:$Z$1048576,MATCH($C105,'Restaurant Base (Hidden)'!$C$2:$C$1048576,0),MATCH(AC$6,'Restaurant Base (Hidden)'!$A$1:$Z$1,0)),"")</f>
        <v/>
      </c>
      <c r="AD105" s="65" t="str">
        <f>+IFERROR(INDEX('Restaurant Base (Hidden)'!$A$2:$Z$1048576,MATCH($C105,'Restaurant Base (Hidden)'!$C$2:$C$1048576,0),MATCH(AD$6,'Restaurant Base (Hidden)'!$A$1:$Z$1,0)),"")</f>
        <v>83,90 %</v>
      </c>
      <c r="AE105" s="1">
        <f>+IFERROR(INDEX('Restaurant Base (Hidden)'!$A$2:$Z$1048576,MATCH($C105,'Restaurant Base (Hidden)'!$C$2:$C$1048576,0),MATCH(AE$6,'Restaurant Base (Hidden)'!$A$1:$Z$1,0)),"")</f>
        <v>3</v>
      </c>
      <c r="AF105" s="65" t="str">
        <f>+IFERROR(INDEX('Restaurant Base (Hidden)'!$A$2:$Z$1048576,MATCH($C105,'Restaurant Base (Hidden)'!$C$2:$C$1048576,0),MATCH(AF$6,'Restaurant Base (Hidden)'!$A$1:$Z$1,0)),"")</f>
        <v>87,80 %</v>
      </c>
      <c r="AG105" s="1">
        <f>+IFERROR(INDEX('Restaurant Base (Hidden)'!$A$2:$Z$1048576,MATCH($C105,'Restaurant Base (Hidden)'!$C$2:$C$1048576,0),MATCH(AG$6,'Restaurant Base (Hidden)'!$A$1:$Z$1,0)),"")</f>
        <v>3</v>
      </c>
    </row>
    <row r="106" spans="1:33" x14ac:dyDescent="0.4">
      <c r="A106" s="163" t="str">
        <f>IF('Restaurant Base (Hidden)'!A356=0,"", 'Restaurant Base (Hidden)'!A356)</f>
        <v>Finley Kensington</v>
      </c>
      <c r="B106" s="163" t="str">
        <f>IF('Restaurant Base (Hidden)'!B356=0,"", 'Restaurant Base (Hidden)'!B356)</f>
        <v>Crestwood Dining</v>
      </c>
      <c r="C106" s="163" t="str">
        <f>IF('Restaurant Base (Hidden)'!C356=0,"", 'Restaurant Base (Hidden)'!C356)</f>
        <v>Copper Creek</v>
      </c>
      <c r="D106" s="104">
        <f t="shared" si="1"/>
        <v>97</v>
      </c>
      <c r="E106" s="105">
        <f>+IFERROR(INDEX('Restaurant Base (Hidden)'!$A$2:$Z$1048576,MATCH($C106,'Restaurant Base (Hidden)'!$C$2:$C$1048576,0),MATCH(E$6,'Restaurant Base (Hidden)'!$A$1:$Z$1,0)),"")</f>
        <v>3.31</v>
      </c>
      <c r="F106" s="2" t="str">
        <f>+IFERROR(INDEX('Restaurant Base (Hidden)'!$A$2:$Z$1048576,MATCH($C106,'Restaurant Base (Hidden)'!$C$2:$C$1048576,0),MATCH(F$6,'Restaurant Base (Hidden)'!$A$1:$Z$1,0)),"")</f>
        <v/>
      </c>
      <c r="G106" s="20" t="str">
        <f>+IFERROR(INDEX('Restaurant Base (Hidden)'!$A$2:$Z$1048576,MATCH($C106,'Restaurant Base (Hidden)'!$C$2:$C$1048576,0),MATCH(G$6,'Restaurant Base (Hidden)'!$A$1:$Z$1,0)),"")</f>
        <v>4,723</v>
      </c>
      <c r="H106" s="50">
        <f>+IFERROR(INDEX('Restaurant Base (Hidden)'!$A$2:$Z$1048576,MATCH($C106,'Restaurant Base (Hidden)'!$C$2:$C$1048576,0),MATCH(H$6,'Restaurant Base (Hidden)'!$A$1:$Z$1,0)),"")</f>
        <v>5</v>
      </c>
      <c r="I106" s="20" t="str">
        <f>+IFERROR(INDEX('Restaurant Base (Hidden)'!$A$2:$Z$1048576,MATCH($C106,'Restaurant Base (Hidden)'!$C$2:$C$1048576,0),MATCH(I$6,'Restaurant Base (Hidden)'!$A$1:$Z$1,0)),"")</f>
        <v>68,20 %</v>
      </c>
      <c r="J106" s="49">
        <f>+IFERROR(INDEX('Restaurant Base (Hidden)'!$A$2:$Z$1048576,MATCH($C106,'Restaurant Base (Hidden)'!$C$2:$C$1048576,0),MATCH(J$6,'Restaurant Base (Hidden)'!$A$1:$Z$1,0)),"")</f>
        <v>1</v>
      </c>
      <c r="K106" s="20" t="str">
        <f>+IFERROR(INDEX('Restaurant Base (Hidden)'!$A$2:$Z$1048576,MATCH($C106,'Restaurant Base (Hidden)'!$C$2:$C$1048576,0),MATCH(K$6,'Restaurant Base (Hidden)'!$A$1:$Z$1,0)),"")</f>
        <v>0,132</v>
      </c>
      <c r="L106" s="51">
        <f>+IFERROR(INDEX('Restaurant Base (Hidden)'!$A$2:$Z$1048576,MATCH($C106,'Restaurant Base (Hidden)'!$C$2:$C$1048576,0),MATCH(L$6,'Restaurant Base (Hidden)'!$A$1:$Z$1,0)),"")</f>
        <v>2</v>
      </c>
      <c r="M106" s="2" t="str">
        <f>+IFERROR(INDEX('Restaurant Base (Hidden)'!$A$2:$Z$1048576,MATCH($C106,'Restaurant Base (Hidden)'!$C$2:$C$1048576,0),MATCH(M$6,'Restaurant Base (Hidden)'!$A$1:$Z$1,0)),"")</f>
        <v/>
      </c>
      <c r="N106" s="234" t="str">
        <f>+IFERROR(INDEX('Restaurant Base (Hidden)'!$A$2:$Z$1048576,MATCH($C106,'Restaurant Base (Hidden)'!$C$2:$C$1048576,0),MATCH(N$6,'Restaurant Base (Hidden)'!$A$1:$Z$1,0)),"")</f>
        <v>75,70 %</v>
      </c>
      <c r="O106" s="1">
        <f>+IFERROR(INDEX('Restaurant Base (Hidden)'!$A$2:$Z$1048576,MATCH($C106,'Restaurant Base (Hidden)'!$C$2:$C$1048576,0),MATCH(O$6,'Restaurant Base (Hidden)'!$A$1:$Z$1,0)),"")</f>
        <v>5</v>
      </c>
      <c r="P106" s="2" t="str">
        <f>+IFERROR(INDEX('Restaurant Base (Hidden)'!$A$2:$Z$1048576,MATCH($C106,'Restaurant Base (Hidden)'!$C$2:$C$1048576,0),MATCH(P$6,'Restaurant Base (Hidden)'!$A$1:$Z$1,0)),"")</f>
        <v/>
      </c>
      <c r="Q106" s="234" t="str">
        <f>+IFERROR(INDEX('Restaurant Base (Hidden)'!$A$2:$Z$1048576,MATCH($C106,'Restaurant Base (Hidden)'!$C$2:$C$1048576,0),MATCH(Q$6,'Restaurant Base (Hidden)'!$A$1:$Z$1,0)),"")</f>
        <v>98,60 %</v>
      </c>
      <c r="R106" s="1">
        <f>+IFERROR(INDEX('Restaurant Base (Hidden)'!$A$2:$Z$1048576,MATCH($C106,'Restaurant Base (Hidden)'!$C$2:$C$1048576,0),MATCH(R$6,'Restaurant Base (Hidden)'!$A$1:$Z$1,0)),"")</f>
        <v>5</v>
      </c>
      <c r="S106" s="2" t="str">
        <f>+IFERROR(INDEX('Restaurant Base (Hidden)'!$A$2:$Z$1048576,MATCH($C106,'Restaurant Base (Hidden)'!$C$2:$C$1048576,0),MATCH(S$6,'Restaurant Base (Hidden)'!$A$1:$Z$1,0)),"")</f>
        <v/>
      </c>
      <c r="T106" s="62">
        <f>+IFERROR(INDEX('Restaurant Base (Hidden)'!$A$2:$Z$1048576,MATCH($C106,'Restaurant Base (Hidden)'!$C$2:$C$1048576,0),MATCH(T$6,'Restaurant Base (Hidden)'!$A$1:$Z$1,0)),"")</f>
        <v>57.1</v>
      </c>
      <c r="U106" s="1">
        <f>+IFERROR(INDEX('Restaurant Base (Hidden)'!$A$2:$Z$1048576,MATCH($C106,'Restaurant Base (Hidden)'!$C$2:$C$1048576,0),MATCH(U$6,'Restaurant Base (Hidden)'!$A$1:$Z$1,0)),"")</f>
        <v>2</v>
      </c>
      <c r="V106" s="2" t="str">
        <f>+IFERROR(INDEX('Restaurant Base (Hidden)'!$A$2:$Z$1048576,MATCH($C106,'Restaurant Base (Hidden)'!$C$2:$C$1048576,0),MATCH(V$6,'Restaurant Base (Hidden)'!$A$1:$Z$1,0)),"")</f>
        <v/>
      </c>
      <c r="W106" s="65" t="str">
        <f>+IFERROR(INDEX('Restaurant Base (Hidden)'!$A$2:$Z$1048576,MATCH($C106,'Restaurant Base (Hidden)'!$C$2:$C$1048576,0),MATCH(W$6,'Restaurant Base (Hidden)'!$A$1:$Z$1,0)),"")</f>
        <v>69,60 %</v>
      </c>
      <c r="X106" s="1">
        <f>+IFERROR(INDEX('Restaurant Base (Hidden)'!$A$2:$Z$1048576,MATCH($C106,'Restaurant Base (Hidden)'!$C$2:$C$1048576,0),MATCH(X$6,'Restaurant Base (Hidden)'!$A$1:$Z$1,0)),"")</f>
        <v>2</v>
      </c>
      <c r="Y106" s="65" t="str">
        <f>+IFERROR(INDEX('Restaurant Base (Hidden)'!$A$2:$Z$1048576,MATCH($C106,'Restaurant Base (Hidden)'!$C$2:$C$1048576,0),MATCH(Y$6,'Restaurant Base (Hidden)'!$A$1:$Z$1,0)),"")</f>
        <v>89,50 %</v>
      </c>
      <c r="Z106" s="106">
        <f>+IFERROR(INDEX('Restaurant Base (Hidden)'!$A$2:$Z$1048576,MATCH($C106,'Restaurant Base (Hidden)'!$C$2:$C$1048576,0),MATCH(Z$6,'Restaurant Base (Hidden)'!$A$1:$Z$1,0)),"")</f>
        <v>3</v>
      </c>
      <c r="AA106" s="65" t="str">
        <f>+IFERROR(INDEX('Restaurant Base (Hidden)'!$A$2:$Z$1048576,MATCH($C106,'Restaurant Base (Hidden)'!$C$2:$C$1048576,0),MATCH(AA$6,'Restaurant Base (Hidden)'!$A$1:$Z$1,0)),"")</f>
        <v>77,90 %</v>
      </c>
      <c r="AB106" s="1">
        <f>+IFERROR(INDEX('Restaurant Base (Hidden)'!$A$2:$Z$1048576,MATCH($C106,'Restaurant Base (Hidden)'!$C$2:$C$1048576,0),MATCH(AB$6,'Restaurant Base (Hidden)'!$A$1:$Z$1,0)),"")</f>
        <v>2</v>
      </c>
      <c r="AC106" s="20" t="str">
        <f>+IFERROR(INDEX('Restaurant Base (Hidden)'!$A$2:$Z$1048576,MATCH($C106,'Restaurant Base (Hidden)'!$C$2:$C$1048576,0),MATCH(AC$6,'Restaurant Base (Hidden)'!$A$1:$Z$1,0)),"")</f>
        <v/>
      </c>
      <c r="AD106" s="65" t="str">
        <f>+IFERROR(INDEX('Restaurant Base (Hidden)'!$A$2:$Z$1048576,MATCH($C106,'Restaurant Base (Hidden)'!$C$2:$C$1048576,0),MATCH(AD$6,'Restaurant Base (Hidden)'!$A$1:$Z$1,0)),"")</f>
        <v>73,20 %</v>
      </c>
      <c r="AE106" s="1">
        <f>+IFERROR(INDEX('Restaurant Base (Hidden)'!$A$2:$Z$1048576,MATCH($C106,'Restaurant Base (Hidden)'!$C$2:$C$1048576,0),MATCH(AE$6,'Restaurant Base (Hidden)'!$A$1:$Z$1,0)),"")</f>
        <v>2</v>
      </c>
      <c r="AF106" s="65" t="str">
        <f>+IFERROR(INDEX('Restaurant Base (Hidden)'!$A$2:$Z$1048576,MATCH($C106,'Restaurant Base (Hidden)'!$C$2:$C$1048576,0),MATCH(AF$6,'Restaurant Base (Hidden)'!$A$1:$Z$1,0)),"")</f>
        <v>98,30 %</v>
      </c>
      <c r="AG106" s="1">
        <f>+IFERROR(INDEX('Restaurant Base (Hidden)'!$A$2:$Z$1048576,MATCH($C106,'Restaurant Base (Hidden)'!$C$2:$C$1048576,0),MATCH(AG$6,'Restaurant Base (Hidden)'!$A$1:$Z$1,0)),"")</f>
        <v>5</v>
      </c>
    </row>
    <row r="107" spans="1:33" x14ac:dyDescent="0.4">
      <c r="A107" s="163" t="str">
        <f>IF('Restaurant Base (Hidden)'!A375=0,"", 'Restaurant Base (Hidden)'!A375)</f>
        <v>Marlowe Ellington</v>
      </c>
      <c r="B107" s="163" t="str">
        <f>IF('Restaurant Base (Hidden)'!B375=0,"", 'Restaurant Base (Hidden)'!B375)</f>
        <v>Clearview Dining Group</v>
      </c>
      <c r="C107" s="163" t="str">
        <f>IF('Restaurant Base (Hidden)'!C375=0,"", 'Restaurant Base (Hidden)'!C375)</f>
        <v>Silver Mews</v>
      </c>
      <c r="D107" s="104">
        <f t="shared" si="1"/>
        <v>97</v>
      </c>
      <c r="E107" s="105">
        <f>+IFERROR(INDEX('Restaurant Base (Hidden)'!$A$2:$Z$1048576,MATCH($C107,'Restaurant Base (Hidden)'!$C$2:$C$1048576,0),MATCH(E$6,'Restaurant Base (Hidden)'!$A$1:$Z$1,0)),"")</f>
        <v>3.31</v>
      </c>
      <c r="F107" s="2" t="str">
        <f>+IFERROR(INDEX('Restaurant Base (Hidden)'!$A$2:$Z$1048576,MATCH($C107,'Restaurant Base (Hidden)'!$C$2:$C$1048576,0),MATCH(F$6,'Restaurant Base (Hidden)'!$A$1:$Z$1,0)),"")</f>
        <v/>
      </c>
      <c r="G107" s="20" t="str">
        <f>+IFERROR(INDEX('Restaurant Base (Hidden)'!$A$2:$Z$1048576,MATCH($C107,'Restaurant Base (Hidden)'!$C$2:$C$1048576,0),MATCH(G$6,'Restaurant Base (Hidden)'!$A$1:$Z$1,0)),"")</f>
        <v>4,724</v>
      </c>
      <c r="H107" s="50">
        <f>+IFERROR(INDEX('Restaurant Base (Hidden)'!$A$2:$Z$1048576,MATCH($C107,'Restaurant Base (Hidden)'!$C$2:$C$1048576,0),MATCH(H$6,'Restaurant Base (Hidden)'!$A$1:$Z$1,0)),"")</f>
        <v>5</v>
      </c>
      <c r="I107" s="20" t="str">
        <f>+IFERROR(INDEX('Restaurant Base (Hidden)'!$A$2:$Z$1048576,MATCH($C107,'Restaurant Base (Hidden)'!$C$2:$C$1048576,0),MATCH(I$6,'Restaurant Base (Hidden)'!$A$1:$Z$1,0)),"")</f>
        <v>72,30 %</v>
      </c>
      <c r="J107" s="49">
        <f>+IFERROR(INDEX('Restaurant Base (Hidden)'!$A$2:$Z$1048576,MATCH($C107,'Restaurant Base (Hidden)'!$C$2:$C$1048576,0),MATCH(J$6,'Restaurant Base (Hidden)'!$A$1:$Z$1,0)),"")</f>
        <v>1</v>
      </c>
      <c r="K107" s="20" t="str">
        <f>+IFERROR(INDEX('Restaurant Base (Hidden)'!$A$2:$Z$1048576,MATCH($C107,'Restaurant Base (Hidden)'!$C$2:$C$1048576,0),MATCH(K$6,'Restaurant Base (Hidden)'!$A$1:$Z$1,0)),"")</f>
        <v>0,137</v>
      </c>
      <c r="L107" s="51">
        <f>+IFERROR(INDEX('Restaurant Base (Hidden)'!$A$2:$Z$1048576,MATCH($C107,'Restaurant Base (Hidden)'!$C$2:$C$1048576,0),MATCH(L$6,'Restaurant Base (Hidden)'!$A$1:$Z$1,0)),"")</f>
        <v>2</v>
      </c>
      <c r="M107" s="2" t="str">
        <f>+IFERROR(INDEX('Restaurant Base (Hidden)'!$A$2:$Z$1048576,MATCH($C107,'Restaurant Base (Hidden)'!$C$2:$C$1048576,0),MATCH(M$6,'Restaurant Base (Hidden)'!$A$1:$Z$1,0)),"")</f>
        <v/>
      </c>
      <c r="N107" s="234" t="str">
        <f>+IFERROR(INDEX('Restaurant Base (Hidden)'!$A$2:$Z$1048576,MATCH($C107,'Restaurant Base (Hidden)'!$C$2:$C$1048576,0),MATCH(N$6,'Restaurant Base (Hidden)'!$A$1:$Z$1,0)),"")</f>
        <v>96,90 %</v>
      </c>
      <c r="O107" s="1">
        <f>+IFERROR(INDEX('Restaurant Base (Hidden)'!$A$2:$Z$1048576,MATCH($C107,'Restaurant Base (Hidden)'!$C$2:$C$1048576,0),MATCH(O$6,'Restaurant Base (Hidden)'!$A$1:$Z$1,0)),"")</f>
        <v>5</v>
      </c>
      <c r="P107" s="2" t="str">
        <f>+IFERROR(INDEX('Restaurant Base (Hidden)'!$A$2:$Z$1048576,MATCH($C107,'Restaurant Base (Hidden)'!$C$2:$C$1048576,0),MATCH(P$6,'Restaurant Base (Hidden)'!$A$1:$Z$1,0)),"")</f>
        <v/>
      </c>
      <c r="Q107" s="234" t="str">
        <f>+IFERROR(INDEX('Restaurant Base (Hidden)'!$A$2:$Z$1048576,MATCH($C107,'Restaurant Base (Hidden)'!$C$2:$C$1048576,0),MATCH(Q$6,'Restaurant Base (Hidden)'!$A$1:$Z$1,0)),"")</f>
        <v>88,40 %</v>
      </c>
      <c r="R107" s="1">
        <f>+IFERROR(INDEX('Restaurant Base (Hidden)'!$A$2:$Z$1048576,MATCH($C107,'Restaurant Base (Hidden)'!$C$2:$C$1048576,0),MATCH(R$6,'Restaurant Base (Hidden)'!$A$1:$Z$1,0)),"")</f>
        <v>5</v>
      </c>
      <c r="S107" s="2" t="str">
        <f>+IFERROR(INDEX('Restaurant Base (Hidden)'!$A$2:$Z$1048576,MATCH($C107,'Restaurant Base (Hidden)'!$C$2:$C$1048576,0),MATCH(S$6,'Restaurant Base (Hidden)'!$A$1:$Z$1,0)),"")</f>
        <v/>
      </c>
      <c r="T107" s="62">
        <f>+IFERROR(INDEX('Restaurant Base (Hidden)'!$A$2:$Z$1048576,MATCH($C107,'Restaurant Base (Hidden)'!$C$2:$C$1048576,0),MATCH(T$6,'Restaurant Base (Hidden)'!$A$1:$Z$1,0)),"")</f>
        <v>76.5</v>
      </c>
      <c r="U107" s="1">
        <f>+IFERROR(INDEX('Restaurant Base (Hidden)'!$A$2:$Z$1048576,MATCH($C107,'Restaurant Base (Hidden)'!$C$2:$C$1048576,0),MATCH(U$6,'Restaurant Base (Hidden)'!$A$1:$Z$1,0)),"")</f>
        <v>5</v>
      </c>
      <c r="V107" s="2" t="str">
        <f>+IFERROR(INDEX('Restaurant Base (Hidden)'!$A$2:$Z$1048576,MATCH($C107,'Restaurant Base (Hidden)'!$C$2:$C$1048576,0),MATCH(V$6,'Restaurant Base (Hidden)'!$A$1:$Z$1,0)),"")</f>
        <v/>
      </c>
      <c r="W107" s="65" t="str">
        <f>+IFERROR(INDEX('Restaurant Base (Hidden)'!$A$2:$Z$1048576,MATCH($C107,'Restaurant Base (Hidden)'!$C$2:$C$1048576,0),MATCH(W$6,'Restaurant Base (Hidden)'!$A$1:$Z$1,0)),"")</f>
        <v>59,70 %</v>
      </c>
      <c r="X107" s="1">
        <f>+IFERROR(INDEX('Restaurant Base (Hidden)'!$A$2:$Z$1048576,MATCH($C107,'Restaurant Base (Hidden)'!$C$2:$C$1048576,0),MATCH(X$6,'Restaurant Base (Hidden)'!$A$1:$Z$1,0)),"")</f>
        <v>1</v>
      </c>
      <c r="Y107" s="65" t="str">
        <f>+IFERROR(INDEX('Restaurant Base (Hidden)'!$A$2:$Z$1048576,MATCH($C107,'Restaurant Base (Hidden)'!$C$2:$C$1048576,0),MATCH(Y$6,'Restaurant Base (Hidden)'!$A$1:$Z$1,0)),"")</f>
        <v>56,00 %</v>
      </c>
      <c r="Z107" s="106">
        <f>+IFERROR(INDEX('Restaurant Base (Hidden)'!$A$2:$Z$1048576,MATCH($C107,'Restaurant Base (Hidden)'!$C$2:$C$1048576,0),MATCH(Z$6,'Restaurant Base (Hidden)'!$A$1:$Z$1,0)),"")</f>
        <v>1</v>
      </c>
      <c r="AA107" s="65" t="str">
        <f>+IFERROR(INDEX('Restaurant Base (Hidden)'!$A$2:$Z$1048576,MATCH($C107,'Restaurant Base (Hidden)'!$C$2:$C$1048576,0),MATCH(AA$6,'Restaurant Base (Hidden)'!$A$1:$Z$1,0)),"")</f>
        <v>55,80 %</v>
      </c>
      <c r="AB107" s="1">
        <f>+IFERROR(INDEX('Restaurant Base (Hidden)'!$A$2:$Z$1048576,MATCH($C107,'Restaurant Base (Hidden)'!$C$2:$C$1048576,0),MATCH(AB$6,'Restaurant Base (Hidden)'!$A$1:$Z$1,0)),"")</f>
        <v>1</v>
      </c>
      <c r="AC107" s="20" t="str">
        <f>+IFERROR(INDEX('Restaurant Base (Hidden)'!$A$2:$Z$1048576,MATCH($C107,'Restaurant Base (Hidden)'!$C$2:$C$1048576,0),MATCH(AC$6,'Restaurant Base (Hidden)'!$A$1:$Z$1,0)),"")</f>
        <v/>
      </c>
      <c r="AD107" s="65" t="str">
        <f>+IFERROR(INDEX('Restaurant Base (Hidden)'!$A$2:$Z$1048576,MATCH($C107,'Restaurant Base (Hidden)'!$C$2:$C$1048576,0),MATCH(AD$6,'Restaurant Base (Hidden)'!$A$1:$Z$1,0)),"")</f>
        <v>94,50 %</v>
      </c>
      <c r="AE107" s="1">
        <f>+IFERROR(INDEX('Restaurant Base (Hidden)'!$A$2:$Z$1048576,MATCH($C107,'Restaurant Base (Hidden)'!$C$2:$C$1048576,0),MATCH(AE$6,'Restaurant Base (Hidden)'!$A$1:$Z$1,0)),"")</f>
        <v>4</v>
      </c>
      <c r="AF107" s="65" t="str">
        <f>+IFERROR(INDEX('Restaurant Base (Hidden)'!$A$2:$Z$1048576,MATCH($C107,'Restaurant Base (Hidden)'!$C$2:$C$1048576,0),MATCH(AF$6,'Restaurant Base (Hidden)'!$A$1:$Z$1,0)),"")</f>
        <v>77,50 %</v>
      </c>
      <c r="AG107" s="1">
        <f>+IFERROR(INDEX('Restaurant Base (Hidden)'!$A$2:$Z$1048576,MATCH($C107,'Restaurant Base (Hidden)'!$C$2:$C$1048576,0),MATCH(AG$6,'Restaurant Base (Hidden)'!$A$1:$Z$1,0)),"")</f>
        <v>2</v>
      </c>
    </row>
    <row r="108" spans="1:33" x14ac:dyDescent="0.4">
      <c r="A108" s="163" t="str">
        <f>IF('Restaurant Base (Hidden)'!A13=0,"", 'Restaurant Base (Hidden)'!A13)</f>
        <v>Kendall Prescott</v>
      </c>
      <c r="B108" s="163" t="str">
        <f>IF('Restaurant Base (Hidden)'!B13=0,"", 'Restaurant Base (Hidden)'!B13)</f>
        <v>Maplewood Hospitality</v>
      </c>
      <c r="C108" s="163" t="str">
        <f>IF('Restaurant Base (Hidden)'!C13=0,"", 'Restaurant Base (Hidden)'!C13)</f>
        <v>Westwood Plaza</v>
      </c>
      <c r="D108" s="104">
        <f t="shared" si="1"/>
        <v>102</v>
      </c>
      <c r="E108" s="105">
        <f>+IFERROR(INDEX('Restaurant Base (Hidden)'!$A$2:$Z$1048576,MATCH($C108,'Restaurant Base (Hidden)'!$C$2:$C$1048576,0),MATCH(E$6,'Restaurant Base (Hidden)'!$A$1:$Z$1,0)),"")</f>
        <v>3.3</v>
      </c>
      <c r="F108" s="64" t="str">
        <f>+IFERROR(INDEX('Restaurant Base (Hidden)'!$A$2:$Z$1048576,MATCH($C108,'Restaurant Base (Hidden)'!$C$2:$C$1048576,0),MATCH(F$6,'Restaurant Base (Hidden)'!$A$1:$Z$1,0)),"")</f>
        <v/>
      </c>
      <c r="G108" s="20" t="str">
        <f>+IFERROR(INDEX('Restaurant Base (Hidden)'!$A$2:$Z$1048576,MATCH($C108,'Restaurant Base (Hidden)'!$C$2:$C$1048576,0),MATCH(G$6,'Restaurant Base (Hidden)'!$A$1:$Z$1,0)),"")</f>
        <v>4,583</v>
      </c>
      <c r="H108" s="50">
        <f>+IFERROR(INDEX('Restaurant Base (Hidden)'!$A$2:$Z$1048576,MATCH($C108,'Restaurant Base (Hidden)'!$C$2:$C$1048576,0),MATCH(H$6,'Restaurant Base (Hidden)'!$A$1:$Z$1,0)),"")</f>
        <v>5</v>
      </c>
      <c r="I108" s="20" t="str">
        <f>+IFERROR(INDEX('Restaurant Base (Hidden)'!$A$2:$Z$1048576,MATCH($C108,'Restaurant Base (Hidden)'!$C$2:$C$1048576,0),MATCH(I$6,'Restaurant Base (Hidden)'!$A$1:$Z$1,0)),"")</f>
        <v>93,00 %</v>
      </c>
      <c r="J108" s="49">
        <f>+IFERROR(INDEX('Restaurant Base (Hidden)'!$A$2:$Z$1048576,MATCH($C108,'Restaurant Base (Hidden)'!$C$2:$C$1048576,0),MATCH(J$6,'Restaurant Base (Hidden)'!$A$1:$Z$1,0)),"")</f>
        <v>4</v>
      </c>
      <c r="K108" s="20" t="str">
        <f>+IFERROR(INDEX('Restaurant Base (Hidden)'!$A$2:$Z$1048576,MATCH($C108,'Restaurant Base (Hidden)'!$C$2:$C$1048576,0),MATCH(K$6,'Restaurant Base (Hidden)'!$A$1:$Z$1,0)),"")</f>
        <v>0,074</v>
      </c>
      <c r="L108" s="51">
        <f>+IFERROR(INDEX('Restaurant Base (Hidden)'!$A$2:$Z$1048576,MATCH($C108,'Restaurant Base (Hidden)'!$C$2:$C$1048576,0),MATCH(L$6,'Restaurant Base (Hidden)'!$A$1:$Z$1,0)),"")</f>
        <v>4</v>
      </c>
      <c r="M108" s="2" t="str">
        <f>+IFERROR(INDEX('Restaurant Base (Hidden)'!$A$2:$Z$1048576,MATCH($C108,'Restaurant Base (Hidden)'!$C$2:$C$1048576,0),MATCH(M$6,'Restaurant Base (Hidden)'!$A$1:$Z$1,0)),"")</f>
        <v/>
      </c>
      <c r="N108" s="234" t="str">
        <f>+IFERROR(INDEX('Restaurant Base (Hidden)'!$A$2:$Z$1048576,MATCH($C108,'Restaurant Base (Hidden)'!$C$2:$C$1048576,0),MATCH(N$6,'Restaurant Base (Hidden)'!$A$1:$Z$1,0)),"")</f>
        <v>80,70 %</v>
      </c>
      <c r="O108" s="1">
        <f>+IFERROR(INDEX('Restaurant Base (Hidden)'!$A$2:$Z$1048576,MATCH($C108,'Restaurant Base (Hidden)'!$C$2:$C$1048576,0),MATCH(O$6,'Restaurant Base (Hidden)'!$A$1:$Z$1,0)),"")</f>
        <v>5</v>
      </c>
      <c r="P108" s="2" t="str">
        <f>+IFERROR(INDEX('Restaurant Base (Hidden)'!$A$2:$Z$1048576,MATCH($C108,'Restaurant Base (Hidden)'!$C$2:$C$1048576,0),MATCH(P$6,'Restaurant Base (Hidden)'!$A$1:$Z$1,0)),"")</f>
        <v/>
      </c>
      <c r="Q108" s="234" t="str">
        <f>+IFERROR(INDEX('Restaurant Base (Hidden)'!$A$2:$Z$1048576,MATCH($C108,'Restaurant Base (Hidden)'!$C$2:$C$1048576,0),MATCH(Q$6,'Restaurant Base (Hidden)'!$A$1:$Z$1,0)),"")</f>
        <v>68,00 %</v>
      </c>
      <c r="R108" s="1">
        <f>+IFERROR(INDEX('Restaurant Base (Hidden)'!$A$2:$Z$1048576,MATCH($C108,'Restaurant Base (Hidden)'!$C$2:$C$1048576,0),MATCH(R$6,'Restaurant Base (Hidden)'!$A$1:$Z$1,0)),"")</f>
        <v>3</v>
      </c>
      <c r="S108" s="2" t="str">
        <f>+IFERROR(INDEX('Restaurant Base (Hidden)'!$A$2:$Z$1048576,MATCH($C108,'Restaurant Base (Hidden)'!$C$2:$C$1048576,0),MATCH(S$6,'Restaurant Base (Hidden)'!$A$1:$Z$1,0)),"")</f>
        <v/>
      </c>
      <c r="T108" s="62">
        <f>+IFERROR(INDEX('Restaurant Base (Hidden)'!$A$2:$Z$1048576,MATCH($C108,'Restaurant Base (Hidden)'!$C$2:$C$1048576,0),MATCH(T$6,'Restaurant Base (Hidden)'!$A$1:$Z$1,0)),"")</f>
        <v>72.5</v>
      </c>
      <c r="U108" s="1">
        <f>+IFERROR(INDEX('Restaurant Base (Hidden)'!$A$2:$Z$1048576,MATCH($C108,'Restaurant Base (Hidden)'!$C$2:$C$1048576,0),MATCH(U$6,'Restaurant Base (Hidden)'!$A$1:$Z$1,0)),"")</f>
        <v>5</v>
      </c>
      <c r="V108" s="2" t="str">
        <f>+IFERROR(INDEX('Restaurant Base (Hidden)'!$A$2:$Z$1048576,MATCH($C108,'Restaurant Base (Hidden)'!$C$2:$C$1048576,0),MATCH(V$6,'Restaurant Base (Hidden)'!$A$1:$Z$1,0)),"")</f>
        <v/>
      </c>
      <c r="W108" s="65" t="str">
        <f>+IFERROR(INDEX('Restaurant Base (Hidden)'!$A$2:$Z$1048576,MATCH($C108,'Restaurant Base (Hidden)'!$C$2:$C$1048576,0),MATCH(W$6,'Restaurant Base (Hidden)'!$A$1:$Z$1,0)),"")</f>
        <v>78,90 %</v>
      </c>
      <c r="X108" s="1">
        <f>+IFERROR(INDEX('Restaurant Base (Hidden)'!$A$2:$Z$1048576,MATCH($C108,'Restaurant Base (Hidden)'!$C$2:$C$1048576,0),MATCH(X$6,'Restaurant Base (Hidden)'!$A$1:$Z$1,0)),"")</f>
        <v>2</v>
      </c>
      <c r="Y108" s="65" t="str">
        <f>+IFERROR(INDEX('Restaurant Base (Hidden)'!$A$2:$Z$1048576,MATCH($C108,'Restaurant Base (Hidden)'!$C$2:$C$1048576,0),MATCH(Y$6,'Restaurant Base (Hidden)'!$A$1:$Z$1,0)),"")</f>
        <v>61,40 %</v>
      </c>
      <c r="Z108" s="106">
        <f>+IFERROR(INDEX('Restaurant Base (Hidden)'!$A$2:$Z$1048576,MATCH($C108,'Restaurant Base (Hidden)'!$C$2:$C$1048576,0),MATCH(Z$6,'Restaurant Base (Hidden)'!$A$1:$Z$1,0)),"")</f>
        <v>2</v>
      </c>
      <c r="AA108" s="65" t="str">
        <f>+IFERROR(INDEX('Restaurant Base (Hidden)'!$A$2:$Z$1048576,MATCH($C108,'Restaurant Base (Hidden)'!$C$2:$C$1048576,0),MATCH(AA$6,'Restaurant Base (Hidden)'!$A$1:$Z$1,0)),"")</f>
        <v>73,80 %</v>
      </c>
      <c r="AB108" s="1">
        <f>+IFERROR(INDEX('Restaurant Base (Hidden)'!$A$2:$Z$1048576,MATCH($C108,'Restaurant Base (Hidden)'!$C$2:$C$1048576,0),MATCH(AB$6,'Restaurant Base (Hidden)'!$A$1:$Z$1,0)),"")</f>
        <v>2</v>
      </c>
      <c r="AC108" s="20" t="str">
        <f>+IFERROR(INDEX('Restaurant Base (Hidden)'!$A$2:$Z$1048576,MATCH($C108,'Restaurant Base (Hidden)'!$C$2:$C$1048576,0),MATCH(AC$6,'Restaurant Base (Hidden)'!$A$1:$Z$1,0)),"")</f>
        <v/>
      </c>
      <c r="AD108" s="65" t="str">
        <f>+IFERROR(INDEX('Restaurant Base (Hidden)'!$A$2:$Z$1048576,MATCH($C108,'Restaurant Base (Hidden)'!$C$2:$C$1048576,0),MATCH(AD$6,'Restaurant Base (Hidden)'!$A$1:$Z$1,0)),"")</f>
        <v>71,00 %</v>
      </c>
      <c r="AE108" s="1">
        <f>+IFERROR(INDEX('Restaurant Base (Hidden)'!$A$2:$Z$1048576,MATCH($C108,'Restaurant Base (Hidden)'!$C$2:$C$1048576,0),MATCH(AE$6,'Restaurant Base (Hidden)'!$A$1:$Z$1,0)),"")</f>
        <v>1</v>
      </c>
      <c r="AF108" s="65" t="str">
        <f>+IFERROR(INDEX('Restaurant Base (Hidden)'!$A$2:$Z$1048576,MATCH($C108,'Restaurant Base (Hidden)'!$C$2:$C$1048576,0),MATCH(AF$6,'Restaurant Base (Hidden)'!$A$1:$Z$1,0)),"")</f>
        <v>60,90 %</v>
      </c>
      <c r="AG108" s="1">
        <f>+IFERROR(INDEX('Restaurant Base (Hidden)'!$A$2:$Z$1048576,MATCH($C108,'Restaurant Base (Hidden)'!$C$2:$C$1048576,0),MATCH(AG$6,'Restaurant Base (Hidden)'!$A$1:$Z$1,0)),"")</f>
        <v>1</v>
      </c>
    </row>
    <row r="109" spans="1:33" x14ac:dyDescent="0.4">
      <c r="A109" s="163" t="str">
        <f>IF('Restaurant Base (Hidden)'!A146=0,"", 'Restaurant Base (Hidden)'!A146)</f>
        <v>Tatum Westmere</v>
      </c>
      <c r="B109" s="163" t="str">
        <f>IF('Restaurant Base (Hidden)'!B146=0,"", 'Restaurant Base (Hidden)'!B146)</f>
        <v>Highland Crest Restaurants</v>
      </c>
      <c r="C109" s="163" t="str">
        <f>IF('Restaurant Base (Hidden)'!C146=0,"", 'Restaurant Base (Hidden)'!C146)</f>
        <v>Brook Park</v>
      </c>
      <c r="D109" s="104">
        <f t="shared" si="1"/>
        <v>102</v>
      </c>
      <c r="E109" s="105">
        <f>+IFERROR(INDEX('Restaurant Base (Hidden)'!$A$2:$Z$1048576,MATCH($C109,'Restaurant Base (Hidden)'!$C$2:$C$1048576,0),MATCH(E$6,'Restaurant Base (Hidden)'!$A$1:$Z$1,0)),"")</f>
        <v>3.3</v>
      </c>
      <c r="F109" s="2" t="str">
        <f>+IFERROR(INDEX('Restaurant Base (Hidden)'!$A$2:$Z$1048576,MATCH($C109,'Restaurant Base (Hidden)'!$C$2:$C$1048576,0),MATCH(F$6,'Restaurant Base (Hidden)'!$A$1:$Z$1,0)),"")</f>
        <v/>
      </c>
      <c r="G109" s="20" t="str">
        <f>+IFERROR(INDEX('Restaurant Base (Hidden)'!$A$2:$Z$1048576,MATCH($C109,'Restaurant Base (Hidden)'!$C$2:$C$1048576,0),MATCH(G$6,'Restaurant Base (Hidden)'!$A$1:$Z$1,0)),"")</f>
        <v>4,759</v>
      </c>
      <c r="H109" s="50">
        <f>+IFERROR(INDEX('Restaurant Base (Hidden)'!$A$2:$Z$1048576,MATCH($C109,'Restaurant Base (Hidden)'!$C$2:$C$1048576,0),MATCH(H$6,'Restaurant Base (Hidden)'!$A$1:$Z$1,0)),"")</f>
        <v>5</v>
      </c>
      <c r="I109" s="20" t="str">
        <f>+IFERROR(INDEX('Restaurant Base (Hidden)'!$A$2:$Z$1048576,MATCH($C109,'Restaurant Base (Hidden)'!$C$2:$C$1048576,0),MATCH(I$6,'Restaurant Base (Hidden)'!$A$1:$Z$1,0)),"")</f>
        <v>75,00 %</v>
      </c>
      <c r="J109" s="49">
        <f>+IFERROR(INDEX('Restaurant Base (Hidden)'!$A$2:$Z$1048576,MATCH($C109,'Restaurant Base (Hidden)'!$C$2:$C$1048576,0),MATCH(J$6,'Restaurant Base (Hidden)'!$A$1:$Z$1,0)),"")</f>
        <v>1</v>
      </c>
      <c r="K109" s="20" t="str">
        <f>+IFERROR(INDEX('Restaurant Base (Hidden)'!$A$2:$Z$1048576,MATCH($C109,'Restaurant Base (Hidden)'!$C$2:$C$1048576,0),MATCH(K$6,'Restaurant Base (Hidden)'!$A$1:$Z$1,0)),"")</f>
        <v>0,151</v>
      </c>
      <c r="L109" s="51">
        <f>+IFERROR(INDEX('Restaurant Base (Hidden)'!$A$2:$Z$1048576,MATCH($C109,'Restaurant Base (Hidden)'!$C$2:$C$1048576,0),MATCH(L$6,'Restaurant Base (Hidden)'!$A$1:$Z$1,0)),"")</f>
        <v>2</v>
      </c>
      <c r="M109" s="2" t="str">
        <f>+IFERROR(INDEX('Restaurant Base (Hidden)'!$A$2:$Z$1048576,MATCH($C109,'Restaurant Base (Hidden)'!$C$2:$C$1048576,0),MATCH(M$6,'Restaurant Base (Hidden)'!$A$1:$Z$1,0)),"")</f>
        <v/>
      </c>
      <c r="N109" s="234" t="str">
        <f>+IFERROR(INDEX('Restaurant Base (Hidden)'!$A$2:$Z$1048576,MATCH($C109,'Restaurant Base (Hidden)'!$C$2:$C$1048576,0),MATCH(N$6,'Restaurant Base (Hidden)'!$A$1:$Z$1,0)),"")</f>
        <v>98,80 %</v>
      </c>
      <c r="O109" s="1">
        <f>+IFERROR(INDEX('Restaurant Base (Hidden)'!$A$2:$Z$1048576,MATCH($C109,'Restaurant Base (Hidden)'!$C$2:$C$1048576,0),MATCH(O$6,'Restaurant Base (Hidden)'!$A$1:$Z$1,0)),"")</f>
        <v>5</v>
      </c>
      <c r="P109" s="2" t="str">
        <f>+IFERROR(INDEX('Restaurant Base (Hidden)'!$A$2:$Z$1048576,MATCH($C109,'Restaurant Base (Hidden)'!$C$2:$C$1048576,0),MATCH(P$6,'Restaurant Base (Hidden)'!$A$1:$Z$1,0)),"")</f>
        <v/>
      </c>
      <c r="Q109" s="234" t="str">
        <f>+IFERROR(INDEX('Restaurant Base (Hidden)'!$A$2:$Z$1048576,MATCH($C109,'Restaurant Base (Hidden)'!$C$2:$C$1048576,0),MATCH(Q$6,'Restaurant Base (Hidden)'!$A$1:$Z$1,0)),"")</f>
        <v>74,30 %</v>
      </c>
      <c r="R109" s="1">
        <f>+IFERROR(INDEX('Restaurant Base (Hidden)'!$A$2:$Z$1048576,MATCH($C109,'Restaurant Base (Hidden)'!$C$2:$C$1048576,0),MATCH(R$6,'Restaurant Base (Hidden)'!$A$1:$Z$1,0)),"")</f>
        <v>5</v>
      </c>
      <c r="S109" s="2" t="str">
        <f>+IFERROR(INDEX('Restaurant Base (Hidden)'!$A$2:$Z$1048576,MATCH($C109,'Restaurant Base (Hidden)'!$C$2:$C$1048576,0),MATCH(S$6,'Restaurant Base (Hidden)'!$A$1:$Z$1,0)),"")</f>
        <v/>
      </c>
      <c r="T109" s="62">
        <f>+IFERROR(INDEX('Restaurant Base (Hidden)'!$A$2:$Z$1048576,MATCH($C109,'Restaurant Base (Hidden)'!$C$2:$C$1048576,0),MATCH(T$6,'Restaurant Base (Hidden)'!$A$1:$Z$1,0)),"")</f>
        <v>74.900000000000006</v>
      </c>
      <c r="U109" s="1">
        <f>+IFERROR(INDEX('Restaurant Base (Hidden)'!$A$2:$Z$1048576,MATCH($C109,'Restaurant Base (Hidden)'!$C$2:$C$1048576,0),MATCH(U$6,'Restaurant Base (Hidden)'!$A$1:$Z$1,0)),"")</f>
        <v>5</v>
      </c>
      <c r="V109" s="2" t="str">
        <f>+IFERROR(INDEX('Restaurant Base (Hidden)'!$A$2:$Z$1048576,MATCH($C109,'Restaurant Base (Hidden)'!$C$2:$C$1048576,0),MATCH(V$6,'Restaurant Base (Hidden)'!$A$1:$Z$1,0)),"")</f>
        <v/>
      </c>
      <c r="W109" s="65" t="str">
        <f>+IFERROR(INDEX('Restaurant Base (Hidden)'!$A$2:$Z$1048576,MATCH($C109,'Restaurant Base (Hidden)'!$C$2:$C$1048576,0),MATCH(W$6,'Restaurant Base (Hidden)'!$A$1:$Z$1,0)),"")</f>
        <v>66,50 %</v>
      </c>
      <c r="X109" s="1">
        <f>+IFERROR(INDEX('Restaurant Base (Hidden)'!$A$2:$Z$1048576,MATCH($C109,'Restaurant Base (Hidden)'!$C$2:$C$1048576,0),MATCH(X$6,'Restaurant Base (Hidden)'!$A$1:$Z$1,0)),"")</f>
        <v>2</v>
      </c>
      <c r="Y109" s="65" t="str">
        <f>+IFERROR(INDEX('Restaurant Base (Hidden)'!$A$2:$Z$1048576,MATCH($C109,'Restaurant Base (Hidden)'!$C$2:$C$1048576,0),MATCH(Y$6,'Restaurant Base (Hidden)'!$A$1:$Z$1,0)),"")</f>
        <v>94,70 %</v>
      </c>
      <c r="Z109" s="106">
        <f>+IFERROR(INDEX('Restaurant Base (Hidden)'!$A$2:$Z$1048576,MATCH($C109,'Restaurant Base (Hidden)'!$C$2:$C$1048576,0),MATCH(Z$6,'Restaurant Base (Hidden)'!$A$1:$Z$1,0)),"")</f>
        <v>4</v>
      </c>
      <c r="AA109" s="65" t="str">
        <f>+IFERROR(INDEX('Restaurant Base (Hidden)'!$A$2:$Z$1048576,MATCH($C109,'Restaurant Base (Hidden)'!$C$2:$C$1048576,0),MATCH(AA$6,'Restaurant Base (Hidden)'!$A$1:$Z$1,0)),"")</f>
        <v>82,20 %</v>
      </c>
      <c r="AB109" s="1">
        <f>+IFERROR(INDEX('Restaurant Base (Hidden)'!$A$2:$Z$1048576,MATCH($C109,'Restaurant Base (Hidden)'!$C$2:$C$1048576,0),MATCH(AB$6,'Restaurant Base (Hidden)'!$A$1:$Z$1,0)),"")</f>
        <v>2</v>
      </c>
      <c r="AC109" s="20" t="str">
        <f>+IFERROR(INDEX('Restaurant Base (Hidden)'!$A$2:$Z$1048576,MATCH($C109,'Restaurant Base (Hidden)'!$C$2:$C$1048576,0),MATCH(AC$6,'Restaurant Base (Hidden)'!$A$1:$Z$1,0)),"")</f>
        <v/>
      </c>
      <c r="AD109" s="65" t="str">
        <f>+IFERROR(INDEX('Restaurant Base (Hidden)'!$A$2:$Z$1048576,MATCH($C109,'Restaurant Base (Hidden)'!$C$2:$C$1048576,0),MATCH(AD$6,'Restaurant Base (Hidden)'!$A$1:$Z$1,0)),"")</f>
        <v>57,40 %</v>
      </c>
      <c r="AE109" s="1">
        <f>+IFERROR(INDEX('Restaurant Base (Hidden)'!$A$2:$Z$1048576,MATCH($C109,'Restaurant Base (Hidden)'!$C$2:$C$1048576,0),MATCH(AE$6,'Restaurant Base (Hidden)'!$A$1:$Z$1,0)),"")</f>
        <v>1</v>
      </c>
      <c r="AF109" s="65" t="str">
        <f>+IFERROR(INDEX('Restaurant Base (Hidden)'!$A$2:$Z$1048576,MATCH($C109,'Restaurant Base (Hidden)'!$C$2:$C$1048576,0),MATCH(AF$6,'Restaurant Base (Hidden)'!$A$1:$Z$1,0)),"")</f>
        <v>76,40 %</v>
      </c>
      <c r="AG109" s="1">
        <f>+IFERROR(INDEX('Restaurant Base (Hidden)'!$A$2:$Z$1048576,MATCH($C109,'Restaurant Base (Hidden)'!$C$2:$C$1048576,0),MATCH(AG$6,'Restaurant Base (Hidden)'!$A$1:$Z$1,0)),"")</f>
        <v>2</v>
      </c>
    </row>
    <row r="110" spans="1:33" x14ac:dyDescent="0.4">
      <c r="A110" s="163" t="str">
        <f>IF('Restaurant Base (Hidden)'!A185=0,"", 'Restaurant Base (Hidden)'!A185)</f>
        <v>Jamie Northcott</v>
      </c>
      <c r="B110" s="163" t="str">
        <f>IF('Restaurant Base (Hidden)'!B185=0,"", 'Restaurant Base (Hidden)'!B185)</f>
        <v>Lakeshore Food Partners</v>
      </c>
      <c r="C110" s="163" t="str">
        <f>IF('Restaurant Base (Hidden)'!C185=0,"", 'Restaurant Base (Hidden)'!C185)</f>
        <v>Oakridge Plaza</v>
      </c>
      <c r="D110" s="104">
        <f t="shared" si="1"/>
        <v>102</v>
      </c>
      <c r="E110" s="105">
        <f>+IFERROR(INDEX('Restaurant Base (Hidden)'!$A$2:$Z$1048576,MATCH($C110,'Restaurant Base (Hidden)'!$C$2:$C$1048576,0),MATCH(E$6,'Restaurant Base (Hidden)'!$A$1:$Z$1,0)),"")</f>
        <v>3.3</v>
      </c>
      <c r="F110" s="2" t="str">
        <f>+IFERROR(INDEX('Restaurant Base (Hidden)'!$A$2:$Z$1048576,MATCH($C110,'Restaurant Base (Hidden)'!$C$2:$C$1048576,0),MATCH(F$6,'Restaurant Base (Hidden)'!$A$1:$Z$1,0)),"")</f>
        <v/>
      </c>
      <c r="G110" s="20" t="str">
        <f>+IFERROR(INDEX('Restaurant Base (Hidden)'!$A$2:$Z$1048576,MATCH($C110,'Restaurant Base (Hidden)'!$C$2:$C$1048576,0),MATCH(G$6,'Restaurant Base (Hidden)'!$A$1:$Z$1,0)),"")</f>
        <v>4,460</v>
      </c>
      <c r="H110" s="50">
        <f>+IFERROR(INDEX('Restaurant Base (Hidden)'!$A$2:$Z$1048576,MATCH($C110,'Restaurant Base (Hidden)'!$C$2:$C$1048576,0),MATCH(H$6,'Restaurant Base (Hidden)'!$A$1:$Z$1,0)),"")</f>
        <v>4</v>
      </c>
      <c r="I110" s="20" t="str">
        <f>+IFERROR(INDEX('Restaurant Base (Hidden)'!$A$2:$Z$1048576,MATCH($C110,'Restaurant Base (Hidden)'!$C$2:$C$1048576,0),MATCH(I$6,'Restaurant Base (Hidden)'!$A$1:$Z$1,0)),"")</f>
        <v>82,90 %</v>
      </c>
      <c r="J110" s="49">
        <f>+IFERROR(INDEX('Restaurant Base (Hidden)'!$A$2:$Z$1048576,MATCH($C110,'Restaurant Base (Hidden)'!$C$2:$C$1048576,0),MATCH(J$6,'Restaurant Base (Hidden)'!$A$1:$Z$1,0)),"")</f>
        <v>2</v>
      </c>
      <c r="K110" s="20" t="str">
        <f>+IFERROR(INDEX('Restaurant Base (Hidden)'!$A$2:$Z$1048576,MATCH($C110,'Restaurant Base (Hidden)'!$C$2:$C$1048576,0),MATCH(K$6,'Restaurant Base (Hidden)'!$A$1:$Z$1,0)),"")</f>
        <v>0,191</v>
      </c>
      <c r="L110" s="51">
        <f>+IFERROR(INDEX('Restaurant Base (Hidden)'!$A$2:$Z$1048576,MATCH($C110,'Restaurant Base (Hidden)'!$C$2:$C$1048576,0),MATCH(L$6,'Restaurant Base (Hidden)'!$A$1:$Z$1,0)),"")</f>
        <v>1</v>
      </c>
      <c r="M110" s="2" t="str">
        <f>+IFERROR(INDEX('Restaurant Base (Hidden)'!$A$2:$Z$1048576,MATCH($C110,'Restaurant Base (Hidden)'!$C$2:$C$1048576,0),MATCH(M$6,'Restaurant Base (Hidden)'!$A$1:$Z$1,0)),"")</f>
        <v/>
      </c>
      <c r="N110" s="234" t="str">
        <f>+IFERROR(INDEX('Restaurant Base (Hidden)'!$A$2:$Z$1048576,MATCH($C110,'Restaurant Base (Hidden)'!$C$2:$C$1048576,0),MATCH(N$6,'Restaurant Base (Hidden)'!$A$1:$Z$1,0)),"")</f>
        <v>75,40 %</v>
      </c>
      <c r="O110" s="1">
        <f>+IFERROR(INDEX('Restaurant Base (Hidden)'!$A$2:$Z$1048576,MATCH($C110,'Restaurant Base (Hidden)'!$C$2:$C$1048576,0),MATCH(O$6,'Restaurant Base (Hidden)'!$A$1:$Z$1,0)),"")</f>
        <v>5</v>
      </c>
      <c r="P110" s="2" t="str">
        <f>+IFERROR(INDEX('Restaurant Base (Hidden)'!$A$2:$Z$1048576,MATCH($C110,'Restaurant Base (Hidden)'!$C$2:$C$1048576,0),MATCH(P$6,'Restaurant Base (Hidden)'!$A$1:$Z$1,0)),"")</f>
        <v/>
      </c>
      <c r="Q110" s="234" t="str">
        <f>+IFERROR(INDEX('Restaurant Base (Hidden)'!$A$2:$Z$1048576,MATCH($C110,'Restaurant Base (Hidden)'!$C$2:$C$1048576,0),MATCH(Q$6,'Restaurant Base (Hidden)'!$A$1:$Z$1,0)),"")</f>
        <v>72,80 %</v>
      </c>
      <c r="R110" s="1">
        <f>+IFERROR(INDEX('Restaurant Base (Hidden)'!$A$2:$Z$1048576,MATCH($C110,'Restaurant Base (Hidden)'!$C$2:$C$1048576,0),MATCH(R$6,'Restaurant Base (Hidden)'!$A$1:$Z$1,0)),"")</f>
        <v>4</v>
      </c>
      <c r="S110" s="2" t="str">
        <f>+IFERROR(INDEX('Restaurant Base (Hidden)'!$A$2:$Z$1048576,MATCH($C110,'Restaurant Base (Hidden)'!$C$2:$C$1048576,0),MATCH(S$6,'Restaurant Base (Hidden)'!$A$1:$Z$1,0)),"")</f>
        <v/>
      </c>
      <c r="T110" s="62">
        <f>+IFERROR(INDEX('Restaurant Base (Hidden)'!$A$2:$Z$1048576,MATCH($C110,'Restaurant Base (Hidden)'!$C$2:$C$1048576,0),MATCH(T$6,'Restaurant Base (Hidden)'!$A$1:$Z$1,0)),"")</f>
        <v>64.099999999999994</v>
      </c>
      <c r="U110" s="1">
        <f>+IFERROR(INDEX('Restaurant Base (Hidden)'!$A$2:$Z$1048576,MATCH($C110,'Restaurant Base (Hidden)'!$C$2:$C$1048576,0),MATCH(U$6,'Restaurant Base (Hidden)'!$A$1:$Z$1,0)),"")</f>
        <v>4</v>
      </c>
      <c r="V110" s="2" t="str">
        <f>+IFERROR(INDEX('Restaurant Base (Hidden)'!$A$2:$Z$1048576,MATCH($C110,'Restaurant Base (Hidden)'!$C$2:$C$1048576,0),MATCH(V$6,'Restaurant Base (Hidden)'!$A$1:$Z$1,0)),"")</f>
        <v/>
      </c>
      <c r="W110" s="65" t="str">
        <f>+IFERROR(INDEX('Restaurant Base (Hidden)'!$A$2:$Z$1048576,MATCH($C110,'Restaurant Base (Hidden)'!$C$2:$C$1048576,0),MATCH(W$6,'Restaurant Base (Hidden)'!$A$1:$Z$1,0)),"")</f>
        <v>70,60 %</v>
      </c>
      <c r="X110" s="1">
        <f>+IFERROR(INDEX('Restaurant Base (Hidden)'!$A$2:$Z$1048576,MATCH($C110,'Restaurant Base (Hidden)'!$C$2:$C$1048576,0),MATCH(X$6,'Restaurant Base (Hidden)'!$A$1:$Z$1,0)),"")</f>
        <v>2</v>
      </c>
      <c r="Y110" s="65" t="str">
        <f>+IFERROR(INDEX('Restaurant Base (Hidden)'!$A$2:$Z$1048576,MATCH($C110,'Restaurant Base (Hidden)'!$C$2:$C$1048576,0),MATCH(Y$6,'Restaurant Base (Hidden)'!$A$1:$Z$1,0)),"")</f>
        <v>87,30 %</v>
      </c>
      <c r="Z110" s="106">
        <f>+IFERROR(INDEX('Restaurant Base (Hidden)'!$A$2:$Z$1048576,MATCH($C110,'Restaurant Base (Hidden)'!$C$2:$C$1048576,0),MATCH(Z$6,'Restaurant Base (Hidden)'!$A$1:$Z$1,0)),"")</f>
        <v>3</v>
      </c>
      <c r="AA110" s="65" t="str">
        <f>+IFERROR(INDEX('Restaurant Base (Hidden)'!$A$2:$Z$1048576,MATCH($C110,'Restaurant Base (Hidden)'!$C$2:$C$1048576,0),MATCH(AA$6,'Restaurant Base (Hidden)'!$A$1:$Z$1,0)),"")</f>
        <v>92,80 %</v>
      </c>
      <c r="AB110" s="1">
        <f>+IFERROR(INDEX('Restaurant Base (Hidden)'!$A$2:$Z$1048576,MATCH($C110,'Restaurant Base (Hidden)'!$C$2:$C$1048576,0),MATCH(AB$6,'Restaurant Base (Hidden)'!$A$1:$Z$1,0)),"")</f>
        <v>3</v>
      </c>
      <c r="AC110" s="20" t="str">
        <f>+IFERROR(INDEX('Restaurant Base (Hidden)'!$A$2:$Z$1048576,MATCH($C110,'Restaurant Base (Hidden)'!$C$2:$C$1048576,0),MATCH(AC$6,'Restaurant Base (Hidden)'!$A$1:$Z$1,0)),"")</f>
        <v/>
      </c>
      <c r="AD110" s="65" t="str">
        <f>+IFERROR(INDEX('Restaurant Base (Hidden)'!$A$2:$Z$1048576,MATCH($C110,'Restaurant Base (Hidden)'!$C$2:$C$1048576,0),MATCH(AD$6,'Restaurant Base (Hidden)'!$A$1:$Z$1,0)),"")</f>
        <v>97,30 %</v>
      </c>
      <c r="AE110" s="1">
        <f>+IFERROR(INDEX('Restaurant Base (Hidden)'!$A$2:$Z$1048576,MATCH($C110,'Restaurant Base (Hidden)'!$C$2:$C$1048576,0),MATCH(AE$6,'Restaurant Base (Hidden)'!$A$1:$Z$1,0)),"")</f>
        <v>5</v>
      </c>
      <c r="AF110" s="65" t="str">
        <f>+IFERROR(INDEX('Restaurant Base (Hidden)'!$A$2:$Z$1048576,MATCH($C110,'Restaurant Base (Hidden)'!$C$2:$C$1048576,0),MATCH(AF$6,'Restaurant Base (Hidden)'!$A$1:$Z$1,0)),"")</f>
        <v>56,30 %</v>
      </c>
      <c r="AG110" s="1">
        <f>+IFERROR(INDEX('Restaurant Base (Hidden)'!$A$2:$Z$1048576,MATCH($C110,'Restaurant Base (Hidden)'!$C$2:$C$1048576,0),MATCH(AG$6,'Restaurant Base (Hidden)'!$A$1:$Z$1,0)),"")</f>
        <v>1</v>
      </c>
    </row>
    <row r="111" spans="1:33" x14ac:dyDescent="0.4">
      <c r="A111" s="163" t="str">
        <f>IF('Restaurant Base (Hidden)'!A191=0,"", 'Restaurant Base (Hidden)'!A191)</f>
        <v>Quinn Westbrook</v>
      </c>
      <c r="B111" s="163" t="str">
        <f>IF('Restaurant Base (Hidden)'!B191=0,"", 'Restaurant Base (Hidden)'!B191)</f>
        <v>Rosebridge Hospitality</v>
      </c>
      <c r="C111" s="163" t="str">
        <f>IF('Restaurant Base (Hidden)'!C191=0,"", 'Restaurant Base (Hidden)'!C191)</f>
        <v>Fairview Gate</v>
      </c>
      <c r="D111" s="104">
        <f t="shared" si="1"/>
        <v>102</v>
      </c>
      <c r="E111" s="105">
        <f>+IFERROR(INDEX('Restaurant Base (Hidden)'!$A$2:$Z$1048576,MATCH($C111,'Restaurant Base (Hidden)'!$C$2:$C$1048576,0),MATCH(E$6,'Restaurant Base (Hidden)'!$A$1:$Z$1,0)),"")</f>
        <v>3.3</v>
      </c>
      <c r="F111" s="2" t="str">
        <f>+IFERROR(INDEX('Restaurant Base (Hidden)'!$A$2:$Z$1048576,MATCH($C111,'Restaurant Base (Hidden)'!$C$2:$C$1048576,0),MATCH(F$6,'Restaurant Base (Hidden)'!$A$1:$Z$1,0)),"")</f>
        <v/>
      </c>
      <c r="G111" s="20" t="str">
        <f>+IFERROR(INDEX('Restaurant Base (Hidden)'!$A$2:$Z$1048576,MATCH($C111,'Restaurant Base (Hidden)'!$C$2:$C$1048576,0),MATCH(G$6,'Restaurant Base (Hidden)'!$A$1:$Z$1,0)),"")</f>
        <v>4,320</v>
      </c>
      <c r="H111" s="50">
        <f>+IFERROR(INDEX('Restaurant Base (Hidden)'!$A$2:$Z$1048576,MATCH($C111,'Restaurant Base (Hidden)'!$C$2:$C$1048576,0),MATCH(H$6,'Restaurant Base (Hidden)'!$A$1:$Z$1,0)),"")</f>
        <v>3</v>
      </c>
      <c r="I111" s="20" t="str">
        <f>+IFERROR(INDEX('Restaurant Base (Hidden)'!$A$2:$Z$1048576,MATCH($C111,'Restaurant Base (Hidden)'!$C$2:$C$1048576,0),MATCH(I$6,'Restaurant Base (Hidden)'!$A$1:$Z$1,0)),"")</f>
        <v>97,30 %</v>
      </c>
      <c r="J111" s="49">
        <f>+IFERROR(INDEX('Restaurant Base (Hidden)'!$A$2:$Z$1048576,MATCH($C111,'Restaurant Base (Hidden)'!$C$2:$C$1048576,0),MATCH(J$6,'Restaurant Base (Hidden)'!$A$1:$Z$1,0)),"")</f>
        <v>5</v>
      </c>
      <c r="K111" s="20" t="str">
        <f>+IFERROR(INDEX('Restaurant Base (Hidden)'!$A$2:$Z$1048576,MATCH($C111,'Restaurant Base (Hidden)'!$C$2:$C$1048576,0),MATCH(K$6,'Restaurant Base (Hidden)'!$A$1:$Z$1,0)),"")</f>
        <v>0,076</v>
      </c>
      <c r="L111" s="51">
        <f>+IFERROR(INDEX('Restaurant Base (Hidden)'!$A$2:$Z$1048576,MATCH($C111,'Restaurant Base (Hidden)'!$C$2:$C$1048576,0),MATCH(L$6,'Restaurant Base (Hidden)'!$A$1:$Z$1,0)),"")</f>
        <v>4</v>
      </c>
      <c r="M111" s="2" t="str">
        <f>+IFERROR(INDEX('Restaurant Base (Hidden)'!$A$2:$Z$1048576,MATCH($C111,'Restaurant Base (Hidden)'!$C$2:$C$1048576,0),MATCH(M$6,'Restaurant Base (Hidden)'!$A$1:$Z$1,0)),"")</f>
        <v/>
      </c>
      <c r="N111" s="234" t="str">
        <f>+IFERROR(INDEX('Restaurant Base (Hidden)'!$A$2:$Z$1048576,MATCH($C111,'Restaurant Base (Hidden)'!$C$2:$C$1048576,0),MATCH(N$6,'Restaurant Base (Hidden)'!$A$1:$Z$1,0)),"")</f>
        <v>67,90 %</v>
      </c>
      <c r="O111" s="1">
        <f>+IFERROR(INDEX('Restaurant Base (Hidden)'!$A$2:$Z$1048576,MATCH($C111,'Restaurant Base (Hidden)'!$C$2:$C$1048576,0),MATCH(O$6,'Restaurant Base (Hidden)'!$A$1:$Z$1,0)),"")</f>
        <v>3</v>
      </c>
      <c r="P111" s="2" t="str">
        <f>+IFERROR(INDEX('Restaurant Base (Hidden)'!$A$2:$Z$1048576,MATCH($C111,'Restaurant Base (Hidden)'!$C$2:$C$1048576,0),MATCH(P$6,'Restaurant Base (Hidden)'!$A$1:$Z$1,0)),"")</f>
        <v/>
      </c>
      <c r="Q111" s="234" t="str">
        <f>+IFERROR(INDEX('Restaurant Base (Hidden)'!$A$2:$Z$1048576,MATCH($C111,'Restaurant Base (Hidden)'!$C$2:$C$1048576,0),MATCH(Q$6,'Restaurant Base (Hidden)'!$A$1:$Z$1,0)),"")</f>
        <v>86,20 %</v>
      </c>
      <c r="R111" s="1">
        <f>+IFERROR(INDEX('Restaurant Base (Hidden)'!$A$2:$Z$1048576,MATCH($C111,'Restaurant Base (Hidden)'!$C$2:$C$1048576,0),MATCH(R$6,'Restaurant Base (Hidden)'!$A$1:$Z$1,0)),"")</f>
        <v>5</v>
      </c>
      <c r="S111" s="2" t="str">
        <f>+IFERROR(INDEX('Restaurant Base (Hidden)'!$A$2:$Z$1048576,MATCH($C111,'Restaurant Base (Hidden)'!$C$2:$C$1048576,0),MATCH(S$6,'Restaurant Base (Hidden)'!$A$1:$Z$1,0)),"")</f>
        <v/>
      </c>
      <c r="T111" s="62">
        <f>+IFERROR(INDEX('Restaurant Base (Hidden)'!$A$2:$Z$1048576,MATCH($C111,'Restaurant Base (Hidden)'!$C$2:$C$1048576,0),MATCH(T$6,'Restaurant Base (Hidden)'!$A$1:$Z$1,0)),"")</f>
        <v>63.1</v>
      </c>
      <c r="U111" s="1">
        <f>+IFERROR(INDEX('Restaurant Base (Hidden)'!$A$2:$Z$1048576,MATCH($C111,'Restaurant Base (Hidden)'!$C$2:$C$1048576,0),MATCH(U$6,'Restaurant Base (Hidden)'!$A$1:$Z$1,0)),"")</f>
        <v>3</v>
      </c>
      <c r="V111" s="2" t="str">
        <f>+IFERROR(INDEX('Restaurant Base (Hidden)'!$A$2:$Z$1048576,MATCH($C111,'Restaurant Base (Hidden)'!$C$2:$C$1048576,0),MATCH(V$6,'Restaurant Base (Hidden)'!$A$1:$Z$1,0)),"")</f>
        <v/>
      </c>
      <c r="W111" s="65" t="str">
        <f>+IFERROR(INDEX('Restaurant Base (Hidden)'!$A$2:$Z$1048576,MATCH($C111,'Restaurant Base (Hidden)'!$C$2:$C$1048576,0),MATCH(W$6,'Restaurant Base (Hidden)'!$A$1:$Z$1,0)),"")</f>
        <v>84,10 %</v>
      </c>
      <c r="X111" s="1">
        <f>+IFERROR(INDEX('Restaurant Base (Hidden)'!$A$2:$Z$1048576,MATCH($C111,'Restaurant Base (Hidden)'!$C$2:$C$1048576,0),MATCH(X$6,'Restaurant Base (Hidden)'!$A$1:$Z$1,0)),"")</f>
        <v>3</v>
      </c>
      <c r="Y111" s="65" t="str">
        <f>+IFERROR(INDEX('Restaurant Base (Hidden)'!$A$2:$Z$1048576,MATCH($C111,'Restaurant Base (Hidden)'!$C$2:$C$1048576,0),MATCH(Y$6,'Restaurant Base (Hidden)'!$A$1:$Z$1,0)),"")</f>
        <v>73,60 %</v>
      </c>
      <c r="Z111" s="106">
        <f>+IFERROR(INDEX('Restaurant Base (Hidden)'!$A$2:$Z$1048576,MATCH($C111,'Restaurant Base (Hidden)'!$C$2:$C$1048576,0),MATCH(Z$6,'Restaurant Base (Hidden)'!$A$1:$Z$1,0)),"")</f>
        <v>2</v>
      </c>
      <c r="AA111" s="65" t="str">
        <f>+IFERROR(INDEX('Restaurant Base (Hidden)'!$A$2:$Z$1048576,MATCH($C111,'Restaurant Base (Hidden)'!$C$2:$C$1048576,0),MATCH(AA$6,'Restaurant Base (Hidden)'!$A$1:$Z$1,0)),"")</f>
        <v>57,10 %</v>
      </c>
      <c r="AB111" s="1">
        <f>+IFERROR(INDEX('Restaurant Base (Hidden)'!$A$2:$Z$1048576,MATCH($C111,'Restaurant Base (Hidden)'!$C$2:$C$1048576,0),MATCH(AB$6,'Restaurant Base (Hidden)'!$A$1:$Z$1,0)),"")</f>
        <v>1</v>
      </c>
      <c r="AC111" s="20" t="str">
        <f>+IFERROR(INDEX('Restaurant Base (Hidden)'!$A$2:$Z$1048576,MATCH($C111,'Restaurant Base (Hidden)'!$C$2:$C$1048576,0),MATCH(AC$6,'Restaurant Base (Hidden)'!$A$1:$Z$1,0)),"")</f>
        <v/>
      </c>
      <c r="AD111" s="65" t="str">
        <f>+IFERROR(INDEX('Restaurant Base (Hidden)'!$A$2:$Z$1048576,MATCH($C111,'Restaurant Base (Hidden)'!$C$2:$C$1048576,0),MATCH(AD$6,'Restaurant Base (Hidden)'!$A$1:$Z$1,0)),"")</f>
        <v>91,40 %</v>
      </c>
      <c r="AE111" s="1">
        <f>+IFERROR(INDEX('Restaurant Base (Hidden)'!$A$2:$Z$1048576,MATCH($C111,'Restaurant Base (Hidden)'!$C$2:$C$1048576,0),MATCH(AE$6,'Restaurant Base (Hidden)'!$A$1:$Z$1,0)),"")</f>
        <v>4</v>
      </c>
      <c r="AF111" s="65" t="str">
        <f>+IFERROR(INDEX('Restaurant Base (Hidden)'!$A$2:$Z$1048576,MATCH($C111,'Restaurant Base (Hidden)'!$C$2:$C$1048576,0),MATCH(AF$6,'Restaurant Base (Hidden)'!$A$1:$Z$1,0)),"")</f>
        <v>63,90 %</v>
      </c>
      <c r="AG111" s="1">
        <f>+IFERROR(INDEX('Restaurant Base (Hidden)'!$A$2:$Z$1048576,MATCH($C111,'Restaurant Base (Hidden)'!$C$2:$C$1048576,0),MATCH(AG$6,'Restaurant Base (Hidden)'!$A$1:$Z$1,0)),"")</f>
        <v>1</v>
      </c>
    </row>
    <row r="112" spans="1:33" x14ac:dyDescent="0.4">
      <c r="A112" s="163" t="str">
        <f>IF('Restaurant Base (Hidden)'!A201=0,"", 'Restaurant Base (Hidden)'!A201)</f>
        <v>Marlowe Ellington</v>
      </c>
      <c r="B112" s="163" t="str">
        <f>IF('Restaurant Base (Hidden)'!B201=0,"", 'Restaurant Base (Hidden)'!B201)</f>
        <v>Sunridge Food Partners</v>
      </c>
      <c r="C112" s="163" t="str">
        <f>IF('Restaurant Base (Hidden)'!C201=0,"", 'Restaurant Base (Hidden)'!C201)</f>
        <v>Haven Square</v>
      </c>
      <c r="D112" s="104">
        <f t="shared" si="1"/>
        <v>102</v>
      </c>
      <c r="E112" s="105">
        <f>+IFERROR(INDEX('Restaurant Base (Hidden)'!$A$2:$Z$1048576,MATCH($C112,'Restaurant Base (Hidden)'!$C$2:$C$1048576,0),MATCH(E$6,'Restaurant Base (Hidden)'!$A$1:$Z$1,0)),"")</f>
        <v>3.3</v>
      </c>
      <c r="F112" s="2" t="str">
        <f>+IFERROR(INDEX('Restaurant Base (Hidden)'!$A$2:$Z$1048576,MATCH($C112,'Restaurant Base (Hidden)'!$C$2:$C$1048576,0),MATCH(F$6,'Restaurant Base (Hidden)'!$A$1:$Z$1,0)),"")</f>
        <v/>
      </c>
      <c r="G112" s="20" t="str">
        <f>+IFERROR(INDEX('Restaurant Base (Hidden)'!$A$2:$Z$1048576,MATCH($C112,'Restaurant Base (Hidden)'!$C$2:$C$1048576,0),MATCH(G$6,'Restaurant Base (Hidden)'!$A$1:$Z$1,0)),"")</f>
        <v>4,025</v>
      </c>
      <c r="H112" s="50">
        <f>+IFERROR(INDEX('Restaurant Base (Hidden)'!$A$2:$Z$1048576,MATCH($C112,'Restaurant Base (Hidden)'!$C$2:$C$1048576,0),MATCH(H$6,'Restaurant Base (Hidden)'!$A$1:$Z$1,0)),"")</f>
        <v>1</v>
      </c>
      <c r="I112" s="20" t="str">
        <f>+IFERROR(INDEX('Restaurant Base (Hidden)'!$A$2:$Z$1048576,MATCH($C112,'Restaurant Base (Hidden)'!$C$2:$C$1048576,0),MATCH(I$6,'Restaurant Base (Hidden)'!$A$1:$Z$1,0)),"")</f>
        <v>99,40 %</v>
      </c>
      <c r="J112" s="49">
        <f>+IFERROR(INDEX('Restaurant Base (Hidden)'!$A$2:$Z$1048576,MATCH($C112,'Restaurant Base (Hidden)'!$C$2:$C$1048576,0),MATCH(J$6,'Restaurant Base (Hidden)'!$A$1:$Z$1,0)),"")</f>
        <v>5</v>
      </c>
      <c r="K112" s="20" t="str">
        <f>+IFERROR(INDEX('Restaurant Base (Hidden)'!$A$2:$Z$1048576,MATCH($C112,'Restaurant Base (Hidden)'!$C$2:$C$1048576,0),MATCH(K$6,'Restaurant Base (Hidden)'!$A$1:$Z$1,0)),"")</f>
        <v>0,200</v>
      </c>
      <c r="L112" s="51">
        <f>+IFERROR(INDEX('Restaurant Base (Hidden)'!$A$2:$Z$1048576,MATCH($C112,'Restaurant Base (Hidden)'!$C$2:$C$1048576,0),MATCH(L$6,'Restaurant Base (Hidden)'!$A$1:$Z$1,0)),"")</f>
        <v>1</v>
      </c>
      <c r="M112" s="2" t="str">
        <f>+IFERROR(INDEX('Restaurant Base (Hidden)'!$A$2:$Z$1048576,MATCH($C112,'Restaurant Base (Hidden)'!$C$2:$C$1048576,0),MATCH(M$6,'Restaurant Base (Hidden)'!$A$1:$Z$1,0)),"")</f>
        <v/>
      </c>
      <c r="N112" s="234" t="str">
        <f>+IFERROR(INDEX('Restaurant Base (Hidden)'!$A$2:$Z$1048576,MATCH($C112,'Restaurant Base (Hidden)'!$C$2:$C$1048576,0),MATCH(N$6,'Restaurant Base (Hidden)'!$A$1:$Z$1,0)),"")</f>
        <v>85,10 %</v>
      </c>
      <c r="O112" s="1">
        <f>+IFERROR(INDEX('Restaurant Base (Hidden)'!$A$2:$Z$1048576,MATCH($C112,'Restaurant Base (Hidden)'!$C$2:$C$1048576,0),MATCH(O$6,'Restaurant Base (Hidden)'!$A$1:$Z$1,0)),"")</f>
        <v>5</v>
      </c>
      <c r="P112" s="2" t="str">
        <f>+IFERROR(INDEX('Restaurant Base (Hidden)'!$A$2:$Z$1048576,MATCH($C112,'Restaurant Base (Hidden)'!$C$2:$C$1048576,0),MATCH(P$6,'Restaurant Base (Hidden)'!$A$1:$Z$1,0)),"")</f>
        <v/>
      </c>
      <c r="Q112" s="234" t="str">
        <f>+IFERROR(INDEX('Restaurant Base (Hidden)'!$A$2:$Z$1048576,MATCH($C112,'Restaurant Base (Hidden)'!$C$2:$C$1048576,0),MATCH(Q$6,'Restaurant Base (Hidden)'!$A$1:$Z$1,0)),"")</f>
        <v>89,00 %</v>
      </c>
      <c r="R112" s="1">
        <f>+IFERROR(INDEX('Restaurant Base (Hidden)'!$A$2:$Z$1048576,MATCH($C112,'Restaurant Base (Hidden)'!$C$2:$C$1048576,0),MATCH(R$6,'Restaurant Base (Hidden)'!$A$1:$Z$1,0)),"")</f>
        <v>5</v>
      </c>
      <c r="S112" s="2" t="str">
        <f>+IFERROR(INDEX('Restaurant Base (Hidden)'!$A$2:$Z$1048576,MATCH($C112,'Restaurant Base (Hidden)'!$C$2:$C$1048576,0),MATCH(S$6,'Restaurant Base (Hidden)'!$A$1:$Z$1,0)),"")</f>
        <v/>
      </c>
      <c r="T112" s="62">
        <f>+IFERROR(INDEX('Restaurant Base (Hidden)'!$A$2:$Z$1048576,MATCH($C112,'Restaurant Base (Hidden)'!$C$2:$C$1048576,0),MATCH(T$6,'Restaurant Base (Hidden)'!$A$1:$Z$1,0)),"")</f>
        <v>75.599999999999994</v>
      </c>
      <c r="U112" s="1">
        <f>+IFERROR(INDEX('Restaurant Base (Hidden)'!$A$2:$Z$1048576,MATCH($C112,'Restaurant Base (Hidden)'!$C$2:$C$1048576,0),MATCH(U$6,'Restaurant Base (Hidden)'!$A$1:$Z$1,0)),"")</f>
        <v>5</v>
      </c>
      <c r="V112" s="2" t="str">
        <f>+IFERROR(INDEX('Restaurant Base (Hidden)'!$A$2:$Z$1048576,MATCH($C112,'Restaurant Base (Hidden)'!$C$2:$C$1048576,0),MATCH(V$6,'Restaurant Base (Hidden)'!$A$1:$Z$1,0)),"")</f>
        <v/>
      </c>
      <c r="W112" s="65" t="str">
        <f>+IFERROR(INDEX('Restaurant Base (Hidden)'!$A$2:$Z$1048576,MATCH($C112,'Restaurant Base (Hidden)'!$C$2:$C$1048576,0),MATCH(W$6,'Restaurant Base (Hidden)'!$A$1:$Z$1,0)),"")</f>
        <v>65,10 %</v>
      </c>
      <c r="X112" s="1">
        <f>+IFERROR(INDEX('Restaurant Base (Hidden)'!$A$2:$Z$1048576,MATCH($C112,'Restaurant Base (Hidden)'!$C$2:$C$1048576,0),MATCH(X$6,'Restaurant Base (Hidden)'!$A$1:$Z$1,0)),"")</f>
        <v>2</v>
      </c>
      <c r="Y112" s="65" t="str">
        <f>+IFERROR(INDEX('Restaurant Base (Hidden)'!$A$2:$Z$1048576,MATCH($C112,'Restaurant Base (Hidden)'!$C$2:$C$1048576,0),MATCH(Y$6,'Restaurant Base (Hidden)'!$A$1:$Z$1,0)),"")</f>
        <v>65,20 %</v>
      </c>
      <c r="Z112" s="106">
        <f>+IFERROR(INDEX('Restaurant Base (Hidden)'!$A$2:$Z$1048576,MATCH($C112,'Restaurant Base (Hidden)'!$C$2:$C$1048576,0),MATCH(Z$6,'Restaurant Base (Hidden)'!$A$1:$Z$1,0)),"")</f>
        <v>2</v>
      </c>
      <c r="AA112" s="65" t="str">
        <f>+IFERROR(INDEX('Restaurant Base (Hidden)'!$A$2:$Z$1048576,MATCH($C112,'Restaurant Base (Hidden)'!$C$2:$C$1048576,0),MATCH(AA$6,'Restaurant Base (Hidden)'!$A$1:$Z$1,0)),"")</f>
        <v>75,60 %</v>
      </c>
      <c r="AB112" s="1">
        <f>+IFERROR(INDEX('Restaurant Base (Hidden)'!$A$2:$Z$1048576,MATCH($C112,'Restaurant Base (Hidden)'!$C$2:$C$1048576,0),MATCH(AB$6,'Restaurant Base (Hidden)'!$A$1:$Z$1,0)),"")</f>
        <v>2</v>
      </c>
      <c r="AC112" s="20" t="str">
        <f>+IFERROR(INDEX('Restaurant Base (Hidden)'!$A$2:$Z$1048576,MATCH($C112,'Restaurant Base (Hidden)'!$C$2:$C$1048576,0),MATCH(AC$6,'Restaurant Base (Hidden)'!$A$1:$Z$1,0)),"")</f>
        <v/>
      </c>
      <c r="AD112" s="65" t="str">
        <f>+IFERROR(INDEX('Restaurant Base (Hidden)'!$A$2:$Z$1048576,MATCH($C112,'Restaurant Base (Hidden)'!$C$2:$C$1048576,0),MATCH(AD$6,'Restaurant Base (Hidden)'!$A$1:$Z$1,0)),"")</f>
        <v>67,90 %</v>
      </c>
      <c r="AE112" s="1">
        <f>+IFERROR(INDEX('Restaurant Base (Hidden)'!$A$2:$Z$1048576,MATCH($C112,'Restaurant Base (Hidden)'!$C$2:$C$1048576,0),MATCH(AE$6,'Restaurant Base (Hidden)'!$A$1:$Z$1,0)),"")</f>
        <v>1</v>
      </c>
      <c r="AF112" s="65" t="str">
        <f>+IFERROR(INDEX('Restaurant Base (Hidden)'!$A$2:$Z$1048576,MATCH($C112,'Restaurant Base (Hidden)'!$C$2:$C$1048576,0),MATCH(AF$6,'Restaurant Base (Hidden)'!$A$1:$Z$1,0)),"")</f>
        <v>80,00 %</v>
      </c>
      <c r="AG112" s="1">
        <f>+IFERROR(INDEX('Restaurant Base (Hidden)'!$A$2:$Z$1048576,MATCH($C112,'Restaurant Base (Hidden)'!$C$2:$C$1048576,0),MATCH(AG$6,'Restaurant Base (Hidden)'!$A$1:$Z$1,0)),"")</f>
        <v>2</v>
      </c>
    </row>
    <row r="113" spans="1:33" x14ac:dyDescent="0.4">
      <c r="A113" s="163" t="str">
        <f>IF('Restaurant Base (Hidden)'!A221=0,"", 'Restaurant Base (Hidden)'!A221)</f>
        <v>Reese Whitmore</v>
      </c>
      <c r="B113" s="163" t="str">
        <f>IF('Restaurant Base (Hidden)'!B221=0,"", 'Restaurant Base (Hidden)'!B221)</f>
        <v>Parkstone Restaurant Group</v>
      </c>
      <c r="C113" s="163" t="str">
        <f>IF('Restaurant Base (Hidden)'!C221=0,"", 'Restaurant Base (Hidden)'!C221)</f>
        <v>Highland Corner</v>
      </c>
      <c r="D113" s="104">
        <f t="shared" si="1"/>
        <v>102</v>
      </c>
      <c r="E113" s="105">
        <f>+IFERROR(INDEX('Restaurant Base (Hidden)'!$A$2:$Z$1048576,MATCH($C113,'Restaurant Base (Hidden)'!$C$2:$C$1048576,0),MATCH(E$6,'Restaurant Base (Hidden)'!$A$1:$Z$1,0)),"")</f>
        <v>3.3</v>
      </c>
      <c r="F113" s="2" t="str">
        <f>+IFERROR(INDEX('Restaurant Base (Hidden)'!$A$2:$Z$1048576,MATCH($C113,'Restaurant Base (Hidden)'!$C$2:$C$1048576,0),MATCH(F$6,'Restaurant Base (Hidden)'!$A$1:$Z$1,0)),"")</f>
        <v/>
      </c>
      <c r="G113" s="20" t="str">
        <f>+IFERROR(INDEX('Restaurant Base (Hidden)'!$A$2:$Z$1048576,MATCH($C113,'Restaurant Base (Hidden)'!$C$2:$C$1048576,0),MATCH(G$6,'Restaurant Base (Hidden)'!$A$1:$Z$1,0)),"")</f>
        <v>4,396</v>
      </c>
      <c r="H113" s="50">
        <f>+IFERROR(INDEX('Restaurant Base (Hidden)'!$A$2:$Z$1048576,MATCH($C113,'Restaurant Base (Hidden)'!$C$2:$C$1048576,0),MATCH(H$6,'Restaurant Base (Hidden)'!$A$1:$Z$1,0)),"")</f>
        <v>4</v>
      </c>
      <c r="I113" s="20" t="str">
        <f>+IFERROR(INDEX('Restaurant Base (Hidden)'!$A$2:$Z$1048576,MATCH($C113,'Restaurant Base (Hidden)'!$C$2:$C$1048576,0),MATCH(I$6,'Restaurant Base (Hidden)'!$A$1:$Z$1,0)),"")</f>
        <v>91,70 %</v>
      </c>
      <c r="J113" s="49">
        <f>+IFERROR(INDEX('Restaurant Base (Hidden)'!$A$2:$Z$1048576,MATCH($C113,'Restaurant Base (Hidden)'!$C$2:$C$1048576,0),MATCH(J$6,'Restaurant Base (Hidden)'!$A$1:$Z$1,0)),"")</f>
        <v>4</v>
      </c>
      <c r="K113" s="20" t="str">
        <f>+IFERROR(INDEX('Restaurant Base (Hidden)'!$A$2:$Z$1048576,MATCH($C113,'Restaurant Base (Hidden)'!$C$2:$C$1048576,0),MATCH(K$6,'Restaurant Base (Hidden)'!$A$1:$Z$1,0)),"")</f>
        <v>0,056</v>
      </c>
      <c r="L113" s="51">
        <f>+IFERROR(INDEX('Restaurant Base (Hidden)'!$A$2:$Z$1048576,MATCH($C113,'Restaurant Base (Hidden)'!$C$2:$C$1048576,0),MATCH(L$6,'Restaurant Base (Hidden)'!$A$1:$Z$1,0)),"")</f>
        <v>5</v>
      </c>
      <c r="M113" s="2" t="str">
        <f>+IFERROR(INDEX('Restaurant Base (Hidden)'!$A$2:$Z$1048576,MATCH($C113,'Restaurant Base (Hidden)'!$C$2:$C$1048576,0),MATCH(M$6,'Restaurant Base (Hidden)'!$A$1:$Z$1,0)),"")</f>
        <v/>
      </c>
      <c r="N113" s="234" t="str">
        <f>+IFERROR(INDEX('Restaurant Base (Hidden)'!$A$2:$Z$1048576,MATCH($C113,'Restaurant Base (Hidden)'!$C$2:$C$1048576,0),MATCH(N$6,'Restaurant Base (Hidden)'!$A$1:$Z$1,0)),"")</f>
        <v>65,70 %</v>
      </c>
      <c r="O113" s="1">
        <f>+IFERROR(INDEX('Restaurant Base (Hidden)'!$A$2:$Z$1048576,MATCH($C113,'Restaurant Base (Hidden)'!$C$2:$C$1048576,0),MATCH(O$6,'Restaurant Base (Hidden)'!$A$1:$Z$1,0)),"")</f>
        <v>3</v>
      </c>
      <c r="P113" s="2" t="str">
        <f>+IFERROR(INDEX('Restaurant Base (Hidden)'!$A$2:$Z$1048576,MATCH($C113,'Restaurant Base (Hidden)'!$C$2:$C$1048576,0),MATCH(P$6,'Restaurant Base (Hidden)'!$A$1:$Z$1,0)),"")</f>
        <v/>
      </c>
      <c r="Q113" s="234" t="str">
        <f>+IFERROR(INDEX('Restaurant Base (Hidden)'!$A$2:$Z$1048576,MATCH($C113,'Restaurant Base (Hidden)'!$C$2:$C$1048576,0),MATCH(Q$6,'Restaurant Base (Hidden)'!$A$1:$Z$1,0)),"")</f>
        <v>95,30 %</v>
      </c>
      <c r="R113" s="1">
        <f>+IFERROR(INDEX('Restaurant Base (Hidden)'!$A$2:$Z$1048576,MATCH($C113,'Restaurant Base (Hidden)'!$C$2:$C$1048576,0),MATCH(R$6,'Restaurant Base (Hidden)'!$A$1:$Z$1,0)),"")</f>
        <v>5</v>
      </c>
      <c r="S113" s="2" t="str">
        <f>+IFERROR(INDEX('Restaurant Base (Hidden)'!$A$2:$Z$1048576,MATCH($C113,'Restaurant Base (Hidden)'!$C$2:$C$1048576,0),MATCH(S$6,'Restaurant Base (Hidden)'!$A$1:$Z$1,0)),"")</f>
        <v/>
      </c>
      <c r="T113" s="62">
        <f>+IFERROR(INDEX('Restaurant Base (Hidden)'!$A$2:$Z$1048576,MATCH($C113,'Restaurant Base (Hidden)'!$C$2:$C$1048576,0),MATCH(T$6,'Restaurant Base (Hidden)'!$A$1:$Z$1,0)),"")</f>
        <v>53.5</v>
      </c>
      <c r="U113" s="1">
        <f>+IFERROR(INDEX('Restaurant Base (Hidden)'!$A$2:$Z$1048576,MATCH($C113,'Restaurant Base (Hidden)'!$C$2:$C$1048576,0),MATCH(U$6,'Restaurant Base (Hidden)'!$A$1:$Z$1,0)),"")</f>
        <v>1</v>
      </c>
      <c r="V113" s="2" t="str">
        <f>+IFERROR(INDEX('Restaurant Base (Hidden)'!$A$2:$Z$1048576,MATCH($C113,'Restaurant Base (Hidden)'!$C$2:$C$1048576,0),MATCH(V$6,'Restaurant Base (Hidden)'!$A$1:$Z$1,0)),"")</f>
        <v/>
      </c>
      <c r="W113" s="65" t="str">
        <f>+IFERROR(INDEX('Restaurant Base (Hidden)'!$A$2:$Z$1048576,MATCH($C113,'Restaurant Base (Hidden)'!$C$2:$C$1048576,0),MATCH(W$6,'Restaurant Base (Hidden)'!$A$1:$Z$1,0)),"")</f>
        <v>82,30 %</v>
      </c>
      <c r="X113" s="1">
        <f>+IFERROR(INDEX('Restaurant Base (Hidden)'!$A$2:$Z$1048576,MATCH($C113,'Restaurant Base (Hidden)'!$C$2:$C$1048576,0),MATCH(X$6,'Restaurant Base (Hidden)'!$A$1:$Z$1,0)),"")</f>
        <v>3</v>
      </c>
      <c r="Y113" s="65" t="str">
        <f>+IFERROR(INDEX('Restaurant Base (Hidden)'!$A$2:$Z$1048576,MATCH($C113,'Restaurant Base (Hidden)'!$C$2:$C$1048576,0),MATCH(Y$6,'Restaurant Base (Hidden)'!$A$1:$Z$1,0)),"")</f>
        <v>69,80 %</v>
      </c>
      <c r="Z113" s="106">
        <f>+IFERROR(INDEX('Restaurant Base (Hidden)'!$A$2:$Z$1048576,MATCH($C113,'Restaurant Base (Hidden)'!$C$2:$C$1048576,0),MATCH(Z$6,'Restaurant Base (Hidden)'!$A$1:$Z$1,0)),"")</f>
        <v>2</v>
      </c>
      <c r="AA113" s="65" t="str">
        <f>+IFERROR(INDEX('Restaurant Base (Hidden)'!$A$2:$Z$1048576,MATCH($C113,'Restaurant Base (Hidden)'!$C$2:$C$1048576,0),MATCH(AA$6,'Restaurant Base (Hidden)'!$A$1:$Z$1,0)),"")</f>
        <v>96,00 %</v>
      </c>
      <c r="AB113" s="1">
        <f>+IFERROR(INDEX('Restaurant Base (Hidden)'!$A$2:$Z$1048576,MATCH($C113,'Restaurant Base (Hidden)'!$C$2:$C$1048576,0),MATCH(AB$6,'Restaurant Base (Hidden)'!$A$1:$Z$1,0)),"")</f>
        <v>4</v>
      </c>
      <c r="AC113" s="20" t="str">
        <f>+IFERROR(INDEX('Restaurant Base (Hidden)'!$A$2:$Z$1048576,MATCH($C113,'Restaurant Base (Hidden)'!$C$2:$C$1048576,0),MATCH(AC$6,'Restaurant Base (Hidden)'!$A$1:$Z$1,0)),"")</f>
        <v/>
      </c>
      <c r="AD113" s="65" t="str">
        <f>+IFERROR(INDEX('Restaurant Base (Hidden)'!$A$2:$Z$1048576,MATCH($C113,'Restaurant Base (Hidden)'!$C$2:$C$1048576,0),MATCH(AD$6,'Restaurant Base (Hidden)'!$A$1:$Z$1,0)),"")</f>
        <v>80,80 %</v>
      </c>
      <c r="AE113" s="1">
        <f>+IFERROR(INDEX('Restaurant Base (Hidden)'!$A$2:$Z$1048576,MATCH($C113,'Restaurant Base (Hidden)'!$C$2:$C$1048576,0),MATCH(AE$6,'Restaurant Base (Hidden)'!$A$1:$Z$1,0)),"")</f>
        <v>2</v>
      </c>
      <c r="AF113" s="65" t="str">
        <f>+IFERROR(INDEX('Restaurant Base (Hidden)'!$A$2:$Z$1048576,MATCH($C113,'Restaurant Base (Hidden)'!$C$2:$C$1048576,0),MATCH(AF$6,'Restaurant Base (Hidden)'!$A$1:$Z$1,0)),"")</f>
        <v>90,70 %</v>
      </c>
      <c r="AG113" s="1">
        <f>+IFERROR(INDEX('Restaurant Base (Hidden)'!$A$2:$Z$1048576,MATCH($C113,'Restaurant Base (Hidden)'!$C$2:$C$1048576,0),MATCH(AG$6,'Restaurant Base (Hidden)'!$A$1:$Z$1,0)),"")</f>
        <v>3</v>
      </c>
    </row>
    <row r="114" spans="1:33" x14ac:dyDescent="0.4">
      <c r="A114" s="163" t="str">
        <f>IF('Restaurant Base (Hidden)'!A100=0,"", 'Restaurant Base (Hidden)'!A100)</f>
        <v>Kendall Prescott</v>
      </c>
      <c r="B114" s="163" t="str">
        <f>IF('Restaurant Base (Hidden)'!B100=0,"", 'Restaurant Base (Hidden)'!B100)</f>
        <v>Willowcrest Dining</v>
      </c>
      <c r="C114" s="163" t="str">
        <f>IF('Restaurant Base (Hidden)'!C100=0,"", 'Restaurant Base (Hidden)'!C100)</f>
        <v>Bluebell Ridge</v>
      </c>
      <c r="D114" s="104">
        <f t="shared" si="1"/>
        <v>108</v>
      </c>
      <c r="E114" s="105">
        <f>+IFERROR(INDEX('Restaurant Base (Hidden)'!$A$2:$Z$1048576,MATCH($C114,'Restaurant Base (Hidden)'!$C$2:$C$1048576,0),MATCH(E$6,'Restaurant Base (Hidden)'!$A$1:$Z$1,0)),"")</f>
        <v>3.29</v>
      </c>
      <c r="F114" s="2" t="str">
        <f>+IFERROR(INDEX('Restaurant Base (Hidden)'!$A$2:$Z$1048576,MATCH($C114,'Restaurant Base (Hidden)'!$C$2:$C$1048576,0),MATCH(F$6,'Restaurant Base (Hidden)'!$A$1:$Z$1,0)),"")</f>
        <v/>
      </c>
      <c r="G114" s="20" t="str">
        <f>+IFERROR(INDEX('Restaurant Base (Hidden)'!$A$2:$Z$1048576,MATCH($C114,'Restaurant Base (Hidden)'!$C$2:$C$1048576,0),MATCH(G$6,'Restaurant Base (Hidden)'!$A$1:$Z$1,0)),"")</f>
        <v>4,014</v>
      </c>
      <c r="H114" s="50">
        <f>+IFERROR(INDEX('Restaurant Base (Hidden)'!$A$2:$Z$1048576,MATCH($C114,'Restaurant Base (Hidden)'!$C$2:$C$1048576,0),MATCH(H$6,'Restaurant Base (Hidden)'!$A$1:$Z$1,0)),"")</f>
        <v>1</v>
      </c>
      <c r="I114" s="20" t="str">
        <f>+IFERROR(INDEX('Restaurant Base (Hidden)'!$A$2:$Z$1048576,MATCH($C114,'Restaurant Base (Hidden)'!$C$2:$C$1048576,0),MATCH(I$6,'Restaurant Base (Hidden)'!$A$1:$Z$1,0)),"")</f>
        <v>73,00 %</v>
      </c>
      <c r="J114" s="49">
        <f>+IFERROR(INDEX('Restaurant Base (Hidden)'!$A$2:$Z$1048576,MATCH($C114,'Restaurant Base (Hidden)'!$C$2:$C$1048576,0),MATCH(J$6,'Restaurant Base (Hidden)'!$A$1:$Z$1,0)),"")</f>
        <v>1</v>
      </c>
      <c r="K114" s="20" t="str">
        <f>+IFERROR(INDEX('Restaurant Base (Hidden)'!$A$2:$Z$1048576,MATCH($C114,'Restaurant Base (Hidden)'!$C$2:$C$1048576,0),MATCH(K$6,'Restaurant Base (Hidden)'!$A$1:$Z$1,0)),"")</f>
        <v>0,192</v>
      </c>
      <c r="L114" s="51">
        <f>+IFERROR(INDEX('Restaurant Base (Hidden)'!$A$2:$Z$1048576,MATCH($C114,'Restaurant Base (Hidden)'!$C$2:$C$1048576,0),MATCH(L$6,'Restaurant Base (Hidden)'!$A$1:$Z$1,0)),"")</f>
        <v>1</v>
      </c>
      <c r="M114" s="2" t="str">
        <f>+IFERROR(INDEX('Restaurant Base (Hidden)'!$A$2:$Z$1048576,MATCH($C114,'Restaurant Base (Hidden)'!$C$2:$C$1048576,0),MATCH(M$6,'Restaurant Base (Hidden)'!$A$1:$Z$1,0)),"")</f>
        <v/>
      </c>
      <c r="N114" s="234" t="str">
        <f>+IFERROR(INDEX('Restaurant Base (Hidden)'!$A$2:$Z$1048576,MATCH($C114,'Restaurant Base (Hidden)'!$C$2:$C$1048576,0),MATCH(N$6,'Restaurant Base (Hidden)'!$A$1:$Z$1,0)),"")</f>
        <v>70,00 %</v>
      </c>
      <c r="O114" s="1">
        <f>+IFERROR(INDEX('Restaurant Base (Hidden)'!$A$2:$Z$1048576,MATCH($C114,'Restaurant Base (Hidden)'!$C$2:$C$1048576,0),MATCH(O$6,'Restaurant Base (Hidden)'!$A$1:$Z$1,0)),"")</f>
        <v>4</v>
      </c>
      <c r="P114" s="2" t="str">
        <f>+IFERROR(INDEX('Restaurant Base (Hidden)'!$A$2:$Z$1048576,MATCH($C114,'Restaurant Base (Hidden)'!$C$2:$C$1048576,0),MATCH(P$6,'Restaurant Base (Hidden)'!$A$1:$Z$1,0)),"")</f>
        <v/>
      </c>
      <c r="Q114" s="234" t="str">
        <f>+IFERROR(INDEX('Restaurant Base (Hidden)'!$A$2:$Z$1048576,MATCH($C114,'Restaurant Base (Hidden)'!$C$2:$C$1048576,0),MATCH(Q$6,'Restaurant Base (Hidden)'!$A$1:$Z$1,0)),"")</f>
        <v>74,20 %</v>
      </c>
      <c r="R114" s="1">
        <f>+IFERROR(INDEX('Restaurant Base (Hidden)'!$A$2:$Z$1048576,MATCH($C114,'Restaurant Base (Hidden)'!$C$2:$C$1048576,0),MATCH(R$6,'Restaurant Base (Hidden)'!$A$1:$Z$1,0)),"")</f>
        <v>5</v>
      </c>
      <c r="S114" s="2" t="str">
        <f>+IFERROR(INDEX('Restaurant Base (Hidden)'!$A$2:$Z$1048576,MATCH($C114,'Restaurant Base (Hidden)'!$C$2:$C$1048576,0),MATCH(S$6,'Restaurant Base (Hidden)'!$A$1:$Z$1,0)),"")</f>
        <v/>
      </c>
      <c r="T114" s="62">
        <f>+IFERROR(INDEX('Restaurant Base (Hidden)'!$A$2:$Z$1048576,MATCH($C114,'Restaurant Base (Hidden)'!$C$2:$C$1048576,0),MATCH(T$6,'Restaurant Base (Hidden)'!$A$1:$Z$1,0)),"")</f>
        <v>70.5</v>
      </c>
      <c r="U114" s="1">
        <f>+IFERROR(INDEX('Restaurant Base (Hidden)'!$A$2:$Z$1048576,MATCH($C114,'Restaurant Base (Hidden)'!$C$2:$C$1048576,0),MATCH(U$6,'Restaurant Base (Hidden)'!$A$1:$Z$1,0)),"")</f>
        <v>5</v>
      </c>
      <c r="V114" s="2" t="str">
        <f>+IFERROR(INDEX('Restaurant Base (Hidden)'!$A$2:$Z$1048576,MATCH($C114,'Restaurant Base (Hidden)'!$C$2:$C$1048576,0),MATCH(V$6,'Restaurant Base (Hidden)'!$A$1:$Z$1,0)),"")</f>
        <v/>
      </c>
      <c r="W114" s="65" t="str">
        <f>+IFERROR(INDEX('Restaurant Base (Hidden)'!$A$2:$Z$1048576,MATCH($C114,'Restaurant Base (Hidden)'!$C$2:$C$1048576,0),MATCH(W$6,'Restaurant Base (Hidden)'!$A$1:$Z$1,0)),"")</f>
        <v>82,00 %</v>
      </c>
      <c r="X114" s="1">
        <f>+IFERROR(INDEX('Restaurant Base (Hidden)'!$A$2:$Z$1048576,MATCH($C114,'Restaurant Base (Hidden)'!$C$2:$C$1048576,0),MATCH(X$6,'Restaurant Base (Hidden)'!$A$1:$Z$1,0)),"")</f>
        <v>3</v>
      </c>
      <c r="Y114" s="65" t="str">
        <f>+IFERROR(INDEX('Restaurant Base (Hidden)'!$A$2:$Z$1048576,MATCH($C114,'Restaurant Base (Hidden)'!$C$2:$C$1048576,0),MATCH(Y$6,'Restaurant Base (Hidden)'!$A$1:$Z$1,0)),"")</f>
        <v>66,20 %</v>
      </c>
      <c r="Z114" s="106">
        <f>+IFERROR(INDEX('Restaurant Base (Hidden)'!$A$2:$Z$1048576,MATCH($C114,'Restaurant Base (Hidden)'!$C$2:$C$1048576,0),MATCH(Z$6,'Restaurant Base (Hidden)'!$A$1:$Z$1,0)),"")</f>
        <v>2</v>
      </c>
      <c r="AA114" s="65" t="str">
        <f>+IFERROR(INDEX('Restaurant Base (Hidden)'!$A$2:$Z$1048576,MATCH($C114,'Restaurant Base (Hidden)'!$C$2:$C$1048576,0),MATCH(AA$6,'Restaurant Base (Hidden)'!$A$1:$Z$1,0)),"")</f>
        <v>74,50 %</v>
      </c>
      <c r="AB114" s="1">
        <f>+IFERROR(INDEX('Restaurant Base (Hidden)'!$A$2:$Z$1048576,MATCH($C114,'Restaurant Base (Hidden)'!$C$2:$C$1048576,0),MATCH(AB$6,'Restaurant Base (Hidden)'!$A$1:$Z$1,0)),"")</f>
        <v>2</v>
      </c>
      <c r="AC114" s="20" t="str">
        <f>+IFERROR(INDEX('Restaurant Base (Hidden)'!$A$2:$Z$1048576,MATCH($C114,'Restaurant Base (Hidden)'!$C$2:$C$1048576,0),MATCH(AC$6,'Restaurant Base (Hidden)'!$A$1:$Z$1,0)),"")</f>
        <v/>
      </c>
      <c r="AD114" s="65" t="str">
        <f>+IFERROR(INDEX('Restaurant Base (Hidden)'!$A$2:$Z$1048576,MATCH($C114,'Restaurant Base (Hidden)'!$C$2:$C$1048576,0),MATCH(AD$6,'Restaurant Base (Hidden)'!$A$1:$Z$1,0)),"")</f>
        <v>96,30 %</v>
      </c>
      <c r="AE114" s="1">
        <f>+IFERROR(INDEX('Restaurant Base (Hidden)'!$A$2:$Z$1048576,MATCH($C114,'Restaurant Base (Hidden)'!$C$2:$C$1048576,0),MATCH(AE$6,'Restaurant Base (Hidden)'!$A$1:$Z$1,0)),"")</f>
        <v>5</v>
      </c>
      <c r="AF114" s="65" t="str">
        <f>+IFERROR(INDEX('Restaurant Base (Hidden)'!$A$2:$Z$1048576,MATCH($C114,'Restaurant Base (Hidden)'!$C$2:$C$1048576,0),MATCH(AF$6,'Restaurant Base (Hidden)'!$A$1:$Z$1,0)),"")</f>
        <v>93,60 %</v>
      </c>
      <c r="AG114" s="1">
        <f>+IFERROR(INDEX('Restaurant Base (Hidden)'!$A$2:$Z$1048576,MATCH($C114,'Restaurant Base (Hidden)'!$C$2:$C$1048576,0),MATCH(AG$6,'Restaurant Base (Hidden)'!$A$1:$Z$1,0)),"")</f>
        <v>4</v>
      </c>
    </row>
    <row r="115" spans="1:33" x14ac:dyDescent="0.4">
      <c r="A115" s="163" t="str">
        <f>IF('Restaurant Base (Hidden)'!A134=0,"", 'Restaurant Base (Hidden)'!A134)</f>
        <v>Reese Whitmore</v>
      </c>
      <c r="B115" s="163" t="str">
        <f>IF('Restaurant Base (Hidden)'!B134=0,"", 'Restaurant Base (Hidden)'!B134)</f>
        <v>Stonebridge Restaurant Co</v>
      </c>
      <c r="C115" s="163" t="str">
        <f>IF('Restaurant Base (Hidden)'!C134=0,"", 'Restaurant Base (Hidden)'!C134)</f>
        <v>Clearwater Bridge</v>
      </c>
      <c r="D115" s="104">
        <f t="shared" si="1"/>
        <v>108</v>
      </c>
      <c r="E115" s="105">
        <f>+IFERROR(INDEX('Restaurant Base (Hidden)'!$A$2:$Z$1048576,MATCH($C115,'Restaurant Base (Hidden)'!$C$2:$C$1048576,0),MATCH(E$6,'Restaurant Base (Hidden)'!$A$1:$Z$1,0)),"")</f>
        <v>3.29</v>
      </c>
      <c r="F115" s="2" t="str">
        <f>+IFERROR(INDEX('Restaurant Base (Hidden)'!$A$2:$Z$1048576,MATCH($C115,'Restaurant Base (Hidden)'!$C$2:$C$1048576,0),MATCH(F$6,'Restaurant Base (Hidden)'!$A$1:$Z$1,0)),"")</f>
        <v/>
      </c>
      <c r="G115" s="20" t="str">
        <f>+IFERROR(INDEX('Restaurant Base (Hidden)'!$A$2:$Z$1048576,MATCH($C115,'Restaurant Base (Hidden)'!$C$2:$C$1048576,0),MATCH(G$6,'Restaurant Base (Hidden)'!$A$1:$Z$1,0)),"")</f>
        <v>4,832</v>
      </c>
      <c r="H115" s="50">
        <f>+IFERROR(INDEX('Restaurant Base (Hidden)'!$A$2:$Z$1048576,MATCH($C115,'Restaurant Base (Hidden)'!$C$2:$C$1048576,0),MATCH(H$6,'Restaurant Base (Hidden)'!$A$1:$Z$1,0)),"")</f>
        <v>5</v>
      </c>
      <c r="I115" s="20" t="str">
        <f>+IFERROR(INDEX('Restaurant Base (Hidden)'!$A$2:$Z$1048576,MATCH($C115,'Restaurant Base (Hidden)'!$C$2:$C$1048576,0),MATCH(I$6,'Restaurant Base (Hidden)'!$A$1:$Z$1,0)),"")</f>
        <v>86,40 %</v>
      </c>
      <c r="J115" s="49">
        <f>+IFERROR(INDEX('Restaurant Base (Hidden)'!$A$2:$Z$1048576,MATCH($C115,'Restaurant Base (Hidden)'!$C$2:$C$1048576,0),MATCH(J$6,'Restaurant Base (Hidden)'!$A$1:$Z$1,0)),"")</f>
        <v>3</v>
      </c>
      <c r="K115" s="20" t="str">
        <f>+IFERROR(INDEX('Restaurant Base (Hidden)'!$A$2:$Z$1048576,MATCH($C115,'Restaurant Base (Hidden)'!$C$2:$C$1048576,0),MATCH(K$6,'Restaurant Base (Hidden)'!$A$1:$Z$1,0)),"")</f>
        <v>0,173</v>
      </c>
      <c r="L115" s="51">
        <f>+IFERROR(INDEX('Restaurant Base (Hidden)'!$A$2:$Z$1048576,MATCH($C115,'Restaurant Base (Hidden)'!$C$2:$C$1048576,0),MATCH(L$6,'Restaurant Base (Hidden)'!$A$1:$Z$1,0)),"")</f>
        <v>2</v>
      </c>
      <c r="M115" s="2" t="str">
        <f>+IFERROR(INDEX('Restaurant Base (Hidden)'!$A$2:$Z$1048576,MATCH($C115,'Restaurant Base (Hidden)'!$C$2:$C$1048576,0),MATCH(M$6,'Restaurant Base (Hidden)'!$A$1:$Z$1,0)),"")</f>
        <v/>
      </c>
      <c r="N115" s="234" t="str">
        <f>+IFERROR(INDEX('Restaurant Base (Hidden)'!$A$2:$Z$1048576,MATCH($C115,'Restaurant Base (Hidden)'!$C$2:$C$1048576,0),MATCH(N$6,'Restaurant Base (Hidden)'!$A$1:$Z$1,0)),"")</f>
        <v>72,90 %</v>
      </c>
      <c r="O115" s="1">
        <f>+IFERROR(INDEX('Restaurant Base (Hidden)'!$A$2:$Z$1048576,MATCH($C115,'Restaurant Base (Hidden)'!$C$2:$C$1048576,0),MATCH(O$6,'Restaurant Base (Hidden)'!$A$1:$Z$1,0)),"")</f>
        <v>5</v>
      </c>
      <c r="P115" s="2" t="str">
        <f>+IFERROR(INDEX('Restaurant Base (Hidden)'!$A$2:$Z$1048576,MATCH($C115,'Restaurant Base (Hidden)'!$C$2:$C$1048576,0),MATCH(P$6,'Restaurant Base (Hidden)'!$A$1:$Z$1,0)),"")</f>
        <v/>
      </c>
      <c r="Q115" s="234" t="str">
        <f>+IFERROR(INDEX('Restaurant Base (Hidden)'!$A$2:$Z$1048576,MATCH($C115,'Restaurant Base (Hidden)'!$C$2:$C$1048576,0),MATCH(Q$6,'Restaurant Base (Hidden)'!$A$1:$Z$1,0)),"")</f>
        <v>76,60 %</v>
      </c>
      <c r="R115" s="1">
        <f>+IFERROR(INDEX('Restaurant Base (Hidden)'!$A$2:$Z$1048576,MATCH($C115,'Restaurant Base (Hidden)'!$C$2:$C$1048576,0),MATCH(R$6,'Restaurant Base (Hidden)'!$A$1:$Z$1,0)),"")</f>
        <v>5</v>
      </c>
      <c r="S115" s="2" t="str">
        <f>+IFERROR(INDEX('Restaurant Base (Hidden)'!$A$2:$Z$1048576,MATCH($C115,'Restaurant Base (Hidden)'!$C$2:$C$1048576,0),MATCH(S$6,'Restaurant Base (Hidden)'!$A$1:$Z$1,0)),"")</f>
        <v/>
      </c>
      <c r="T115" s="62">
        <f>+IFERROR(INDEX('Restaurant Base (Hidden)'!$A$2:$Z$1048576,MATCH($C115,'Restaurant Base (Hidden)'!$C$2:$C$1048576,0),MATCH(T$6,'Restaurant Base (Hidden)'!$A$1:$Z$1,0)),"")</f>
        <v>76.3</v>
      </c>
      <c r="U115" s="1">
        <f>+IFERROR(INDEX('Restaurant Base (Hidden)'!$A$2:$Z$1048576,MATCH($C115,'Restaurant Base (Hidden)'!$C$2:$C$1048576,0),MATCH(U$6,'Restaurant Base (Hidden)'!$A$1:$Z$1,0)),"")</f>
        <v>5</v>
      </c>
      <c r="V115" s="2" t="str">
        <f>+IFERROR(INDEX('Restaurant Base (Hidden)'!$A$2:$Z$1048576,MATCH($C115,'Restaurant Base (Hidden)'!$C$2:$C$1048576,0),MATCH(V$6,'Restaurant Base (Hidden)'!$A$1:$Z$1,0)),"")</f>
        <v/>
      </c>
      <c r="W115" s="65" t="str">
        <f>+IFERROR(INDEX('Restaurant Base (Hidden)'!$A$2:$Z$1048576,MATCH($C115,'Restaurant Base (Hidden)'!$C$2:$C$1048576,0),MATCH(W$6,'Restaurant Base (Hidden)'!$A$1:$Z$1,0)),"")</f>
        <v>58,00 %</v>
      </c>
      <c r="X115" s="1">
        <f>+IFERROR(INDEX('Restaurant Base (Hidden)'!$A$2:$Z$1048576,MATCH($C115,'Restaurant Base (Hidden)'!$C$2:$C$1048576,0),MATCH(X$6,'Restaurant Base (Hidden)'!$A$1:$Z$1,0)),"")</f>
        <v>1</v>
      </c>
      <c r="Y115" s="65" t="str">
        <f>+IFERROR(INDEX('Restaurant Base (Hidden)'!$A$2:$Z$1048576,MATCH($C115,'Restaurant Base (Hidden)'!$C$2:$C$1048576,0),MATCH(Y$6,'Restaurant Base (Hidden)'!$A$1:$Z$1,0)),"")</f>
        <v>69,20 %</v>
      </c>
      <c r="Z115" s="106">
        <f>+IFERROR(INDEX('Restaurant Base (Hidden)'!$A$2:$Z$1048576,MATCH($C115,'Restaurant Base (Hidden)'!$C$2:$C$1048576,0),MATCH(Z$6,'Restaurant Base (Hidden)'!$A$1:$Z$1,0)),"")</f>
        <v>2</v>
      </c>
      <c r="AA115" s="65" t="str">
        <f>+IFERROR(INDEX('Restaurant Base (Hidden)'!$A$2:$Z$1048576,MATCH($C115,'Restaurant Base (Hidden)'!$C$2:$C$1048576,0),MATCH(AA$6,'Restaurant Base (Hidden)'!$A$1:$Z$1,0)),"")</f>
        <v>60,20 %</v>
      </c>
      <c r="AB115" s="1">
        <f>+IFERROR(INDEX('Restaurant Base (Hidden)'!$A$2:$Z$1048576,MATCH($C115,'Restaurant Base (Hidden)'!$C$2:$C$1048576,0),MATCH(AB$6,'Restaurant Base (Hidden)'!$A$1:$Z$1,0)),"")</f>
        <v>2</v>
      </c>
      <c r="AC115" s="20" t="str">
        <f>+IFERROR(INDEX('Restaurant Base (Hidden)'!$A$2:$Z$1048576,MATCH($C115,'Restaurant Base (Hidden)'!$C$2:$C$1048576,0),MATCH(AC$6,'Restaurant Base (Hidden)'!$A$1:$Z$1,0)),"")</f>
        <v/>
      </c>
      <c r="AD115" s="65" t="str">
        <f>+IFERROR(INDEX('Restaurant Base (Hidden)'!$A$2:$Z$1048576,MATCH($C115,'Restaurant Base (Hidden)'!$C$2:$C$1048576,0),MATCH(AD$6,'Restaurant Base (Hidden)'!$A$1:$Z$1,0)),"")</f>
        <v>67,80 %</v>
      </c>
      <c r="AE115" s="1">
        <f>+IFERROR(INDEX('Restaurant Base (Hidden)'!$A$2:$Z$1048576,MATCH($C115,'Restaurant Base (Hidden)'!$C$2:$C$1048576,0),MATCH(AE$6,'Restaurant Base (Hidden)'!$A$1:$Z$1,0)),"")</f>
        <v>1</v>
      </c>
      <c r="AF115" s="65" t="str">
        <f>+IFERROR(INDEX('Restaurant Base (Hidden)'!$A$2:$Z$1048576,MATCH($C115,'Restaurant Base (Hidden)'!$C$2:$C$1048576,0),MATCH(AF$6,'Restaurant Base (Hidden)'!$A$1:$Z$1,0)),"")</f>
        <v>70,40 %</v>
      </c>
      <c r="AG115" s="1">
        <f>+IFERROR(INDEX('Restaurant Base (Hidden)'!$A$2:$Z$1048576,MATCH($C115,'Restaurant Base (Hidden)'!$C$2:$C$1048576,0),MATCH(AG$6,'Restaurant Base (Hidden)'!$A$1:$Z$1,0)),"")</f>
        <v>1</v>
      </c>
    </row>
    <row r="116" spans="1:33" x14ac:dyDescent="0.4">
      <c r="A116" s="163" t="str">
        <f>IF('Restaurant Base (Hidden)'!A140=0,"", 'Restaurant Base (Hidden)'!A140)</f>
        <v>Emerson Greenleigh</v>
      </c>
      <c r="B116" s="163" t="str">
        <f>IF('Restaurant Base (Hidden)'!B140=0,"", 'Restaurant Base (Hidden)'!B140)</f>
        <v>Willowcrest Dining</v>
      </c>
      <c r="C116" s="163" t="str">
        <f>IF('Restaurant Base (Hidden)'!C140=0,"", 'Restaurant Base (Hidden)'!C140)</f>
        <v>Highland Walk</v>
      </c>
      <c r="D116" s="104">
        <f t="shared" si="1"/>
        <v>108</v>
      </c>
      <c r="E116" s="105">
        <f>+IFERROR(INDEX('Restaurant Base (Hidden)'!$A$2:$Z$1048576,MATCH($C116,'Restaurant Base (Hidden)'!$C$2:$C$1048576,0),MATCH(E$6,'Restaurant Base (Hidden)'!$A$1:$Z$1,0)),"")</f>
        <v>3.29</v>
      </c>
      <c r="F116" s="2" t="str">
        <f>+IFERROR(INDEX('Restaurant Base (Hidden)'!$A$2:$Z$1048576,MATCH($C116,'Restaurant Base (Hidden)'!$C$2:$C$1048576,0),MATCH(F$6,'Restaurant Base (Hidden)'!$A$1:$Z$1,0)),"")</f>
        <v/>
      </c>
      <c r="G116" s="20" t="str">
        <f>+IFERROR(INDEX('Restaurant Base (Hidden)'!$A$2:$Z$1048576,MATCH($C116,'Restaurant Base (Hidden)'!$C$2:$C$1048576,0),MATCH(G$6,'Restaurant Base (Hidden)'!$A$1:$Z$1,0)),"")</f>
        <v>4,605</v>
      </c>
      <c r="H116" s="50">
        <f>+IFERROR(INDEX('Restaurant Base (Hidden)'!$A$2:$Z$1048576,MATCH($C116,'Restaurant Base (Hidden)'!$C$2:$C$1048576,0),MATCH(H$6,'Restaurant Base (Hidden)'!$A$1:$Z$1,0)),"")</f>
        <v>5</v>
      </c>
      <c r="I116" s="20" t="str">
        <f>+IFERROR(INDEX('Restaurant Base (Hidden)'!$A$2:$Z$1048576,MATCH($C116,'Restaurant Base (Hidden)'!$C$2:$C$1048576,0),MATCH(I$6,'Restaurant Base (Hidden)'!$A$1:$Z$1,0)),"")</f>
        <v>63,90 %</v>
      </c>
      <c r="J116" s="49">
        <f>+IFERROR(INDEX('Restaurant Base (Hidden)'!$A$2:$Z$1048576,MATCH($C116,'Restaurant Base (Hidden)'!$C$2:$C$1048576,0),MATCH(J$6,'Restaurant Base (Hidden)'!$A$1:$Z$1,0)),"")</f>
        <v>1</v>
      </c>
      <c r="K116" s="20" t="str">
        <f>+IFERROR(INDEX('Restaurant Base (Hidden)'!$A$2:$Z$1048576,MATCH($C116,'Restaurant Base (Hidden)'!$C$2:$C$1048576,0),MATCH(K$6,'Restaurant Base (Hidden)'!$A$1:$Z$1,0)),"")</f>
        <v>0,185</v>
      </c>
      <c r="L116" s="51">
        <f>+IFERROR(INDEX('Restaurant Base (Hidden)'!$A$2:$Z$1048576,MATCH($C116,'Restaurant Base (Hidden)'!$C$2:$C$1048576,0),MATCH(L$6,'Restaurant Base (Hidden)'!$A$1:$Z$1,0)),"")</f>
        <v>1</v>
      </c>
      <c r="M116" s="2" t="str">
        <f>+IFERROR(INDEX('Restaurant Base (Hidden)'!$A$2:$Z$1048576,MATCH($C116,'Restaurant Base (Hidden)'!$C$2:$C$1048576,0),MATCH(M$6,'Restaurant Base (Hidden)'!$A$1:$Z$1,0)),"")</f>
        <v/>
      </c>
      <c r="N116" s="234" t="str">
        <f>+IFERROR(INDEX('Restaurant Base (Hidden)'!$A$2:$Z$1048576,MATCH($C116,'Restaurant Base (Hidden)'!$C$2:$C$1048576,0),MATCH(N$6,'Restaurant Base (Hidden)'!$A$1:$Z$1,0)),"")</f>
        <v>83,80 %</v>
      </c>
      <c r="O116" s="1">
        <f>+IFERROR(INDEX('Restaurant Base (Hidden)'!$A$2:$Z$1048576,MATCH($C116,'Restaurant Base (Hidden)'!$C$2:$C$1048576,0),MATCH(O$6,'Restaurant Base (Hidden)'!$A$1:$Z$1,0)),"")</f>
        <v>5</v>
      </c>
      <c r="P116" s="2" t="str">
        <f>+IFERROR(INDEX('Restaurant Base (Hidden)'!$A$2:$Z$1048576,MATCH($C116,'Restaurant Base (Hidden)'!$C$2:$C$1048576,0),MATCH(P$6,'Restaurant Base (Hidden)'!$A$1:$Z$1,0)),"")</f>
        <v/>
      </c>
      <c r="Q116" s="234" t="str">
        <f>+IFERROR(INDEX('Restaurant Base (Hidden)'!$A$2:$Z$1048576,MATCH($C116,'Restaurant Base (Hidden)'!$C$2:$C$1048576,0),MATCH(Q$6,'Restaurant Base (Hidden)'!$A$1:$Z$1,0)),"")</f>
        <v>72,80 %</v>
      </c>
      <c r="R116" s="1">
        <f>+IFERROR(INDEX('Restaurant Base (Hidden)'!$A$2:$Z$1048576,MATCH($C116,'Restaurant Base (Hidden)'!$C$2:$C$1048576,0),MATCH(R$6,'Restaurant Base (Hidden)'!$A$1:$Z$1,0)),"")</f>
        <v>4</v>
      </c>
      <c r="S116" s="2" t="str">
        <f>+IFERROR(INDEX('Restaurant Base (Hidden)'!$A$2:$Z$1048576,MATCH($C116,'Restaurant Base (Hidden)'!$C$2:$C$1048576,0),MATCH(S$6,'Restaurant Base (Hidden)'!$A$1:$Z$1,0)),"")</f>
        <v/>
      </c>
      <c r="T116" s="62">
        <f>+IFERROR(INDEX('Restaurant Base (Hidden)'!$A$2:$Z$1048576,MATCH($C116,'Restaurant Base (Hidden)'!$C$2:$C$1048576,0),MATCH(T$6,'Restaurant Base (Hidden)'!$A$1:$Z$1,0)),"")</f>
        <v>77.099999999999994</v>
      </c>
      <c r="U116" s="1">
        <f>+IFERROR(INDEX('Restaurant Base (Hidden)'!$A$2:$Z$1048576,MATCH($C116,'Restaurant Base (Hidden)'!$C$2:$C$1048576,0),MATCH(U$6,'Restaurant Base (Hidden)'!$A$1:$Z$1,0)),"")</f>
        <v>5</v>
      </c>
      <c r="V116" s="2" t="str">
        <f>+IFERROR(INDEX('Restaurant Base (Hidden)'!$A$2:$Z$1048576,MATCH($C116,'Restaurant Base (Hidden)'!$C$2:$C$1048576,0),MATCH(V$6,'Restaurant Base (Hidden)'!$A$1:$Z$1,0)),"")</f>
        <v/>
      </c>
      <c r="W116" s="65" t="str">
        <f>+IFERROR(INDEX('Restaurant Base (Hidden)'!$A$2:$Z$1048576,MATCH($C116,'Restaurant Base (Hidden)'!$C$2:$C$1048576,0),MATCH(W$6,'Restaurant Base (Hidden)'!$A$1:$Z$1,0)),"")</f>
        <v>81,30 %</v>
      </c>
      <c r="X116" s="1">
        <f>+IFERROR(INDEX('Restaurant Base (Hidden)'!$A$2:$Z$1048576,MATCH($C116,'Restaurant Base (Hidden)'!$C$2:$C$1048576,0),MATCH(X$6,'Restaurant Base (Hidden)'!$A$1:$Z$1,0)),"")</f>
        <v>3</v>
      </c>
      <c r="Y116" s="65" t="str">
        <f>+IFERROR(INDEX('Restaurant Base (Hidden)'!$A$2:$Z$1048576,MATCH($C116,'Restaurant Base (Hidden)'!$C$2:$C$1048576,0),MATCH(Y$6,'Restaurant Base (Hidden)'!$A$1:$Z$1,0)),"")</f>
        <v>94,50 %</v>
      </c>
      <c r="Z116" s="106">
        <f>+IFERROR(INDEX('Restaurant Base (Hidden)'!$A$2:$Z$1048576,MATCH($C116,'Restaurant Base (Hidden)'!$C$2:$C$1048576,0),MATCH(Z$6,'Restaurant Base (Hidden)'!$A$1:$Z$1,0)),"")</f>
        <v>4</v>
      </c>
      <c r="AA116" s="65" t="str">
        <f>+IFERROR(INDEX('Restaurant Base (Hidden)'!$A$2:$Z$1048576,MATCH($C116,'Restaurant Base (Hidden)'!$C$2:$C$1048576,0),MATCH(AA$6,'Restaurant Base (Hidden)'!$A$1:$Z$1,0)),"")</f>
        <v>93,80 %</v>
      </c>
      <c r="AB116" s="1">
        <f>+IFERROR(INDEX('Restaurant Base (Hidden)'!$A$2:$Z$1048576,MATCH($C116,'Restaurant Base (Hidden)'!$C$2:$C$1048576,0),MATCH(AB$6,'Restaurant Base (Hidden)'!$A$1:$Z$1,0)),"")</f>
        <v>3</v>
      </c>
      <c r="AC116" s="20" t="str">
        <f>+IFERROR(INDEX('Restaurant Base (Hidden)'!$A$2:$Z$1048576,MATCH($C116,'Restaurant Base (Hidden)'!$C$2:$C$1048576,0),MATCH(AC$6,'Restaurant Base (Hidden)'!$A$1:$Z$1,0)),"")</f>
        <v/>
      </c>
      <c r="AD116" s="65" t="str">
        <f>+IFERROR(INDEX('Restaurant Base (Hidden)'!$A$2:$Z$1048576,MATCH($C116,'Restaurant Base (Hidden)'!$C$2:$C$1048576,0),MATCH(AD$6,'Restaurant Base (Hidden)'!$A$1:$Z$1,0)),"")</f>
        <v>83,60 %</v>
      </c>
      <c r="AE116" s="1">
        <f>+IFERROR(INDEX('Restaurant Base (Hidden)'!$A$2:$Z$1048576,MATCH($C116,'Restaurant Base (Hidden)'!$C$2:$C$1048576,0),MATCH(AE$6,'Restaurant Base (Hidden)'!$A$1:$Z$1,0)),"")</f>
        <v>3</v>
      </c>
      <c r="AF116" s="65" t="str">
        <f>+IFERROR(INDEX('Restaurant Base (Hidden)'!$A$2:$Z$1048576,MATCH($C116,'Restaurant Base (Hidden)'!$C$2:$C$1048576,0),MATCH(AF$6,'Restaurant Base (Hidden)'!$A$1:$Z$1,0)),"")</f>
        <v>67,80 %</v>
      </c>
      <c r="AG116" s="1">
        <f>+IFERROR(INDEX('Restaurant Base (Hidden)'!$A$2:$Z$1048576,MATCH($C116,'Restaurant Base (Hidden)'!$C$2:$C$1048576,0),MATCH(AG$6,'Restaurant Base (Hidden)'!$A$1:$Z$1,0)),"")</f>
        <v>1</v>
      </c>
    </row>
    <row r="117" spans="1:33" x14ac:dyDescent="0.4">
      <c r="A117" s="163" t="str">
        <f>IF('Restaurant Base (Hidden)'!A382=0,"", 'Restaurant Base (Hidden)'!A382)</f>
        <v>Cameron Creston</v>
      </c>
      <c r="B117" s="163" t="str">
        <f>IF('Restaurant Base (Hidden)'!B382=0,"", 'Restaurant Base (Hidden)'!B382)</f>
        <v>Eastmere Foods</v>
      </c>
      <c r="C117" s="163" t="str">
        <f>IF('Restaurant Base (Hidden)'!C382=0,"", 'Restaurant Base (Hidden)'!C382)</f>
        <v>Lake Bridge</v>
      </c>
      <c r="D117" s="104">
        <f t="shared" si="1"/>
        <v>108</v>
      </c>
      <c r="E117" s="105">
        <f>+IFERROR(INDEX('Restaurant Base (Hidden)'!$A$2:$Z$1048576,MATCH($C117,'Restaurant Base (Hidden)'!$C$2:$C$1048576,0),MATCH(E$6,'Restaurant Base (Hidden)'!$A$1:$Z$1,0)),"")</f>
        <v>3.29</v>
      </c>
      <c r="F117" s="2" t="str">
        <f>+IFERROR(INDEX('Restaurant Base (Hidden)'!$A$2:$Z$1048576,MATCH($C117,'Restaurant Base (Hidden)'!$C$2:$C$1048576,0),MATCH(F$6,'Restaurant Base (Hidden)'!$A$1:$Z$1,0)),"")</f>
        <v/>
      </c>
      <c r="G117" s="20" t="str">
        <f>+IFERROR(INDEX('Restaurant Base (Hidden)'!$A$2:$Z$1048576,MATCH($C117,'Restaurant Base (Hidden)'!$C$2:$C$1048576,0),MATCH(G$6,'Restaurant Base (Hidden)'!$A$1:$Z$1,0)),"")</f>
        <v>4,789</v>
      </c>
      <c r="H117" s="50">
        <f>+IFERROR(INDEX('Restaurant Base (Hidden)'!$A$2:$Z$1048576,MATCH($C117,'Restaurant Base (Hidden)'!$C$2:$C$1048576,0),MATCH(H$6,'Restaurant Base (Hidden)'!$A$1:$Z$1,0)),"")</f>
        <v>5</v>
      </c>
      <c r="I117" s="20" t="str">
        <f>+IFERROR(INDEX('Restaurant Base (Hidden)'!$A$2:$Z$1048576,MATCH($C117,'Restaurant Base (Hidden)'!$C$2:$C$1048576,0),MATCH(I$6,'Restaurant Base (Hidden)'!$A$1:$Z$1,0)),"")</f>
        <v>92,20 %</v>
      </c>
      <c r="J117" s="49">
        <f>+IFERROR(INDEX('Restaurant Base (Hidden)'!$A$2:$Z$1048576,MATCH($C117,'Restaurant Base (Hidden)'!$C$2:$C$1048576,0),MATCH(J$6,'Restaurant Base (Hidden)'!$A$1:$Z$1,0)),"")</f>
        <v>4</v>
      </c>
      <c r="K117" s="20" t="str">
        <f>+IFERROR(INDEX('Restaurant Base (Hidden)'!$A$2:$Z$1048576,MATCH($C117,'Restaurant Base (Hidden)'!$C$2:$C$1048576,0),MATCH(K$6,'Restaurant Base (Hidden)'!$A$1:$Z$1,0)),"")</f>
        <v>0,085</v>
      </c>
      <c r="L117" s="51">
        <f>+IFERROR(INDEX('Restaurant Base (Hidden)'!$A$2:$Z$1048576,MATCH($C117,'Restaurant Base (Hidden)'!$C$2:$C$1048576,0),MATCH(L$6,'Restaurant Base (Hidden)'!$A$1:$Z$1,0)),"")</f>
        <v>4</v>
      </c>
      <c r="M117" s="2" t="str">
        <f>+IFERROR(INDEX('Restaurant Base (Hidden)'!$A$2:$Z$1048576,MATCH($C117,'Restaurant Base (Hidden)'!$C$2:$C$1048576,0),MATCH(M$6,'Restaurant Base (Hidden)'!$A$1:$Z$1,0)),"")</f>
        <v/>
      </c>
      <c r="N117" s="234" t="str">
        <f>+IFERROR(INDEX('Restaurant Base (Hidden)'!$A$2:$Z$1048576,MATCH($C117,'Restaurant Base (Hidden)'!$C$2:$C$1048576,0),MATCH(N$6,'Restaurant Base (Hidden)'!$A$1:$Z$1,0)),"")</f>
        <v>61,70 %</v>
      </c>
      <c r="O117" s="1">
        <f>+IFERROR(INDEX('Restaurant Base (Hidden)'!$A$2:$Z$1048576,MATCH($C117,'Restaurant Base (Hidden)'!$C$2:$C$1048576,0),MATCH(O$6,'Restaurant Base (Hidden)'!$A$1:$Z$1,0)),"")</f>
        <v>2</v>
      </c>
      <c r="P117" s="2" t="str">
        <f>+IFERROR(INDEX('Restaurant Base (Hidden)'!$A$2:$Z$1048576,MATCH($C117,'Restaurant Base (Hidden)'!$C$2:$C$1048576,0),MATCH(P$6,'Restaurant Base (Hidden)'!$A$1:$Z$1,0)),"")</f>
        <v/>
      </c>
      <c r="Q117" s="234" t="str">
        <f>+IFERROR(INDEX('Restaurant Base (Hidden)'!$A$2:$Z$1048576,MATCH($C117,'Restaurant Base (Hidden)'!$C$2:$C$1048576,0),MATCH(Q$6,'Restaurant Base (Hidden)'!$A$1:$Z$1,0)),"")</f>
        <v>99,30 %</v>
      </c>
      <c r="R117" s="1">
        <f>+IFERROR(INDEX('Restaurant Base (Hidden)'!$A$2:$Z$1048576,MATCH($C117,'Restaurant Base (Hidden)'!$C$2:$C$1048576,0),MATCH(R$6,'Restaurant Base (Hidden)'!$A$1:$Z$1,0)),"")</f>
        <v>5</v>
      </c>
      <c r="S117" s="2" t="str">
        <f>+IFERROR(INDEX('Restaurant Base (Hidden)'!$A$2:$Z$1048576,MATCH($C117,'Restaurant Base (Hidden)'!$C$2:$C$1048576,0),MATCH(S$6,'Restaurant Base (Hidden)'!$A$1:$Z$1,0)),"")</f>
        <v/>
      </c>
      <c r="T117" s="62">
        <f>+IFERROR(INDEX('Restaurant Base (Hidden)'!$A$2:$Z$1048576,MATCH($C117,'Restaurant Base (Hidden)'!$C$2:$C$1048576,0),MATCH(T$6,'Restaurant Base (Hidden)'!$A$1:$Z$1,0)),"")</f>
        <v>66.5</v>
      </c>
      <c r="U117" s="1">
        <f>+IFERROR(INDEX('Restaurant Base (Hidden)'!$A$2:$Z$1048576,MATCH($C117,'Restaurant Base (Hidden)'!$C$2:$C$1048576,0),MATCH(U$6,'Restaurant Base (Hidden)'!$A$1:$Z$1,0)),"")</f>
        <v>4</v>
      </c>
      <c r="V117" s="2" t="str">
        <f>+IFERROR(INDEX('Restaurant Base (Hidden)'!$A$2:$Z$1048576,MATCH($C117,'Restaurant Base (Hidden)'!$C$2:$C$1048576,0),MATCH(V$6,'Restaurant Base (Hidden)'!$A$1:$Z$1,0)),"")</f>
        <v/>
      </c>
      <c r="W117" s="65" t="str">
        <f>+IFERROR(INDEX('Restaurant Base (Hidden)'!$A$2:$Z$1048576,MATCH($C117,'Restaurant Base (Hidden)'!$C$2:$C$1048576,0),MATCH(W$6,'Restaurant Base (Hidden)'!$A$1:$Z$1,0)),"")</f>
        <v>72,60 %</v>
      </c>
      <c r="X117" s="1">
        <f>+IFERROR(INDEX('Restaurant Base (Hidden)'!$A$2:$Z$1048576,MATCH($C117,'Restaurant Base (Hidden)'!$C$2:$C$1048576,0),MATCH(X$6,'Restaurant Base (Hidden)'!$A$1:$Z$1,0)),"")</f>
        <v>2</v>
      </c>
      <c r="Y117" s="65" t="str">
        <f>+IFERROR(INDEX('Restaurant Base (Hidden)'!$A$2:$Z$1048576,MATCH($C117,'Restaurant Base (Hidden)'!$C$2:$C$1048576,0),MATCH(Y$6,'Restaurant Base (Hidden)'!$A$1:$Z$1,0)),"")</f>
        <v>63,60 %</v>
      </c>
      <c r="Z117" s="106">
        <f>+IFERROR(INDEX('Restaurant Base (Hidden)'!$A$2:$Z$1048576,MATCH($C117,'Restaurant Base (Hidden)'!$C$2:$C$1048576,0),MATCH(Z$6,'Restaurant Base (Hidden)'!$A$1:$Z$1,0)),"")</f>
        <v>2</v>
      </c>
      <c r="AA117" s="65" t="str">
        <f>+IFERROR(INDEX('Restaurant Base (Hidden)'!$A$2:$Z$1048576,MATCH($C117,'Restaurant Base (Hidden)'!$C$2:$C$1048576,0),MATCH(AA$6,'Restaurant Base (Hidden)'!$A$1:$Z$1,0)),"")</f>
        <v>88,10 %</v>
      </c>
      <c r="AB117" s="1">
        <f>+IFERROR(INDEX('Restaurant Base (Hidden)'!$A$2:$Z$1048576,MATCH($C117,'Restaurant Base (Hidden)'!$C$2:$C$1048576,0),MATCH(AB$6,'Restaurant Base (Hidden)'!$A$1:$Z$1,0)),"")</f>
        <v>3</v>
      </c>
      <c r="AC117" s="20" t="str">
        <f>+IFERROR(INDEX('Restaurant Base (Hidden)'!$A$2:$Z$1048576,MATCH($C117,'Restaurant Base (Hidden)'!$C$2:$C$1048576,0),MATCH(AC$6,'Restaurant Base (Hidden)'!$A$1:$Z$1,0)),"")</f>
        <v/>
      </c>
      <c r="AD117" s="65" t="str">
        <f>+IFERROR(INDEX('Restaurant Base (Hidden)'!$A$2:$Z$1048576,MATCH($C117,'Restaurant Base (Hidden)'!$C$2:$C$1048576,0),MATCH(AD$6,'Restaurant Base (Hidden)'!$A$1:$Z$1,0)),"")</f>
        <v>84,30 %</v>
      </c>
      <c r="AE117" s="1">
        <f>+IFERROR(INDEX('Restaurant Base (Hidden)'!$A$2:$Z$1048576,MATCH($C117,'Restaurant Base (Hidden)'!$C$2:$C$1048576,0),MATCH(AE$6,'Restaurant Base (Hidden)'!$A$1:$Z$1,0)),"")</f>
        <v>3</v>
      </c>
      <c r="AF117" s="65" t="str">
        <f>+IFERROR(INDEX('Restaurant Base (Hidden)'!$A$2:$Z$1048576,MATCH($C117,'Restaurant Base (Hidden)'!$C$2:$C$1048576,0),MATCH(AF$6,'Restaurant Base (Hidden)'!$A$1:$Z$1,0)),"")</f>
        <v>64,60 %</v>
      </c>
      <c r="AG117" s="1">
        <f>+IFERROR(INDEX('Restaurant Base (Hidden)'!$A$2:$Z$1048576,MATCH($C117,'Restaurant Base (Hidden)'!$C$2:$C$1048576,0),MATCH(AG$6,'Restaurant Base (Hidden)'!$A$1:$Z$1,0)),"")</f>
        <v>1</v>
      </c>
    </row>
    <row r="118" spans="1:33" x14ac:dyDescent="0.4">
      <c r="A118" s="163" t="str">
        <f>IF('Restaurant Base (Hidden)'!A274=0,"", 'Restaurant Base (Hidden)'!A274)</f>
        <v>Kendall Prescott</v>
      </c>
      <c r="B118" s="163" t="str">
        <f>IF('Restaurant Base (Hidden)'!B274=0,"", 'Restaurant Base (Hidden)'!B274)</f>
        <v>Ridgeway Restaurants</v>
      </c>
      <c r="C118" s="163" t="str">
        <f>IF('Restaurant Base (Hidden)'!C274=0,"", 'Restaurant Base (Hidden)'!C274)</f>
        <v>River Quay</v>
      </c>
      <c r="D118" s="104">
        <f t="shared" si="1"/>
        <v>112</v>
      </c>
      <c r="E118" s="105">
        <f>+IFERROR(INDEX('Restaurant Base (Hidden)'!$A$2:$Z$1048576,MATCH($C118,'Restaurant Base (Hidden)'!$C$2:$C$1048576,0),MATCH(E$6,'Restaurant Base (Hidden)'!$A$1:$Z$1,0)),"")</f>
        <v>3.28</v>
      </c>
      <c r="F118" s="2" t="str">
        <f>+IFERROR(INDEX('Restaurant Base (Hidden)'!$A$2:$Z$1048576,MATCH($C118,'Restaurant Base (Hidden)'!$C$2:$C$1048576,0),MATCH(F$6,'Restaurant Base (Hidden)'!$A$1:$Z$1,0)),"")</f>
        <v/>
      </c>
      <c r="G118" s="20" t="str">
        <f>+IFERROR(INDEX('Restaurant Base (Hidden)'!$A$2:$Z$1048576,MATCH($C118,'Restaurant Base (Hidden)'!$C$2:$C$1048576,0),MATCH(G$6,'Restaurant Base (Hidden)'!$A$1:$Z$1,0)),"")</f>
        <v>4,795</v>
      </c>
      <c r="H118" s="50">
        <f>+IFERROR(INDEX('Restaurant Base (Hidden)'!$A$2:$Z$1048576,MATCH($C118,'Restaurant Base (Hidden)'!$C$2:$C$1048576,0),MATCH(H$6,'Restaurant Base (Hidden)'!$A$1:$Z$1,0)),"")</f>
        <v>5</v>
      </c>
      <c r="I118" s="20" t="str">
        <f>+IFERROR(INDEX('Restaurant Base (Hidden)'!$A$2:$Z$1048576,MATCH($C118,'Restaurant Base (Hidden)'!$C$2:$C$1048576,0),MATCH(I$6,'Restaurant Base (Hidden)'!$A$1:$Z$1,0)),"")</f>
        <v>89,50 %</v>
      </c>
      <c r="J118" s="49">
        <f>+IFERROR(INDEX('Restaurant Base (Hidden)'!$A$2:$Z$1048576,MATCH($C118,'Restaurant Base (Hidden)'!$C$2:$C$1048576,0),MATCH(J$6,'Restaurant Base (Hidden)'!$A$1:$Z$1,0)),"")</f>
        <v>4</v>
      </c>
      <c r="K118" s="20" t="str">
        <f>+IFERROR(INDEX('Restaurant Base (Hidden)'!$A$2:$Z$1048576,MATCH($C118,'Restaurant Base (Hidden)'!$C$2:$C$1048576,0),MATCH(K$6,'Restaurant Base (Hidden)'!$A$1:$Z$1,0)),"")</f>
        <v>0,092</v>
      </c>
      <c r="L118" s="51">
        <f>+IFERROR(INDEX('Restaurant Base (Hidden)'!$A$2:$Z$1048576,MATCH($C118,'Restaurant Base (Hidden)'!$C$2:$C$1048576,0),MATCH(L$6,'Restaurant Base (Hidden)'!$A$1:$Z$1,0)),"")</f>
        <v>4</v>
      </c>
      <c r="M118" s="2" t="str">
        <f>+IFERROR(INDEX('Restaurant Base (Hidden)'!$A$2:$Z$1048576,MATCH($C118,'Restaurant Base (Hidden)'!$C$2:$C$1048576,0),MATCH(M$6,'Restaurant Base (Hidden)'!$A$1:$Z$1,0)),"")</f>
        <v/>
      </c>
      <c r="N118" s="234" t="str">
        <f>+IFERROR(INDEX('Restaurant Base (Hidden)'!$A$2:$Z$1048576,MATCH($C118,'Restaurant Base (Hidden)'!$C$2:$C$1048576,0),MATCH(N$6,'Restaurant Base (Hidden)'!$A$1:$Z$1,0)),"")</f>
        <v>57,40 %</v>
      </c>
      <c r="O118" s="1">
        <f>+IFERROR(INDEX('Restaurant Base (Hidden)'!$A$2:$Z$1048576,MATCH($C118,'Restaurant Base (Hidden)'!$C$2:$C$1048576,0),MATCH(O$6,'Restaurant Base (Hidden)'!$A$1:$Z$1,0)),"")</f>
        <v>1</v>
      </c>
      <c r="P118" s="2" t="str">
        <f>+IFERROR(INDEX('Restaurant Base (Hidden)'!$A$2:$Z$1048576,MATCH($C118,'Restaurant Base (Hidden)'!$C$2:$C$1048576,0),MATCH(P$6,'Restaurant Base (Hidden)'!$A$1:$Z$1,0)),"")</f>
        <v/>
      </c>
      <c r="Q118" s="234" t="str">
        <f>+IFERROR(INDEX('Restaurant Base (Hidden)'!$A$2:$Z$1048576,MATCH($C118,'Restaurant Base (Hidden)'!$C$2:$C$1048576,0),MATCH(Q$6,'Restaurant Base (Hidden)'!$A$1:$Z$1,0)),"")</f>
        <v>69,40 %</v>
      </c>
      <c r="R118" s="1">
        <f>+IFERROR(INDEX('Restaurant Base (Hidden)'!$A$2:$Z$1048576,MATCH($C118,'Restaurant Base (Hidden)'!$C$2:$C$1048576,0),MATCH(R$6,'Restaurant Base (Hidden)'!$A$1:$Z$1,0)),"")</f>
        <v>4</v>
      </c>
      <c r="S118" s="2" t="str">
        <f>+IFERROR(INDEX('Restaurant Base (Hidden)'!$A$2:$Z$1048576,MATCH($C118,'Restaurant Base (Hidden)'!$C$2:$C$1048576,0),MATCH(S$6,'Restaurant Base (Hidden)'!$A$1:$Z$1,0)),"")</f>
        <v/>
      </c>
      <c r="T118" s="62">
        <f>+IFERROR(INDEX('Restaurant Base (Hidden)'!$A$2:$Z$1048576,MATCH($C118,'Restaurant Base (Hidden)'!$C$2:$C$1048576,0),MATCH(T$6,'Restaurant Base (Hidden)'!$A$1:$Z$1,0)),"")</f>
        <v>76.7</v>
      </c>
      <c r="U118" s="1">
        <f>+IFERROR(INDEX('Restaurant Base (Hidden)'!$A$2:$Z$1048576,MATCH($C118,'Restaurant Base (Hidden)'!$C$2:$C$1048576,0),MATCH(U$6,'Restaurant Base (Hidden)'!$A$1:$Z$1,0)),"")</f>
        <v>5</v>
      </c>
      <c r="V118" s="2" t="str">
        <f>+IFERROR(INDEX('Restaurant Base (Hidden)'!$A$2:$Z$1048576,MATCH($C118,'Restaurant Base (Hidden)'!$C$2:$C$1048576,0),MATCH(V$6,'Restaurant Base (Hidden)'!$A$1:$Z$1,0)),"")</f>
        <v/>
      </c>
      <c r="W118" s="65" t="str">
        <f>+IFERROR(INDEX('Restaurant Base (Hidden)'!$A$2:$Z$1048576,MATCH($C118,'Restaurant Base (Hidden)'!$C$2:$C$1048576,0),MATCH(W$6,'Restaurant Base (Hidden)'!$A$1:$Z$1,0)),"")</f>
        <v>94,70 %</v>
      </c>
      <c r="X118" s="1">
        <f>+IFERROR(INDEX('Restaurant Base (Hidden)'!$A$2:$Z$1048576,MATCH($C118,'Restaurant Base (Hidden)'!$C$2:$C$1048576,0),MATCH(X$6,'Restaurant Base (Hidden)'!$A$1:$Z$1,0)),"")</f>
        <v>4</v>
      </c>
      <c r="Y118" s="65" t="str">
        <f>+IFERROR(INDEX('Restaurant Base (Hidden)'!$A$2:$Z$1048576,MATCH($C118,'Restaurant Base (Hidden)'!$C$2:$C$1048576,0),MATCH(Y$6,'Restaurant Base (Hidden)'!$A$1:$Z$1,0)),"")</f>
        <v>76,40 %</v>
      </c>
      <c r="Z118" s="106">
        <f>+IFERROR(INDEX('Restaurant Base (Hidden)'!$A$2:$Z$1048576,MATCH($C118,'Restaurant Base (Hidden)'!$C$2:$C$1048576,0),MATCH(Z$6,'Restaurant Base (Hidden)'!$A$1:$Z$1,0)),"")</f>
        <v>2</v>
      </c>
      <c r="AA118" s="65" t="str">
        <f>+IFERROR(INDEX('Restaurant Base (Hidden)'!$A$2:$Z$1048576,MATCH($C118,'Restaurant Base (Hidden)'!$C$2:$C$1048576,0),MATCH(AA$6,'Restaurant Base (Hidden)'!$A$1:$Z$1,0)),"")</f>
        <v>72,10 %</v>
      </c>
      <c r="AB118" s="1">
        <f>+IFERROR(INDEX('Restaurant Base (Hidden)'!$A$2:$Z$1048576,MATCH($C118,'Restaurant Base (Hidden)'!$C$2:$C$1048576,0),MATCH(AB$6,'Restaurant Base (Hidden)'!$A$1:$Z$1,0)),"")</f>
        <v>2</v>
      </c>
      <c r="AC118" s="20" t="str">
        <f>+IFERROR(INDEX('Restaurant Base (Hidden)'!$A$2:$Z$1048576,MATCH($C118,'Restaurant Base (Hidden)'!$C$2:$C$1048576,0),MATCH(AC$6,'Restaurant Base (Hidden)'!$A$1:$Z$1,0)),"")</f>
        <v/>
      </c>
      <c r="AD118" s="65" t="str">
        <f>+IFERROR(INDEX('Restaurant Base (Hidden)'!$A$2:$Z$1048576,MATCH($C118,'Restaurant Base (Hidden)'!$C$2:$C$1048576,0),MATCH(AD$6,'Restaurant Base (Hidden)'!$A$1:$Z$1,0)),"")</f>
        <v>64,40 %</v>
      </c>
      <c r="AE118" s="1">
        <f>+IFERROR(INDEX('Restaurant Base (Hidden)'!$A$2:$Z$1048576,MATCH($C118,'Restaurant Base (Hidden)'!$C$2:$C$1048576,0),MATCH(AE$6,'Restaurant Base (Hidden)'!$A$1:$Z$1,0)),"")</f>
        <v>1</v>
      </c>
      <c r="AF118" s="65" t="str">
        <f>+IFERROR(INDEX('Restaurant Base (Hidden)'!$A$2:$Z$1048576,MATCH($C118,'Restaurant Base (Hidden)'!$C$2:$C$1048576,0),MATCH(AF$6,'Restaurant Base (Hidden)'!$A$1:$Z$1,0)),"")</f>
        <v>93,40 %</v>
      </c>
      <c r="AG118" s="1">
        <f>+IFERROR(INDEX('Restaurant Base (Hidden)'!$A$2:$Z$1048576,MATCH($C118,'Restaurant Base (Hidden)'!$C$2:$C$1048576,0),MATCH(AG$6,'Restaurant Base (Hidden)'!$A$1:$Z$1,0)),"")</f>
        <v>4</v>
      </c>
    </row>
    <row r="119" spans="1:33" x14ac:dyDescent="0.4">
      <c r="A119" s="163" t="str">
        <f>IF('Restaurant Base (Hidden)'!A26=0,"", 'Restaurant Base (Hidden)'!A26)</f>
        <v>Dakota Cavendish</v>
      </c>
      <c r="B119" s="163" t="str">
        <f>IF('Restaurant Base (Hidden)'!B26=0,"", 'Restaurant Base (Hidden)'!B26)</f>
        <v>Highland Crest Restaurants</v>
      </c>
      <c r="C119" s="163" t="str">
        <f>IF('Restaurant Base (Hidden)'!C26=0,"", 'Restaurant Base (Hidden)'!C26)</f>
        <v>River Lodge</v>
      </c>
      <c r="D119" s="104">
        <f t="shared" si="1"/>
        <v>113</v>
      </c>
      <c r="E119" s="105">
        <f>+IFERROR(INDEX('Restaurant Base (Hidden)'!$A$2:$Z$1048576,MATCH($C119,'Restaurant Base (Hidden)'!$C$2:$C$1048576,0),MATCH(E$6,'Restaurant Base (Hidden)'!$A$1:$Z$1,0)),"")</f>
        <v>3.27</v>
      </c>
      <c r="F119" s="64" t="str">
        <f>+IFERROR(INDEX('Restaurant Base (Hidden)'!$A$2:$Z$1048576,MATCH($C119,'Restaurant Base (Hidden)'!$C$2:$C$1048576,0),MATCH(F$6,'Restaurant Base (Hidden)'!$A$1:$Z$1,0)),"")</f>
        <v/>
      </c>
      <c r="G119" s="20" t="str">
        <f>+IFERROR(INDEX('Restaurant Base (Hidden)'!$A$2:$Z$1048576,MATCH($C119,'Restaurant Base (Hidden)'!$C$2:$C$1048576,0),MATCH(G$6,'Restaurant Base (Hidden)'!$A$1:$Z$1,0)),"")</f>
        <v>4,348</v>
      </c>
      <c r="H119" s="50">
        <f>+IFERROR(INDEX('Restaurant Base (Hidden)'!$A$2:$Z$1048576,MATCH($C119,'Restaurant Base (Hidden)'!$C$2:$C$1048576,0),MATCH(H$6,'Restaurant Base (Hidden)'!$A$1:$Z$1,0)),"")</f>
        <v>3</v>
      </c>
      <c r="I119" s="20" t="str">
        <f>+IFERROR(INDEX('Restaurant Base (Hidden)'!$A$2:$Z$1048576,MATCH($C119,'Restaurant Base (Hidden)'!$C$2:$C$1048576,0),MATCH(I$6,'Restaurant Base (Hidden)'!$A$1:$Z$1,0)),"")</f>
        <v>96,30 %</v>
      </c>
      <c r="J119" s="49">
        <f>+IFERROR(INDEX('Restaurant Base (Hidden)'!$A$2:$Z$1048576,MATCH($C119,'Restaurant Base (Hidden)'!$C$2:$C$1048576,0),MATCH(J$6,'Restaurant Base (Hidden)'!$A$1:$Z$1,0)),"")</f>
        <v>5</v>
      </c>
      <c r="K119" s="20" t="str">
        <f>+IFERROR(INDEX('Restaurant Base (Hidden)'!$A$2:$Z$1048576,MATCH($C119,'Restaurant Base (Hidden)'!$C$2:$C$1048576,0),MATCH(K$6,'Restaurant Base (Hidden)'!$A$1:$Z$1,0)),"")</f>
        <v>0,066</v>
      </c>
      <c r="L119" s="51">
        <f>+IFERROR(INDEX('Restaurant Base (Hidden)'!$A$2:$Z$1048576,MATCH($C119,'Restaurant Base (Hidden)'!$C$2:$C$1048576,0),MATCH(L$6,'Restaurant Base (Hidden)'!$A$1:$Z$1,0)),"")</f>
        <v>4</v>
      </c>
      <c r="M119" s="2" t="str">
        <f>+IFERROR(INDEX('Restaurant Base (Hidden)'!$A$2:$Z$1048576,MATCH($C119,'Restaurant Base (Hidden)'!$C$2:$C$1048576,0),MATCH(M$6,'Restaurant Base (Hidden)'!$A$1:$Z$1,0)),"")</f>
        <v/>
      </c>
      <c r="N119" s="234" t="str">
        <f>+IFERROR(INDEX('Restaurant Base (Hidden)'!$A$2:$Z$1048576,MATCH($C119,'Restaurant Base (Hidden)'!$C$2:$C$1048576,0),MATCH(N$6,'Restaurant Base (Hidden)'!$A$1:$Z$1,0)),"")</f>
        <v>59,70 %</v>
      </c>
      <c r="O119" s="1">
        <f>+IFERROR(INDEX('Restaurant Base (Hidden)'!$A$2:$Z$1048576,MATCH($C119,'Restaurant Base (Hidden)'!$C$2:$C$1048576,0),MATCH(O$6,'Restaurant Base (Hidden)'!$A$1:$Z$1,0)),"")</f>
        <v>1</v>
      </c>
      <c r="P119" s="2" t="str">
        <f>+IFERROR(INDEX('Restaurant Base (Hidden)'!$A$2:$Z$1048576,MATCH($C119,'Restaurant Base (Hidden)'!$C$2:$C$1048576,0),MATCH(P$6,'Restaurant Base (Hidden)'!$A$1:$Z$1,0)),"")</f>
        <v/>
      </c>
      <c r="Q119" s="234" t="str">
        <f>+IFERROR(INDEX('Restaurant Base (Hidden)'!$A$2:$Z$1048576,MATCH($C119,'Restaurant Base (Hidden)'!$C$2:$C$1048576,0),MATCH(Q$6,'Restaurant Base (Hidden)'!$A$1:$Z$1,0)),"")</f>
        <v>72,00 %</v>
      </c>
      <c r="R119" s="1">
        <f>+IFERROR(INDEX('Restaurant Base (Hidden)'!$A$2:$Z$1048576,MATCH($C119,'Restaurant Base (Hidden)'!$C$2:$C$1048576,0),MATCH(R$6,'Restaurant Base (Hidden)'!$A$1:$Z$1,0)),"")</f>
        <v>4</v>
      </c>
      <c r="S119" s="2" t="str">
        <f>+IFERROR(INDEX('Restaurant Base (Hidden)'!$A$2:$Z$1048576,MATCH($C119,'Restaurant Base (Hidden)'!$C$2:$C$1048576,0),MATCH(S$6,'Restaurant Base (Hidden)'!$A$1:$Z$1,0)),"")</f>
        <v/>
      </c>
      <c r="T119" s="62">
        <f>+IFERROR(INDEX('Restaurant Base (Hidden)'!$A$2:$Z$1048576,MATCH($C119,'Restaurant Base (Hidden)'!$C$2:$C$1048576,0),MATCH(T$6,'Restaurant Base (Hidden)'!$A$1:$Z$1,0)),"")</f>
        <v>72.599999999999994</v>
      </c>
      <c r="U119" s="1">
        <f>+IFERROR(INDEX('Restaurant Base (Hidden)'!$A$2:$Z$1048576,MATCH($C119,'Restaurant Base (Hidden)'!$C$2:$C$1048576,0),MATCH(U$6,'Restaurant Base (Hidden)'!$A$1:$Z$1,0)),"")</f>
        <v>5</v>
      </c>
      <c r="V119" s="2" t="str">
        <f>+IFERROR(INDEX('Restaurant Base (Hidden)'!$A$2:$Z$1048576,MATCH($C119,'Restaurant Base (Hidden)'!$C$2:$C$1048576,0),MATCH(V$6,'Restaurant Base (Hidden)'!$A$1:$Z$1,0)),"")</f>
        <v/>
      </c>
      <c r="W119" s="65" t="str">
        <f>+IFERROR(INDEX('Restaurant Base (Hidden)'!$A$2:$Z$1048576,MATCH($C119,'Restaurant Base (Hidden)'!$C$2:$C$1048576,0),MATCH(W$6,'Restaurant Base (Hidden)'!$A$1:$Z$1,0)),"")</f>
        <v>98,90 %</v>
      </c>
      <c r="X119" s="1">
        <f>+IFERROR(INDEX('Restaurant Base (Hidden)'!$A$2:$Z$1048576,MATCH($C119,'Restaurant Base (Hidden)'!$C$2:$C$1048576,0),MATCH(X$6,'Restaurant Base (Hidden)'!$A$1:$Z$1,0)),"")</f>
        <v>5</v>
      </c>
      <c r="Y119" s="65" t="str">
        <f>+IFERROR(INDEX('Restaurant Base (Hidden)'!$A$2:$Z$1048576,MATCH($C119,'Restaurant Base (Hidden)'!$C$2:$C$1048576,0),MATCH(Y$6,'Restaurant Base (Hidden)'!$A$1:$Z$1,0)),"")</f>
        <v>96,70 %</v>
      </c>
      <c r="Z119" s="106">
        <f>+IFERROR(INDEX('Restaurant Base (Hidden)'!$A$2:$Z$1048576,MATCH($C119,'Restaurant Base (Hidden)'!$C$2:$C$1048576,0),MATCH(Z$6,'Restaurant Base (Hidden)'!$A$1:$Z$1,0)),"")</f>
        <v>4</v>
      </c>
      <c r="AA119" s="65" t="str">
        <f>+IFERROR(INDEX('Restaurant Base (Hidden)'!$A$2:$Z$1048576,MATCH($C119,'Restaurant Base (Hidden)'!$C$2:$C$1048576,0),MATCH(AA$6,'Restaurant Base (Hidden)'!$A$1:$Z$1,0)),"")</f>
        <v>83,60 %</v>
      </c>
      <c r="AB119" s="1">
        <f>+IFERROR(INDEX('Restaurant Base (Hidden)'!$A$2:$Z$1048576,MATCH($C119,'Restaurant Base (Hidden)'!$C$2:$C$1048576,0),MATCH(AB$6,'Restaurant Base (Hidden)'!$A$1:$Z$1,0)),"")</f>
        <v>2</v>
      </c>
      <c r="AC119" s="20" t="str">
        <f>+IFERROR(INDEX('Restaurant Base (Hidden)'!$A$2:$Z$1048576,MATCH($C119,'Restaurant Base (Hidden)'!$C$2:$C$1048576,0),MATCH(AC$6,'Restaurant Base (Hidden)'!$A$1:$Z$1,0)),"")</f>
        <v/>
      </c>
      <c r="AD119" s="65" t="str">
        <f>+IFERROR(INDEX('Restaurant Base (Hidden)'!$A$2:$Z$1048576,MATCH($C119,'Restaurant Base (Hidden)'!$C$2:$C$1048576,0),MATCH(AD$6,'Restaurant Base (Hidden)'!$A$1:$Z$1,0)),"")</f>
        <v>86,40 %</v>
      </c>
      <c r="AE119" s="1">
        <f>+IFERROR(INDEX('Restaurant Base (Hidden)'!$A$2:$Z$1048576,MATCH($C119,'Restaurant Base (Hidden)'!$C$2:$C$1048576,0),MATCH(AE$6,'Restaurant Base (Hidden)'!$A$1:$Z$1,0)),"")</f>
        <v>3</v>
      </c>
      <c r="AF119" s="65" t="str">
        <f>+IFERROR(INDEX('Restaurant Base (Hidden)'!$A$2:$Z$1048576,MATCH($C119,'Restaurant Base (Hidden)'!$C$2:$C$1048576,0),MATCH(AF$6,'Restaurant Base (Hidden)'!$A$1:$Z$1,0)),"")</f>
        <v>69,10 %</v>
      </c>
      <c r="AG119" s="1">
        <f>+IFERROR(INDEX('Restaurant Base (Hidden)'!$A$2:$Z$1048576,MATCH($C119,'Restaurant Base (Hidden)'!$C$2:$C$1048576,0),MATCH(AG$6,'Restaurant Base (Hidden)'!$A$1:$Z$1,0)),"")</f>
        <v>1</v>
      </c>
    </row>
    <row r="120" spans="1:33" x14ac:dyDescent="0.4">
      <c r="A120" s="163" t="str">
        <f>IF('Restaurant Base (Hidden)'!A101=0,"", 'Restaurant Base (Hidden)'!A101)</f>
        <v>Logan Redford</v>
      </c>
      <c r="B120" s="163" t="str">
        <f>IF('Restaurant Base (Hidden)'!B101=0,"", 'Restaurant Base (Hidden)'!B101)</f>
        <v>Parkstone Restaurant Group</v>
      </c>
      <c r="C120" s="163" t="str">
        <f>IF('Restaurant Base (Hidden)'!C101=0,"", 'Restaurant Base (Hidden)'!C101)</f>
        <v>Rosewood Quay</v>
      </c>
      <c r="D120" s="104">
        <f t="shared" si="1"/>
        <v>113</v>
      </c>
      <c r="E120" s="105">
        <f>+IFERROR(INDEX('Restaurant Base (Hidden)'!$A$2:$Z$1048576,MATCH($C120,'Restaurant Base (Hidden)'!$C$2:$C$1048576,0),MATCH(E$6,'Restaurant Base (Hidden)'!$A$1:$Z$1,0)),"")</f>
        <v>3.27</v>
      </c>
      <c r="F120" s="2" t="str">
        <f>+IFERROR(INDEX('Restaurant Base (Hidden)'!$A$2:$Z$1048576,MATCH($C120,'Restaurant Base (Hidden)'!$C$2:$C$1048576,0),MATCH(F$6,'Restaurant Base (Hidden)'!$A$1:$Z$1,0)),"")</f>
        <v/>
      </c>
      <c r="G120" s="20" t="str">
        <f>+IFERROR(INDEX('Restaurant Base (Hidden)'!$A$2:$Z$1048576,MATCH($C120,'Restaurant Base (Hidden)'!$C$2:$C$1048576,0),MATCH(G$6,'Restaurant Base (Hidden)'!$A$1:$Z$1,0)),"")</f>
        <v>4,629</v>
      </c>
      <c r="H120" s="50">
        <f>+IFERROR(INDEX('Restaurant Base (Hidden)'!$A$2:$Z$1048576,MATCH($C120,'Restaurant Base (Hidden)'!$C$2:$C$1048576,0),MATCH(H$6,'Restaurant Base (Hidden)'!$A$1:$Z$1,0)),"")</f>
        <v>5</v>
      </c>
      <c r="I120" s="20" t="str">
        <f>+IFERROR(INDEX('Restaurant Base (Hidden)'!$A$2:$Z$1048576,MATCH($C120,'Restaurant Base (Hidden)'!$C$2:$C$1048576,0),MATCH(I$6,'Restaurant Base (Hidden)'!$A$1:$Z$1,0)),"")</f>
        <v>88,50 %</v>
      </c>
      <c r="J120" s="49">
        <f>+IFERROR(INDEX('Restaurant Base (Hidden)'!$A$2:$Z$1048576,MATCH($C120,'Restaurant Base (Hidden)'!$C$2:$C$1048576,0),MATCH(J$6,'Restaurant Base (Hidden)'!$A$1:$Z$1,0)),"")</f>
        <v>4</v>
      </c>
      <c r="K120" s="20" t="str">
        <f>+IFERROR(INDEX('Restaurant Base (Hidden)'!$A$2:$Z$1048576,MATCH($C120,'Restaurant Base (Hidden)'!$C$2:$C$1048576,0),MATCH(K$6,'Restaurant Base (Hidden)'!$A$1:$Z$1,0)),"")</f>
        <v>0,087</v>
      </c>
      <c r="L120" s="51">
        <f>+IFERROR(INDEX('Restaurant Base (Hidden)'!$A$2:$Z$1048576,MATCH($C120,'Restaurant Base (Hidden)'!$C$2:$C$1048576,0),MATCH(L$6,'Restaurant Base (Hidden)'!$A$1:$Z$1,0)),"")</f>
        <v>4</v>
      </c>
      <c r="M120" s="2" t="str">
        <f>+IFERROR(INDEX('Restaurant Base (Hidden)'!$A$2:$Z$1048576,MATCH($C120,'Restaurant Base (Hidden)'!$C$2:$C$1048576,0),MATCH(M$6,'Restaurant Base (Hidden)'!$A$1:$Z$1,0)),"")</f>
        <v/>
      </c>
      <c r="N120" s="234" t="str">
        <f>+IFERROR(INDEX('Restaurant Base (Hidden)'!$A$2:$Z$1048576,MATCH($C120,'Restaurant Base (Hidden)'!$C$2:$C$1048576,0),MATCH(N$6,'Restaurant Base (Hidden)'!$A$1:$Z$1,0)),"")</f>
        <v>70,30 %</v>
      </c>
      <c r="O120" s="1">
        <f>+IFERROR(INDEX('Restaurant Base (Hidden)'!$A$2:$Z$1048576,MATCH($C120,'Restaurant Base (Hidden)'!$C$2:$C$1048576,0),MATCH(O$6,'Restaurant Base (Hidden)'!$A$1:$Z$1,0)),"")</f>
        <v>4</v>
      </c>
      <c r="P120" s="2" t="str">
        <f>+IFERROR(INDEX('Restaurant Base (Hidden)'!$A$2:$Z$1048576,MATCH($C120,'Restaurant Base (Hidden)'!$C$2:$C$1048576,0),MATCH(P$6,'Restaurant Base (Hidden)'!$A$1:$Z$1,0)),"")</f>
        <v/>
      </c>
      <c r="Q120" s="234" t="str">
        <f>+IFERROR(INDEX('Restaurant Base (Hidden)'!$A$2:$Z$1048576,MATCH($C120,'Restaurant Base (Hidden)'!$C$2:$C$1048576,0),MATCH(Q$6,'Restaurant Base (Hidden)'!$A$1:$Z$1,0)),"")</f>
        <v>85,90 %</v>
      </c>
      <c r="R120" s="1">
        <f>+IFERROR(INDEX('Restaurant Base (Hidden)'!$A$2:$Z$1048576,MATCH($C120,'Restaurant Base (Hidden)'!$C$2:$C$1048576,0),MATCH(R$6,'Restaurant Base (Hidden)'!$A$1:$Z$1,0)),"")</f>
        <v>5</v>
      </c>
      <c r="S120" s="2" t="str">
        <f>+IFERROR(INDEX('Restaurant Base (Hidden)'!$A$2:$Z$1048576,MATCH($C120,'Restaurant Base (Hidden)'!$C$2:$C$1048576,0),MATCH(S$6,'Restaurant Base (Hidden)'!$A$1:$Z$1,0)),"")</f>
        <v/>
      </c>
      <c r="T120" s="62">
        <f>+IFERROR(INDEX('Restaurant Base (Hidden)'!$A$2:$Z$1048576,MATCH($C120,'Restaurant Base (Hidden)'!$C$2:$C$1048576,0),MATCH(T$6,'Restaurant Base (Hidden)'!$A$1:$Z$1,0)),"")</f>
        <v>64.7</v>
      </c>
      <c r="U120" s="1">
        <f>+IFERROR(INDEX('Restaurant Base (Hidden)'!$A$2:$Z$1048576,MATCH($C120,'Restaurant Base (Hidden)'!$C$2:$C$1048576,0),MATCH(U$6,'Restaurant Base (Hidden)'!$A$1:$Z$1,0)),"")</f>
        <v>4</v>
      </c>
      <c r="V120" s="2" t="str">
        <f>+IFERROR(INDEX('Restaurant Base (Hidden)'!$A$2:$Z$1048576,MATCH($C120,'Restaurant Base (Hidden)'!$C$2:$C$1048576,0),MATCH(V$6,'Restaurant Base (Hidden)'!$A$1:$Z$1,0)),"")</f>
        <v/>
      </c>
      <c r="W120" s="65" t="str">
        <f>+IFERROR(INDEX('Restaurant Base (Hidden)'!$A$2:$Z$1048576,MATCH($C120,'Restaurant Base (Hidden)'!$C$2:$C$1048576,0),MATCH(W$6,'Restaurant Base (Hidden)'!$A$1:$Z$1,0)),"")</f>
        <v>73,30 %</v>
      </c>
      <c r="X120" s="1">
        <f>+IFERROR(INDEX('Restaurant Base (Hidden)'!$A$2:$Z$1048576,MATCH($C120,'Restaurant Base (Hidden)'!$C$2:$C$1048576,0),MATCH(X$6,'Restaurant Base (Hidden)'!$A$1:$Z$1,0)),"")</f>
        <v>2</v>
      </c>
      <c r="Y120" s="65" t="str">
        <f>+IFERROR(INDEX('Restaurant Base (Hidden)'!$A$2:$Z$1048576,MATCH($C120,'Restaurant Base (Hidden)'!$C$2:$C$1048576,0),MATCH(Y$6,'Restaurant Base (Hidden)'!$A$1:$Z$1,0)),"")</f>
        <v>65,70 %</v>
      </c>
      <c r="Z120" s="106">
        <f>+IFERROR(INDEX('Restaurant Base (Hidden)'!$A$2:$Z$1048576,MATCH($C120,'Restaurant Base (Hidden)'!$C$2:$C$1048576,0),MATCH(Z$6,'Restaurant Base (Hidden)'!$A$1:$Z$1,0)),"")</f>
        <v>2</v>
      </c>
      <c r="AA120" s="65" t="str">
        <f>+IFERROR(INDEX('Restaurant Base (Hidden)'!$A$2:$Z$1048576,MATCH($C120,'Restaurant Base (Hidden)'!$C$2:$C$1048576,0),MATCH(AA$6,'Restaurant Base (Hidden)'!$A$1:$Z$1,0)),"")</f>
        <v>58,10 %</v>
      </c>
      <c r="AB120" s="1">
        <f>+IFERROR(INDEX('Restaurant Base (Hidden)'!$A$2:$Z$1048576,MATCH($C120,'Restaurant Base (Hidden)'!$C$2:$C$1048576,0),MATCH(AB$6,'Restaurant Base (Hidden)'!$A$1:$Z$1,0)),"")</f>
        <v>1</v>
      </c>
      <c r="AC120" s="20" t="str">
        <f>+IFERROR(INDEX('Restaurant Base (Hidden)'!$A$2:$Z$1048576,MATCH($C120,'Restaurant Base (Hidden)'!$C$2:$C$1048576,0),MATCH(AC$6,'Restaurant Base (Hidden)'!$A$1:$Z$1,0)),"")</f>
        <v/>
      </c>
      <c r="AD120" s="65" t="str">
        <f>+IFERROR(INDEX('Restaurant Base (Hidden)'!$A$2:$Z$1048576,MATCH($C120,'Restaurant Base (Hidden)'!$C$2:$C$1048576,0),MATCH(AD$6,'Restaurant Base (Hidden)'!$A$1:$Z$1,0)),"")</f>
        <v>58,60 %</v>
      </c>
      <c r="AE120" s="1">
        <f>+IFERROR(INDEX('Restaurant Base (Hidden)'!$A$2:$Z$1048576,MATCH($C120,'Restaurant Base (Hidden)'!$C$2:$C$1048576,0),MATCH(AE$6,'Restaurant Base (Hidden)'!$A$1:$Z$1,0)),"")</f>
        <v>1</v>
      </c>
      <c r="AF120" s="65" t="str">
        <f>+IFERROR(INDEX('Restaurant Base (Hidden)'!$A$2:$Z$1048576,MATCH($C120,'Restaurant Base (Hidden)'!$C$2:$C$1048576,0),MATCH(AF$6,'Restaurant Base (Hidden)'!$A$1:$Z$1,0)),"")</f>
        <v>62,20 %</v>
      </c>
      <c r="AG120" s="1">
        <f>+IFERROR(INDEX('Restaurant Base (Hidden)'!$A$2:$Z$1048576,MATCH($C120,'Restaurant Base (Hidden)'!$C$2:$C$1048576,0),MATCH(AG$6,'Restaurant Base (Hidden)'!$A$1:$Z$1,0)),"")</f>
        <v>1</v>
      </c>
    </row>
    <row r="121" spans="1:33" x14ac:dyDescent="0.4">
      <c r="A121" s="163" t="str">
        <f>IF('Restaurant Base (Hidden)'!A312=0,"", 'Restaurant Base (Hidden)'!A312)</f>
        <v>Taylor Hartwell</v>
      </c>
      <c r="B121" s="163" t="str">
        <f>IF('Restaurant Base (Hidden)'!B312=0,"", 'Restaurant Base (Hidden)'!B312)</f>
        <v>Oakmont Dining Partners</v>
      </c>
      <c r="C121" s="163" t="str">
        <f>IF('Restaurant Base (Hidden)'!C312=0,"", 'Restaurant Base (Hidden)'!C312)</f>
        <v>Fox Crossing</v>
      </c>
      <c r="D121" s="104">
        <f t="shared" si="1"/>
        <v>113</v>
      </c>
      <c r="E121" s="105">
        <f>+IFERROR(INDEX('Restaurant Base (Hidden)'!$A$2:$Z$1048576,MATCH($C121,'Restaurant Base (Hidden)'!$C$2:$C$1048576,0),MATCH(E$6,'Restaurant Base (Hidden)'!$A$1:$Z$1,0)),"")</f>
        <v>3.27</v>
      </c>
      <c r="F121" s="2" t="str">
        <f>+IFERROR(INDEX('Restaurant Base (Hidden)'!$A$2:$Z$1048576,MATCH($C121,'Restaurant Base (Hidden)'!$C$2:$C$1048576,0),MATCH(F$6,'Restaurant Base (Hidden)'!$A$1:$Z$1,0)),"")</f>
        <v/>
      </c>
      <c r="G121" s="20" t="str">
        <f>+IFERROR(INDEX('Restaurant Base (Hidden)'!$A$2:$Z$1048576,MATCH($C121,'Restaurant Base (Hidden)'!$C$2:$C$1048576,0),MATCH(G$6,'Restaurant Base (Hidden)'!$A$1:$Z$1,0)),"")</f>
        <v>4,566</v>
      </c>
      <c r="H121" s="50">
        <f>+IFERROR(INDEX('Restaurant Base (Hidden)'!$A$2:$Z$1048576,MATCH($C121,'Restaurant Base (Hidden)'!$C$2:$C$1048576,0),MATCH(H$6,'Restaurant Base (Hidden)'!$A$1:$Z$1,0)),"")</f>
        <v>5</v>
      </c>
      <c r="I121" s="20" t="str">
        <f>+IFERROR(INDEX('Restaurant Base (Hidden)'!$A$2:$Z$1048576,MATCH($C121,'Restaurant Base (Hidden)'!$C$2:$C$1048576,0),MATCH(I$6,'Restaurant Base (Hidden)'!$A$1:$Z$1,0)),"")</f>
        <v>75,90 %</v>
      </c>
      <c r="J121" s="49">
        <f>+IFERROR(INDEX('Restaurant Base (Hidden)'!$A$2:$Z$1048576,MATCH($C121,'Restaurant Base (Hidden)'!$C$2:$C$1048576,0),MATCH(J$6,'Restaurant Base (Hidden)'!$A$1:$Z$1,0)),"")</f>
        <v>1</v>
      </c>
      <c r="K121" s="20" t="str">
        <f>+IFERROR(INDEX('Restaurant Base (Hidden)'!$A$2:$Z$1048576,MATCH($C121,'Restaurant Base (Hidden)'!$C$2:$C$1048576,0),MATCH(K$6,'Restaurant Base (Hidden)'!$A$1:$Z$1,0)),"")</f>
        <v>0,052</v>
      </c>
      <c r="L121" s="51">
        <f>+IFERROR(INDEX('Restaurant Base (Hidden)'!$A$2:$Z$1048576,MATCH($C121,'Restaurant Base (Hidden)'!$C$2:$C$1048576,0),MATCH(L$6,'Restaurant Base (Hidden)'!$A$1:$Z$1,0)),"")</f>
        <v>5</v>
      </c>
      <c r="M121" s="2" t="str">
        <f>+IFERROR(INDEX('Restaurant Base (Hidden)'!$A$2:$Z$1048576,MATCH($C121,'Restaurant Base (Hidden)'!$C$2:$C$1048576,0),MATCH(M$6,'Restaurant Base (Hidden)'!$A$1:$Z$1,0)),"")</f>
        <v/>
      </c>
      <c r="N121" s="234" t="str">
        <f>+IFERROR(INDEX('Restaurant Base (Hidden)'!$A$2:$Z$1048576,MATCH($C121,'Restaurant Base (Hidden)'!$C$2:$C$1048576,0),MATCH(N$6,'Restaurant Base (Hidden)'!$A$1:$Z$1,0)),"")</f>
        <v>95,60 %</v>
      </c>
      <c r="O121" s="1">
        <f>+IFERROR(INDEX('Restaurant Base (Hidden)'!$A$2:$Z$1048576,MATCH($C121,'Restaurant Base (Hidden)'!$C$2:$C$1048576,0),MATCH(O$6,'Restaurant Base (Hidden)'!$A$1:$Z$1,0)),"")</f>
        <v>5</v>
      </c>
      <c r="P121" s="2" t="str">
        <f>+IFERROR(INDEX('Restaurant Base (Hidden)'!$A$2:$Z$1048576,MATCH($C121,'Restaurant Base (Hidden)'!$C$2:$C$1048576,0),MATCH(P$6,'Restaurant Base (Hidden)'!$A$1:$Z$1,0)),"")</f>
        <v/>
      </c>
      <c r="Q121" s="234" t="str">
        <f>+IFERROR(INDEX('Restaurant Base (Hidden)'!$A$2:$Z$1048576,MATCH($C121,'Restaurant Base (Hidden)'!$C$2:$C$1048576,0),MATCH(Q$6,'Restaurant Base (Hidden)'!$A$1:$Z$1,0)),"")</f>
        <v>87,80 %</v>
      </c>
      <c r="R121" s="1">
        <f>+IFERROR(INDEX('Restaurant Base (Hidden)'!$A$2:$Z$1048576,MATCH($C121,'Restaurant Base (Hidden)'!$C$2:$C$1048576,0),MATCH(R$6,'Restaurant Base (Hidden)'!$A$1:$Z$1,0)),"")</f>
        <v>5</v>
      </c>
      <c r="S121" s="2" t="str">
        <f>+IFERROR(INDEX('Restaurant Base (Hidden)'!$A$2:$Z$1048576,MATCH($C121,'Restaurant Base (Hidden)'!$C$2:$C$1048576,0),MATCH(S$6,'Restaurant Base (Hidden)'!$A$1:$Z$1,0)),"")</f>
        <v/>
      </c>
      <c r="T121" s="62">
        <f>+IFERROR(INDEX('Restaurant Base (Hidden)'!$A$2:$Z$1048576,MATCH($C121,'Restaurant Base (Hidden)'!$C$2:$C$1048576,0),MATCH(T$6,'Restaurant Base (Hidden)'!$A$1:$Z$1,0)),"")</f>
        <v>57.9</v>
      </c>
      <c r="U121" s="1">
        <f>+IFERROR(INDEX('Restaurant Base (Hidden)'!$A$2:$Z$1048576,MATCH($C121,'Restaurant Base (Hidden)'!$C$2:$C$1048576,0),MATCH(U$6,'Restaurant Base (Hidden)'!$A$1:$Z$1,0)),"")</f>
        <v>2</v>
      </c>
      <c r="V121" s="2" t="str">
        <f>+IFERROR(INDEX('Restaurant Base (Hidden)'!$A$2:$Z$1048576,MATCH($C121,'Restaurant Base (Hidden)'!$C$2:$C$1048576,0),MATCH(V$6,'Restaurant Base (Hidden)'!$A$1:$Z$1,0)),"")</f>
        <v/>
      </c>
      <c r="W121" s="65" t="str">
        <f>+IFERROR(INDEX('Restaurant Base (Hidden)'!$A$2:$Z$1048576,MATCH($C121,'Restaurant Base (Hidden)'!$C$2:$C$1048576,0),MATCH(W$6,'Restaurant Base (Hidden)'!$A$1:$Z$1,0)),"")</f>
        <v>85,50 %</v>
      </c>
      <c r="X121" s="1">
        <f>+IFERROR(INDEX('Restaurant Base (Hidden)'!$A$2:$Z$1048576,MATCH($C121,'Restaurant Base (Hidden)'!$C$2:$C$1048576,0),MATCH(X$6,'Restaurant Base (Hidden)'!$A$1:$Z$1,0)),"")</f>
        <v>3</v>
      </c>
      <c r="Y121" s="65" t="str">
        <f>+IFERROR(INDEX('Restaurant Base (Hidden)'!$A$2:$Z$1048576,MATCH($C121,'Restaurant Base (Hidden)'!$C$2:$C$1048576,0),MATCH(Y$6,'Restaurant Base (Hidden)'!$A$1:$Z$1,0)),"")</f>
        <v>74,70 %</v>
      </c>
      <c r="Z121" s="106">
        <f>+IFERROR(INDEX('Restaurant Base (Hidden)'!$A$2:$Z$1048576,MATCH($C121,'Restaurant Base (Hidden)'!$C$2:$C$1048576,0),MATCH(Z$6,'Restaurant Base (Hidden)'!$A$1:$Z$1,0)),"")</f>
        <v>2</v>
      </c>
      <c r="AA121" s="65" t="str">
        <f>+IFERROR(INDEX('Restaurant Base (Hidden)'!$A$2:$Z$1048576,MATCH($C121,'Restaurant Base (Hidden)'!$C$2:$C$1048576,0),MATCH(AA$6,'Restaurant Base (Hidden)'!$A$1:$Z$1,0)),"")</f>
        <v>80,80 %</v>
      </c>
      <c r="AB121" s="1">
        <f>+IFERROR(INDEX('Restaurant Base (Hidden)'!$A$2:$Z$1048576,MATCH($C121,'Restaurant Base (Hidden)'!$C$2:$C$1048576,0),MATCH(AB$6,'Restaurant Base (Hidden)'!$A$1:$Z$1,0)),"")</f>
        <v>2</v>
      </c>
      <c r="AC121" s="20" t="str">
        <f>+IFERROR(INDEX('Restaurant Base (Hidden)'!$A$2:$Z$1048576,MATCH($C121,'Restaurant Base (Hidden)'!$C$2:$C$1048576,0),MATCH(AC$6,'Restaurant Base (Hidden)'!$A$1:$Z$1,0)),"")</f>
        <v/>
      </c>
      <c r="AD121" s="65" t="str">
        <f>+IFERROR(INDEX('Restaurant Base (Hidden)'!$A$2:$Z$1048576,MATCH($C121,'Restaurant Base (Hidden)'!$C$2:$C$1048576,0),MATCH(AD$6,'Restaurant Base (Hidden)'!$A$1:$Z$1,0)),"")</f>
        <v>94,80 %</v>
      </c>
      <c r="AE121" s="1">
        <f>+IFERROR(INDEX('Restaurant Base (Hidden)'!$A$2:$Z$1048576,MATCH($C121,'Restaurant Base (Hidden)'!$C$2:$C$1048576,0),MATCH(AE$6,'Restaurant Base (Hidden)'!$A$1:$Z$1,0)),"")</f>
        <v>4</v>
      </c>
      <c r="AF121" s="65" t="str">
        <f>+IFERROR(INDEX('Restaurant Base (Hidden)'!$A$2:$Z$1048576,MATCH($C121,'Restaurant Base (Hidden)'!$C$2:$C$1048576,0),MATCH(AF$6,'Restaurant Base (Hidden)'!$A$1:$Z$1,0)),"")</f>
        <v>59,00 %</v>
      </c>
      <c r="AG121" s="1">
        <f>+IFERROR(INDEX('Restaurant Base (Hidden)'!$A$2:$Z$1048576,MATCH($C121,'Restaurant Base (Hidden)'!$C$2:$C$1048576,0),MATCH(AG$6,'Restaurant Base (Hidden)'!$A$1:$Z$1,0)),"")</f>
        <v>1</v>
      </c>
    </row>
    <row r="122" spans="1:33" x14ac:dyDescent="0.4">
      <c r="A122" s="163" t="str">
        <f>IF('Restaurant Base (Hidden)'!A318=0,"", 'Restaurant Base (Hidden)'!A318)</f>
        <v>Sage Rosemont</v>
      </c>
      <c r="B122" s="163" t="str">
        <f>IF('Restaurant Base (Hidden)'!B318=0,"", 'Restaurant Base (Hidden)'!B318)</f>
        <v>Havenbrook Restaurants</v>
      </c>
      <c r="C122" s="163" t="str">
        <f>IF('Restaurant Base (Hidden)'!C318=0,"", 'Restaurant Base (Hidden)'!C318)</f>
        <v>Crestfield Point</v>
      </c>
      <c r="D122" s="104">
        <f t="shared" si="1"/>
        <v>113</v>
      </c>
      <c r="E122" s="105">
        <f>+IFERROR(INDEX('Restaurant Base (Hidden)'!$A$2:$Z$1048576,MATCH($C122,'Restaurant Base (Hidden)'!$C$2:$C$1048576,0),MATCH(E$6,'Restaurant Base (Hidden)'!$A$1:$Z$1,0)),"")</f>
        <v>3.27</v>
      </c>
      <c r="F122" s="2" t="str">
        <f>+IFERROR(INDEX('Restaurant Base (Hidden)'!$A$2:$Z$1048576,MATCH($C122,'Restaurant Base (Hidden)'!$C$2:$C$1048576,0),MATCH(F$6,'Restaurant Base (Hidden)'!$A$1:$Z$1,0)),"")</f>
        <v/>
      </c>
      <c r="G122" s="20" t="str">
        <f>+IFERROR(INDEX('Restaurant Base (Hidden)'!$A$2:$Z$1048576,MATCH($C122,'Restaurant Base (Hidden)'!$C$2:$C$1048576,0),MATCH(G$6,'Restaurant Base (Hidden)'!$A$1:$Z$1,0)),"")</f>
        <v>4,418</v>
      </c>
      <c r="H122" s="50">
        <f>+IFERROR(INDEX('Restaurant Base (Hidden)'!$A$2:$Z$1048576,MATCH($C122,'Restaurant Base (Hidden)'!$C$2:$C$1048576,0),MATCH(H$6,'Restaurant Base (Hidden)'!$A$1:$Z$1,0)),"")</f>
        <v>4</v>
      </c>
      <c r="I122" s="20" t="str">
        <f>+IFERROR(INDEX('Restaurant Base (Hidden)'!$A$2:$Z$1048576,MATCH($C122,'Restaurant Base (Hidden)'!$C$2:$C$1048576,0),MATCH(I$6,'Restaurant Base (Hidden)'!$A$1:$Z$1,0)),"")</f>
        <v>96,80 %</v>
      </c>
      <c r="J122" s="49">
        <f>+IFERROR(INDEX('Restaurant Base (Hidden)'!$A$2:$Z$1048576,MATCH($C122,'Restaurant Base (Hidden)'!$C$2:$C$1048576,0),MATCH(J$6,'Restaurant Base (Hidden)'!$A$1:$Z$1,0)),"")</f>
        <v>5</v>
      </c>
      <c r="K122" s="20" t="str">
        <f>+IFERROR(INDEX('Restaurant Base (Hidden)'!$A$2:$Z$1048576,MATCH($C122,'Restaurant Base (Hidden)'!$C$2:$C$1048576,0),MATCH(K$6,'Restaurant Base (Hidden)'!$A$1:$Z$1,0)),"")</f>
        <v>0,176</v>
      </c>
      <c r="L122" s="51">
        <f>+IFERROR(INDEX('Restaurant Base (Hidden)'!$A$2:$Z$1048576,MATCH($C122,'Restaurant Base (Hidden)'!$C$2:$C$1048576,0),MATCH(L$6,'Restaurant Base (Hidden)'!$A$1:$Z$1,0)),"")</f>
        <v>2</v>
      </c>
      <c r="M122" s="2" t="str">
        <f>+IFERROR(INDEX('Restaurant Base (Hidden)'!$A$2:$Z$1048576,MATCH($C122,'Restaurant Base (Hidden)'!$C$2:$C$1048576,0),MATCH(M$6,'Restaurant Base (Hidden)'!$A$1:$Z$1,0)),"")</f>
        <v/>
      </c>
      <c r="N122" s="234" t="str">
        <f>+IFERROR(INDEX('Restaurant Base (Hidden)'!$A$2:$Z$1048576,MATCH($C122,'Restaurant Base (Hidden)'!$C$2:$C$1048576,0),MATCH(N$6,'Restaurant Base (Hidden)'!$A$1:$Z$1,0)),"")</f>
        <v>84,80 %</v>
      </c>
      <c r="O122" s="1">
        <f>+IFERROR(INDEX('Restaurant Base (Hidden)'!$A$2:$Z$1048576,MATCH($C122,'Restaurant Base (Hidden)'!$C$2:$C$1048576,0),MATCH(O$6,'Restaurant Base (Hidden)'!$A$1:$Z$1,0)),"")</f>
        <v>5</v>
      </c>
      <c r="P122" s="2" t="str">
        <f>+IFERROR(INDEX('Restaurant Base (Hidden)'!$A$2:$Z$1048576,MATCH($C122,'Restaurant Base (Hidden)'!$C$2:$C$1048576,0),MATCH(P$6,'Restaurant Base (Hidden)'!$A$1:$Z$1,0)),"")</f>
        <v/>
      </c>
      <c r="Q122" s="234" t="str">
        <f>+IFERROR(INDEX('Restaurant Base (Hidden)'!$A$2:$Z$1048576,MATCH($C122,'Restaurant Base (Hidden)'!$C$2:$C$1048576,0),MATCH(Q$6,'Restaurant Base (Hidden)'!$A$1:$Z$1,0)),"")</f>
        <v>60,40 %</v>
      </c>
      <c r="R122" s="1">
        <f>+IFERROR(INDEX('Restaurant Base (Hidden)'!$A$2:$Z$1048576,MATCH($C122,'Restaurant Base (Hidden)'!$C$2:$C$1048576,0),MATCH(R$6,'Restaurant Base (Hidden)'!$A$1:$Z$1,0)),"")</f>
        <v>1</v>
      </c>
      <c r="S122" s="2" t="str">
        <f>+IFERROR(INDEX('Restaurant Base (Hidden)'!$A$2:$Z$1048576,MATCH($C122,'Restaurant Base (Hidden)'!$C$2:$C$1048576,0),MATCH(S$6,'Restaurant Base (Hidden)'!$A$1:$Z$1,0)),"")</f>
        <v/>
      </c>
      <c r="T122" s="62">
        <f>+IFERROR(INDEX('Restaurant Base (Hidden)'!$A$2:$Z$1048576,MATCH($C122,'Restaurant Base (Hidden)'!$C$2:$C$1048576,0),MATCH(T$6,'Restaurant Base (Hidden)'!$A$1:$Z$1,0)),"")</f>
        <v>69.900000000000006</v>
      </c>
      <c r="U122" s="1">
        <f>+IFERROR(INDEX('Restaurant Base (Hidden)'!$A$2:$Z$1048576,MATCH($C122,'Restaurant Base (Hidden)'!$C$2:$C$1048576,0),MATCH(U$6,'Restaurant Base (Hidden)'!$A$1:$Z$1,0)),"")</f>
        <v>5</v>
      </c>
      <c r="V122" s="2" t="str">
        <f>+IFERROR(INDEX('Restaurant Base (Hidden)'!$A$2:$Z$1048576,MATCH($C122,'Restaurant Base (Hidden)'!$C$2:$C$1048576,0),MATCH(V$6,'Restaurant Base (Hidden)'!$A$1:$Z$1,0)),"")</f>
        <v/>
      </c>
      <c r="W122" s="65" t="str">
        <f>+IFERROR(INDEX('Restaurant Base (Hidden)'!$A$2:$Z$1048576,MATCH($C122,'Restaurant Base (Hidden)'!$C$2:$C$1048576,0),MATCH(W$6,'Restaurant Base (Hidden)'!$A$1:$Z$1,0)),"")</f>
        <v>92,00 %</v>
      </c>
      <c r="X122" s="1">
        <f>+IFERROR(INDEX('Restaurant Base (Hidden)'!$A$2:$Z$1048576,MATCH($C122,'Restaurant Base (Hidden)'!$C$2:$C$1048576,0),MATCH(X$6,'Restaurant Base (Hidden)'!$A$1:$Z$1,0)),"")</f>
        <v>4</v>
      </c>
      <c r="Y122" s="65" t="str">
        <f>+IFERROR(INDEX('Restaurant Base (Hidden)'!$A$2:$Z$1048576,MATCH($C122,'Restaurant Base (Hidden)'!$C$2:$C$1048576,0),MATCH(Y$6,'Restaurant Base (Hidden)'!$A$1:$Z$1,0)),"")</f>
        <v>56,10 %</v>
      </c>
      <c r="Z122" s="106">
        <f>+IFERROR(INDEX('Restaurant Base (Hidden)'!$A$2:$Z$1048576,MATCH($C122,'Restaurant Base (Hidden)'!$C$2:$C$1048576,0),MATCH(Z$6,'Restaurant Base (Hidden)'!$A$1:$Z$1,0)),"")</f>
        <v>1</v>
      </c>
      <c r="AA122" s="65" t="str">
        <f>+IFERROR(INDEX('Restaurant Base (Hidden)'!$A$2:$Z$1048576,MATCH($C122,'Restaurant Base (Hidden)'!$C$2:$C$1048576,0),MATCH(AA$6,'Restaurant Base (Hidden)'!$A$1:$Z$1,0)),"")</f>
        <v>99,20 %</v>
      </c>
      <c r="AB122" s="1">
        <f>+IFERROR(INDEX('Restaurant Base (Hidden)'!$A$2:$Z$1048576,MATCH($C122,'Restaurant Base (Hidden)'!$C$2:$C$1048576,0),MATCH(AB$6,'Restaurant Base (Hidden)'!$A$1:$Z$1,0)),"")</f>
        <v>5</v>
      </c>
      <c r="AC122" s="20" t="str">
        <f>+IFERROR(INDEX('Restaurant Base (Hidden)'!$A$2:$Z$1048576,MATCH($C122,'Restaurant Base (Hidden)'!$C$2:$C$1048576,0),MATCH(AC$6,'Restaurant Base (Hidden)'!$A$1:$Z$1,0)),"")</f>
        <v/>
      </c>
      <c r="AD122" s="65" t="str">
        <f>+IFERROR(INDEX('Restaurant Base (Hidden)'!$A$2:$Z$1048576,MATCH($C122,'Restaurant Base (Hidden)'!$C$2:$C$1048576,0),MATCH(AD$6,'Restaurant Base (Hidden)'!$A$1:$Z$1,0)),"")</f>
        <v>57,10 %</v>
      </c>
      <c r="AE122" s="1">
        <f>+IFERROR(INDEX('Restaurant Base (Hidden)'!$A$2:$Z$1048576,MATCH($C122,'Restaurant Base (Hidden)'!$C$2:$C$1048576,0),MATCH(AE$6,'Restaurant Base (Hidden)'!$A$1:$Z$1,0)),"")</f>
        <v>1</v>
      </c>
      <c r="AF122" s="65" t="str">
        <f>+IFERROR(INDEX('Restaurant Base (Hidden)'!$A$2:$Z$1048576,MATCH($C122,'Restaurant Base (Hidden)'!$C$2:$C$1048576,0),MATCH(AF$6,'Restaurant Base (Hidden)'!$A$1:$Z$1,0)),"")</f>
        <v>83,30 %</v>
      </c>
      <c r="AG122" s="1">
        <f>+IFERROR(INDEX('Restaurant Base (Hidden)'!$A$2:$Z$1048576,MATCH($C122,'Restaurant Base (Hidden)'!$C$2:$C$1048576,0),MATCH(AG$6,'Restaurant Base (Hidden)'!$A$1:$Z$1,0)),"")</f>
        <v>2</v>
      </c>
    </row>
    <row r="123" spans="1:33" x14ac:dyDescent="0.4">
      <c r="A123" s="163" t="str">
        <f>IF('Restaurant Base (Hidden)'!A390=0,"", 'Restaurant Base (Hidden)'!A390)</f>
        <v>Kendall Prescott</v>
      </c>
      <c r="B123" s="163" t="str">
        <f>IF('Restaurant Base (Hidden)'!B390=0,"", 'Restaurant Base (Hidden)'!B390)</f>
        <v>Northvale Restaurants</v>
      </c>
      <c r="C123" s="163" t="str">
        <f>IF('Restaurant Base (Hidden)'!C390=0,"", 'Restaurant Base (Hidden)'!C390)</f>
        <v>Brightmoor Corner</v>
      </c>
      <c r="D123" s="104">
        <f t="shared" si="1"/>
        <v>113</v>
      </c>
      <c r="E123" s="105">
        <f>+IFERROR(INDEX('Restaurant Base (Hidden)'!$A$2:$Z$1048576,MATCH($C123,'Restaurant Base (Hidden)'!$C$2:$C$1048576,0),MATCH(E$6,'Restaurant Base (Hidden)'!$A$1:$Z$1,0)),"")</f>
        <v>3.27</v>
      </c>
      <c r="F123" s="2" t="str">
        <f>+IFERROR(INDEX('Restaurant Base (Hidden)'!$A$2:$Z$1048576,MATCH($C123,'Restaurant Base (Hidden)'!$C$2:$C$1048576,0),MATCH(F$6,'Restaurant Base (Hidden)'!$A$1:$Z$1,0)),"")</f>
        <v/>
      </c>
      <c r="G123" s="20" t="str">
        <f>+IFERROR(INDEX('Restaurant Base (Hidden)'!$A$2:$Z$1048576,MATCH($C123,'Restaurant Base (Hidden)'!$C$2:$C$1048576,0),MATCH(G$6,'Restaurant Base (Hidden)'!$A$1:$Z$1,0)),"")</f>
        <v>4,801</v>
      </c>
      <c r="H123" s="50">
        <f>+IFERROR(INDEX('Restaurant Base (Hidden)'!$A$2:$Z$1048576,MATCH($C123,'Restaurant Base (Hidden)'!$C$2:$C$1048576,0),MATCH(H$6,'Restaurant Base (Hidden)'!$A$1:$Z$1,0)),"")</f>
        <v>5</v>
      </c>
      <c r="I123" s="20" t="str">
        <f>+IFERROR(INDEX('Restaurant Base (Hidden)'!$A$2:$Z$1048576,MATCH($C123,'Restaurant Base (Hidden)'!$C$2:$C$1048576,0),MATCH(I$6,'Restaurant Base (Hidden)'!$A$1:$Z$1,0)),"")</f>
        <v>79,10 %</v>
      </c>
      <c r="J123" s="49">
        <f>+IFERROR(INDEX('Restaurant Base (Hidden)'!$A$2:$Z$1048576,MATCH($C123,'Restaurant Base (Hidden)'!$C$2:$C$1048576,0),MATCH(J$6,'Restaurant Base (Hidden)'!$A$1:$Z$1,0)),"")</f>
        <v>2</v>
      </c>
      <c r="K123" s="20" t="str">
        <f>+IFERROR(INDEX('Restaurant Base (Hidden)'!$A$2:$Z$1048576,MATCH($C123,'Restaurant Base (Hidden)'!$C$2:$C$1048576,0),MATCH(K$6,'Restaurant Base (Hidden)'!$A$1:$Z$1,0)),"")</f>
        <v>0,158</v>
      </c>
      <c r="L123" s="51">
        <f>+IFERROR(INDEX('Restaurant Base (Hidden)'!$A$2:$Z$1048576,MATCH($C123,'Restaurant Base (Hidden)'!$C$2:$C$1048576,0),MATCH(L$6,'Restaurant Base (Hidden)'!$A$1:$Z$1,0)),"")</f>
        <v>2</v>
      </c>
      <c r="M123" s="2" t="str">
        <f>+IFERROR(INDEX('Restaurant Base (Hidden)'!$A$2:$Z$1048576,MATCH($C123,'Restaurant Base (Hidden)'!$C$2:$C$1048576,0),MATCH(M$6,'Restaurant Base (Hidden)'!$A$1:$Z$1,0)),"")</f>
        <v/>
      </c>
      <c r="N123" s="234" t="str">
        <f>+IFERROR(INDEX('Restaurant Base (Hidden)'!$A$2:$Z$1048576,MATCH($C123,'Restaurant Base (Hidden)'!$C$2:$C$1048576,0),MATCH(N$6,'Restaurant Base (Hidden)'!$A$1:$Z$1,0)),"")</f>
        <v>76,80 %</v>
      </c>
      <c r="O123" s="1">
        <f>+IFERROR(INDEX('Restaurant Base (Hidden)'!$A$2:$Z$1048576,MATCH($C123,'Restaurant Base (Hidden)'!$C$2:$C$1048576,0),MATCH(O$6,'Restaurant Base (Hidden)'!$A$1:$Z$1,0)),"")</f>
        <v>5</v>
      </c>
      <c r="P123" s="2" t="str">
        <f>+IFERROR(INDEX('Restaurant Base (Hidden)'!$A$2:$Z$1048576,MATCH($C123,'Restaurant Base (Hidden)'!$C$2:$C$1048576,0),MATCH(P$6,'Restaurant Base (Hidden)'!$A$1:$Z$1,0)),"")</f>
        <v/>
      </c>
      <c r="Q123" s="234" t="str">
        <f>+IFERROR(INDEX('Restaurant Base (Hidden)'!$A$2:$Z$1048576,MATCH($C123,'Restaurant Base (Hidden)'!$C$2:$C$1048576,0),MATCH(Q$6,'Restaurant Base (Hidden)'!$A$1:$Z$1,0)),"")</f>
        <v>92,50 %</v>
      </c>
      <c r="R123" s="1">
        <f>+IFERROR(INDEX('Restaurant Base (Hidden)'!$A$2:$Z$1048576,MATCH($C123,'Restaurant Base (Hidden)'!$C$2:$C$1048576,0),MATCH(R$6,'Restaurant Base (Hidden)'!$A$1:$Z$1,0)),"")</f>
        <v>5</v>
      </c>
      <c r="S123" s="2" t="str">
        <f>+IFERROR(INDEX('Restaurant Base (Hidden)'!$A$2:$Z$1048576,MATCH($C123,'Restaurant Base (Hidden)'!$C$2:$C$1048576,0),MATCH(S$6,'Restaurant Base (Hidden)'!$A$1:$Z$1,0)),"")</f>
        <v/>
      </c>
      <c r="T123" s="62">
        <f>+IFERROR(INDEX('Restaurant Base (Hidden)'!$A$2:$Z$1048576,MATCH($C123,'Restaurant Base (Hidden)'!$C$2:$C$1048576,0),MATCH(T$6,'Restaurant Base (Hidden)'!$A$1:$Z$1,0)),"")</f>
        <v>71.3</v>
      </c>
      <c r="U123" s="1">
        <f>+IFERROR(INDEX('Restaurant Base (Hidden)'!$A$2:$Z$1048576,MATCH($C123,'Restaurant Base (Hidden)'!$C$2:$C$1048576,0),MATCH(U$6,'Restaurant Base (Hidden)'!$A$1:$Z$1,0)),"")</f>
        <v>5</v>
      </c>
      <c r="V123" s="2" t="str">
        <f>+IFERROR(INDEX('Restaurant Base (Hidden)'!$A$2:$Z$1048576,MATCH($C123,'Restaurant Base (Hidden)'!$C$2:$C$1048576,0),MATCH(V$6,'Restaurant Base (Hidden)'!$A$1:$Z$1,0)),"")</f>
        <v/>
      </c>
      <c r="W123" s="65" t="str">
        <f>+IFERROR(INDEX('Restaurant Base (Hidden)'!$A$2:$Z$1048576,MATCH($C123,'Restaurant Base (Hidden)'!$C$2:$C$1048576,0),MATCH(W$6,'Restaurant Base (Hidden)'!$A$1:$Z$1,0)),"")</f>
        <v>69,90 %</v>
      </c>
      <c r="X123" s="1">
        <f>+IFERROR(INDEX('Restaurant Base (Hidden)'!$A$2:$Z$1048576,MATCH($C123,'Restaurant Base (Hidden)'!$C$2:$C$1048576,0),MATCH(X$6,'Restaurant Base (Hidden)'!$A$1:$Z$1,0)),"")</f>
        <v>2</v>
      </c>
      <c r="Y123" s="65" t="str">
        <f>+IFERROR(INDEX('Restaurant Base (Hidden)'!$A$2:$Z$1048576,MATCH($C123,'Restaurant Base (Hidden)'!$C$2:$C$1048576,0),MATCH(Y$6,'Restaurant Base (Hidden)'!$A$1:$Z$1,0)),"")</f>
        <v>86,10 %</v>
      </c>
      <c r="Z123" s="106">
        <f>+IFERROR(INDEX('Restaurant Base (Hidden)'!$A$2:$Z$1048576,MATCH($C123,'Restaurant Base (Hidden)'!$C$2:$C$1048576,0),MATCH(Z$6,'Restaurant Base (Hidden)'!$A$1:$Z$1,0)),"")</f>
        <v>3</v>
      </c>
      <c r="AA123" s="65" t="str">
        <f>+IFERROR(INDEX('Restaurant Base (Hidden)'!$A$2:$Z$1048576,MATCH($C123,'Restaurant Base (Hidden)'!$C$2:$C$1048576,0),MATCH(AA$6,'Restaurant Base (Hidden)'!$A$1:$Z$1,0)),"")</f>
        <v>67,30 %</v>
      </c>
      <c r="AB123" s="1">
        <f>+IFERROR(INDEX('Restaurant Base (Hidden)'!$A$2:$Z$1048576,MATCH($C123,'Restaurant Base (Hidden)'!$C$2:$C$1048576,0),MATCH(AB$6,'Restaurant Base (Hidden)'!$A$1:$Z$1,0)),"")</f>
        <v>2</v>
      </c>
      <c r="AC123" s="20" t="str">
        <f>+IFERROR(INDEX('Restaurant Base (Hidden)'!$A$2:$Z$1048576,MATCH($C123,'Restaurant Base (Hidden)'!$C$2:$C$1048576,0),MATCH(AC$6,'Restaurant Base (Hidden)'!$A$1:$Z$1,0)),"")</f>
        <v/>
      </c>
      <c r="AD123" s="65" t="str">
        <f>+IFERROR(INDEX('Restaurant Base (Hidden)'!$A$2:$Z$1048576,MATCH($C123,'Restaurant Base (Hidden)'!$C$2:$C$1048576,0),MATCH(AD$6,'Restaurant Base (Hidden)'!$A$1:$Z$1,0)),"")</f>
        <v>61,30 %</v>
      </c>
      <c r="AE123" s="1">
        <f>+IFERROR(INDEX('Restaurant Base (Hidden)'!$A$2:$Z$1048576,MATCH($C123,'Restaurant Base (Hidden)'!$C$2:$C$1048576,0),MATCH(AE$6,'Restaurant Base (Hidden)'!$A$1:$Z$1,0)),"")</f>
        <v>1</v>
      </c>
      <c r="AF123" s="65" t="str">
        <f>+IFERROR(INDEX('Restaurant Base (Hidden)'!$A$2:$Z$1048576,MATCH($C123,'Restaurant Base (Hidden)'!$C$2:$C$1048576,0),MATCH(AF$6,'Restaurant Base (Hidden)'!$A$1:$Z$1,0)),"")</f>
        <v>59,10 %</v>
      </c>
      <c r="AG123" s="1">
        <f>+IFERROR(INDEX('Restaurant Base (Hidden)'!$A$2:$Z$1048576,MATCH($C123,'Restaurant Base (Hidden)'!$C$2:$C$1048576,0),MATCH(AG$6,'Restaurant Base (Hidden)'!$A$1:$Z$1,0)),"")</f>
        <v>1</v>
      </c>
    </row>
    <row r="124" spans="1:33" x14ac:dyDescent="0.4">
      <c r="A124" s="163" t="str">
        <f>IF('Restaurant Base (Hidden)'!A204=0,"", 'Restaurant Base (Hidden)'!A204)</f>
        <v>Tatum Westmere</v>
      </c>
      <c r="B124" s="163" t="str">
        <f>IF('Restaurant Base (Hidden)'!B204=0,"", 'Restaurant Base (Hidden)'!B204)</f>
        <v>Silverline Hospitality</v>
      </c>
      <c r="C124" s="163" t="str">
        <f>IF('Restaurant Base (Hidden)'!C204=0,"", 'Restaurant Base (Hidden)'!C204)</f>
        <v>Evergreen Grove</v>
      </c>
      <c r="D124" s="104">
        <f t="shared" si="1"/>
        <v>118</v>
      </c>
      <c r="E124" s="105">
        <f>+IFERROR(INDEX('Restaurant Base (Hidden)'!$A$2:$Z$1048576,MATCH($C124,'Restaurant Base (Hidden)'!$C$2:$C$1048576,0),MATCH(E$6,'Restaurant Base (Hidden)'!$A$1:$Z$1,0)),"")</f>
        <v>3.26</v>
      </c>
      <c r="F124" s="2" t="str">
        <f>+IFERROR(INDEX('Restaurant Base (Hidden)'!$A$2:$Z$1048576,MATCH($C124,'Restaurant Base (Hidden)'!$C$2:$C$1048576,0),MATCH(F$6,'Restaurant Base (Hidden)'!$A$1:$Z$1,0)),"")</f>
        <v/>
      </c>
      <c r="G124" s="20" t="str">
        <f>+IFERROR(INDEX('Restaurant Base (Hidden)'!$A$2:$Z$1048576,MATCH($C124,'Restaurant Base (Hidden)'!$C$2:$C$1048576,0),MATCH(G$6,'Restaurant Base (Hidden)'!$A$1:$Z$1,0)),"")</f>
        <v>4,617</v>
      </c>
      <c r="H124" s="50">
        <f>+IFERROR(INDEX('Restaurant Base (Hidden)'!$A$2:$Z$1048576,MATCH($C124,'Restaurant Base (Hidden)'!$C$2:$C$1048576,0),MATCH(H$6,'Restaurant Base (Hidden)'!$A$1:$Z$1,0)),"")</f>
        <v>5</v>
      </c>
      <c r="I124" s="20" t="str">
        <f>+IFERROR(INDEX('Restaurant Base (Hidden)'!$A$2:$Z$1048576,MATCH($C124,'Restaurant Base (Hidden)'!$C$2:$C$1048576,0),MATCH(I$6,'Restaurant Base (Hidden)'!$A$1:$Z$1,0)),"")</f>
        <v>71,80 %</v>
      </c>
      <c r="J124" s="49">
        <f>+IFERROR(INDEX('Restaurant Base (Hidden)'!$A$2:$Z$1048576,MATCH($C124,'Restaurant Base (Hidden)'!$C$2:$C$1048576,0),MATCH(J$6,'Restaurant Base (Hidden)'!$A$1:$Z$1,0)),"")</f>
        <v>1</v>
      </c>
      <c r="K124" s="20" t="str">
        <f>+IFERROR(INDEX('Restaurant Base (Hidden)'!$A$2:$Z$1048576,MATCH($C124,'Restaurant Base (Hidden)'!$C$2:$C$1048576,0),MATCH(K$6,'Restaurant Base (Hidden)'!$A$1:$Z$1,0)),"")</f>
        <v>0,186</v>
      </c>
      <c r="L124" s="51">
        <f>+IFERROR(INDEX('Restaurant Base (Hidden)'!$A$2:$Z$1048576,MATCH($C124,'Restaurant Base (Hidden)'!$C$2:$C$1048576,0),MATCH(L$6,'Restaurant Base (Hidden)'!$A$1:$Z$1,0)),"")</f>
        <v>1</v>
      </c>
      <c r="M124" s="2" t="str">
        <f>+IFERROR(INDEX('Restaurant Base (Hidden)'!$A$2:$Z$1048576,MATCH($C124,'Restaurant Base (Hidden)'!$C$2:$C$1048576,0),MATCH(M$6,'Restaurant Base (Hidden)'!$A$1:$Z$1,0)),"")</f>
        <v/>
      </c>
      <c r="N124" s="234" t="str">
        <f>+IFERROR(INDEX('Restaurant Base (Hidden)'!$A$2:$Z$1048576,MATCH($C124,'Restaurant Base (Hidden)'!$C$2:$C$1048576,0),MATCH(N$6,'Restaurant Base (Hidden)'!$A$1:$Z$1,0)),"")</f>
        <v>98,60 %</v>
      </c>
      <c r="O124" s="1">
        <f>+IFERROR(INDEX('Restaurant Base (Hidden)'!$A$2:$Z$1048576,MATCH($C124,'Restaurant Base (Hidden)'!$C$2:$C$1048576,0),MATCH(O$6,'Restaurant Base (Hidden)'!$A$1:$Z$1,0)),"")</f>
        <v>5</v>
      </c>
      <c r="P124" s="2" t="str">
        <f>+IFERROR(INDEX('Restaurant Base (Hidden)'!$A$2:$Z$1048576,MATCH($C124,'Restaurant Base (Hidden)'!$C$2:$C$1048576,0),MATCH(P$6,'Restaurant Base (Hidden)'!$A$1:$Z$1,0)),"")</f>
        <v/>
      </c>
      <c r="Q124" s="234" t="str">
        <f>+IFERROR(INDEX('Restaurant Base (Hidden)'!$A$2:$Z$1048576,MATCH($C124,'Restaurant Base (Hidden)'!$C$2:$C$1048576,0),MATCH(Q$6,'Restaurant Base (Hidden)'!$A$1:$Z$1,0)),"")</f>
        <v>96,70 %</v>
      </c>
      <c r="R124" s="1">
        <f>+IFERROR(INDEX('Restaurant Base (Hidden)'!$A$2:$Z$1048576,MATCH($C124,'Restaurant Base (Hidden)'!$C$2:$C$1048576,0),MATCH(R$6,'Restaurant Base (Hidden)'!$A$1:$Z$1,0)),"")</f>
        <v>5</v>
      </c>
      <c r="S124" s="2" t="str">
        <f>+IFERROR(INDEX('Restaurant Base (Hidden)'!$A$2:$Z$1048576,MATCH($C124,'Restaurant Base (Hidden)'!$C$2:$C$1048576,0),MATCH(S$6,'Restaurant Base (Hidden)'!$A$1:$Z$1,0)),"")</f>
        <v/>
      </c>
      <c r="T124" s="62">
        <f>+IFERROR(INDEX('Restaurant Base (Hidden)'!$A$2:$Z$1048576,MATCH($C124,'Restaurant Base (Hidden)'!$C$2:$C$1048576,0),MATCH(T$6,'Restaurant Base (Hidden)'!$A$1:$Z$1,0)),"")</f>
        <v>68.3</v>
      </c>
      <c r="U124" s="1">
        <f>+IFERROR(INDEX('Restaurant Base (Hidden)'!$A$2:$Z$1048576,MATCH($C124,'Restaurant Base (Hidden)'!$C$2:$C$1048576,0),MATCH(U$6,'Restaurant Base (Hidden)'!$A$1:$Z$1,0)),"")</f>
        <v>4</v>
      </c>
      <c r="V124" s="2" t="str">
        <f>+IFERROR(INDEX('Restaurant Base (Hidden)'!$A$2:$Z$1048576,MATCH($C124,'Restaurant Base (Hidden)'!$C$2:$C$1048576,0),MATCH(V$6,'Restaurant Base (Hidden)'!$A$1:$Z$1,0)),"")</f>
        <v/>
      </c>
      <c r="W124" s="65" t="str">
        <f>+IFERROR(INDEX('Restaurant Base (Hidden)'!$A$2:$Z$1048576,MATCH($C124,'Restaurant Base (Hidden)'!$C$2:$C$1048576,0),MATCH(W$6,'Restaurant Base (Hidden)'!$A$1:$Z$1,0)),"")</f>
        <v>84,80 %</v>
      </c>
      <c r="X124" s="1">
        <f>+IFERROR(INDEX('Restaurant Base (Hidden)'!$A$2:$Z$1048576,MATCH($C124,'Restaurant Base (Hidden)'!$C$2:$C$1048576,0),MATCH(X$6,'Restaurant Base (Hidden)'!$A$1:$Z$1,0)),"")</f>
        <v>3</v>
      </c>
      <c r="Y124" s="65" t="str">
        <f>+IFERROR(INDEX('Restaurant Base (Hidden)'!$A$2:$Z$1048576,MATCH($C124,'Restaurant Base (Hidden)'!$C$2:$C$1048576,0),MATCH(Y$6,'Restaurant Base (Hidden)'!$A$1:$Z$1,0)),"")</f>
        <v>80,50 %</v>
      </c>
      <c r="Z124" s="106">
        <f>+IFERROR(INDEX('Restaurant Base (Hidden)'!$A$2:$Z$1048576,MATCH($C124,'Restaurant Base (Hidden)'!$C$2:$C$1048576,0),MATCH(Z$6,'Restaurant Base (Hidden)'!$A$1:$Z$1,0)),"")</f>
        <v>2</v>
      </c>
      <c r="AA124" s="65" t="str">
        <f>+IFERROR(INDEX('Restaurant Base (Hidden)'!$A$2:$Z$1048576,MATCH($C124,'Restaurant Base (Hidden)'!$C$2:$C$1048576,0),MATCH(AA$6,'Restaurant Base (Hidden)'!$A$1:$Z$1,0)),"")</f>
        <v>79,40 %</v>
      </c>
      <c r="AB124" s="1">
        <f>+IFERROR(INDEX('Restaurant Base (Hidden)'!$A$2:$Z$1048576,MATCH($C124,'Restaurant Base (Hidden)'!$C$2:$C$1048576,0),MATCH(AB$6,'Restaurant Base (Hidden)'!$A$1:$Z$1,0)),"")</f>
        <v>2</v>
      </c>
      <c r="AC124" s="20" t="str">
        <f>+IFERROR(INDEX('Restaurant Base (Hidden)'!$A$2:$Z$1048576,MATCH($C124,'Restaurant Base (Hidden)'!$C$2:$C$1048576,0),MATCH(AC$6,'Restaurant Base (Hidden)'!$A$1:$Z$1,0)),"")</f>
        <v/>
      </c>
      <c r="AD124" s="65" t="str">
        <f>+IFERROR(INDEX('Restaurant Base (Hidden)'!$A$2:$Z$1048576,MATCH($C124,'Restaurant Base (Hidden)'!$C$2:$C$1048576,0),MATCH(AD$6,'Restaurant Base (Hidden)'!$A$1:$Z$1,0)),"")</f>
        <v>82,60 %</v>
      </c>
      <c r="AE124" s="1">
        <f>+IFERROR(INDEX('Restaurant Base (Hidden)'!$A$2:$Z$1048576,MATCH($C124,'Restaurant Base (Hidden)'!$C$2:$C$1048576,0),MATCH(AE$6,'Restaurant Base (Hidden)'!$A$1:$Z$1,0)),"")</f>
        <v>3</v>
      </c>
      <c r="AF124" s="65" t="str">
        <f>+IFERROR(INDEX('Restaurant Base (Hidden)'!$A$2:$Z$1048576,MATCH($C124,'Restaurant Base (Hidden)'!$C$2:$C$1048576,0),MATCH(AF$6,'Restaurant Base (Hidden)'!$A$1:$Z$1,0)),"")</f>
        <v>80,80 %</v>
      </c>
      <c r="AG124" s="1">
        <f>+IFERROR(INDEX('Restaurant Base (Hidden)'!$A$2:$Z$1048576,MATCH($C124,'Restaurant Base (Hidden)'!$C$2:$C$1048576,0),MATCH(AG$6,'Restaurant Base (Hidden)'!$A$1:$Z$1,0)),"")</f>
        <v>2</v>
      </c>
    </row>
    <row r="125" spans="1:33" x14ac:dyDescent="0.4">
      <c r="A125" s="163" t="str">
        <f>IF('Restaurant Base (Hidden)'!A236=0,"", 'Restaurant Base (Hidden)'!A236)</f>
        <v>Casey Briarwood</v>
      </c>
      <c r="B125" s="163" t="str">
        <f>IF('Restaurant Base (Hidden)'!B236=0,"", 'Restaurant Base (Hidden)'!B236)</f>
        <v>Crestwood Dining</v>
      </c>
      <c r="C125" s="163" t="str">
        <f>IF('Restaurant Base (Hidden)'!C236=0,"", 'Restaurant Base (Hidden)'!C236)</f>
        <v>Pine Hollow</v>
      </c>
      <c r="D125" s="104">
        <f t="shared" si="1"/>
        <v>118</v>
      </c>
      <c r="E125" s="105">
        <f>+IFERROR(INDEX('Restaurant Base (Hidden)'!$A$2:$Z$1048576,MATCH($C125,'Restaurant Base (Hidden)'!$C$2:$C$1048576,0),MATCH(E$6,'Restaurant Base (Hidden)'!$A$1:$Z$1,0)),"")</f>
        <v>3.26</v>
      </c>
      <c r="F125" s="2" t="str">
        <f>+IFERROR(INDEX('Restaurant Base (Hidden)'!$A$2:$Z$1048576,MATCH($C125,'Restaurant Base (Hidden)'!$C$2:$C$1048576,0),MATCH(F$6,'Restaurant Base (Hidden)'!$A$1:$Z$1,0)),"")</f>
        <v/>
      </c>
      <c r="G125" s="20" t="str">
        <f>+IFERROR(INDEX('Restaurant Base (Hidden)'!$A$2:$Z$1048576,MATCH($C125,'Restaurant Base (Hidden)'!$C$2:$C$1048576,0),MATCH(G$6,'Restaurant Base (Hidden)'!$A$1:$Z$1,0)),"")</f>
        <v>4,219</v>
      </c>
      <c r="H125" s="50">
        <f>+IFERROR(INDEX('Restaurant Base (Hidden)'!$A$2:$Z$1048576,MATCH($C125,'Restaurant Base (Hidden)'!$C$2:$C$1048576,0),MATCH(H$6,'Restaurant Base (Hidden)'!$A$1:$Z$1,0)),"")</f>
        <v>3</v>
      </c>
      <c r="I125" s="20" t="str">
        <f>+IFERROR(INDEX('Restaurant Base (Hidden)'!$A$2:$Z$1048576,MATCH($C125,'Restaurant Base (Hidden)'!$C$2:$C$1048576,0),MATCH(I$6,'Restaurant Base (Hidden)'!$A$1:$Z$1,0)),"")</f>
        <v>81,40 %</v>
      </c>
      <c r="J125" s="49">
        <f>+IFERROR(INDEX('Restaurant Base (Hidden)'!$A$2:$Z$1048576,MATCH($C125,'Restaurant Base (Hidden)'!$C$2:$C$1048576,0),MATCH(J$6,'Restaurant Base (Hidden)'!$A$1:$Z$1,0)),"")</f>
        <v>2</v>
      </c>
      <c r="K125" s="20" t="str">
        <f>+IFERROR(INDEX('Restaurant Base (Hidden)'!$A$2:$Z$1048576,MATCH($C125,'Restaurant Base (Hidden)'!$C$2:$C$1048576,0),MATCH(K$6,'Restaurant Base (Hidden)'!$A$1:$Z$1,0)),"")</f>
        <v>0,075</v>
      </c>
      <c r="L125" s="51">
        <f>+IFERROR(INDEX('Restaurant Base (Hidden)'!$A$2:$Z$1048576,MATCH($C125,'Restaurant Base (Hidden)'!$C$2:$C$1048576,0),MATCH(L$6,'Restaurant Base (Hidden)'!$A$1:$Z$1,0)),"")</f>
        <v>4</v>
      </c>
      <c r="M125" s="2" t="str">
        <f>+IFERROR(INDEX('Restaurant Base (Hidden)'!$A$2:$Z$1048576,MATCH($C125,'Restaurant Base (Hidden)'!$C$2:$C$1048576,0),MATCH(M$6,'Restaurant Base (Hidden)'!$A$1:$Z$1,0)),"")</f>
        <v/>
      </c>
      <c r="N125" s="234" t="str">
        <f>+IFERROR(INDEX('Restaurant Base (Hidden)'!$A$2:$Z$1048576,MATCH($C125,'Restaurant Base (Hidden)'!$C$2:$C$1048576,0),MATCH(N$6,'Restaurant Base (Hidden)'!$A$1:$Z$1,0)),"")</f>
        <v>78,60 %</v>
      </c>
      <c r="O125" s="1">
        <f>+IFERROR(INDEX('Restaurant Base (Hidden)'!$A$2:$Z$1048576,MATCH($C125,'Restaurant Base (Hidden)'!$C$2:$C$1048576,0),MATCH(O$6,'Restaurant Base (Hidden)'!$A$1:$Z$1,0)),"")</f>
        <v>5</v>
      </c>
      <c r="P125" s="2" t="str">
        <f>+IFERROR(INDEX('Restaurant Base (Hidden)'!$A$2:$Z$1048576,MATCH($C125,'Restaurant Base (Hidden)'!$C$2:$C$1048576,0),MATCH(P$6,'Restaurant Base (Hidden)'!$A$1:$Z$1,0)),"")</f>
        <v/>
      </c>
      <c r="Q125" s="234" t="str">
        <f>+IFERROR(INDEX('Restaurant Base (Hidden)'!$A$2:$Z$1048576,MATCH($C125,'Restaurant Base (Hidden)'!$C$2:$C$1048576,0),MATCH(Q$6,'Restaurant Base (Hidden)'!$A$1:$Z$1,0)),"")</f>
        <v>76,00 %</v>
      </c>
      <c r="R125" s="1">
        <f>+IFERROR(INDEX('Restaurant Base (Hidden)'!$A$2:$Z$1048576,MATCH($C125,'Restaurant Base (Hidden)'!$C$2:$C$1048576,0),MATCH(R$6,'Restaurant Base (Hidden)'!$A$1:$Z$1,0)),"")</f>
        <v>5</v>
      </c>
      <c r="S125" s="2" t="str">
        <f>+IFERROR(INDEX('Restaurant Base (Hidden)'!$A$2:$Z$1048576,MATCH($C125,'Restaurant Base (Hidden)'!$C$2:$C$1048576,0),MATCH(S$6,'Restaurant Base (Hidden)'!$A$1:$Z$1,0)),"")</f>
        <v/>
      </c>
      <c r="T125" s="62">
        <f>+IFERROR(INDEX('Restaurant Base (Hidden)'!$A$2:$Z$1048576,MATCH($C125,'Restaurant Base (Hidden)'!$C$2:$C$1048576,0),MATCH(T$6,'Restaurant Base (Hidden)'!$A$1:$Z$1,0)),"")</f>
        <v>63.6</v>
      </c>
      <c r="U125" s="1">
        <f>+IFERROR(INDEX('Restaurant Base (Hidden)'!$A$2:$Z$1048576,MATCH($C125,'Restaurant Base (Hidden)'!$C$2:$C$1048576,0),MATCH(U$6,'Restaurant Base (Hidden)'!$A$1:$Z$1,0)),"")</f>
        <v>3</v>
      </c>
      <c r="V125" s="2" t="str">
        <f>+IFERROR(INDEX('Restaurant Base (Hidden)'!$A$2:$Z$1048576,MATCH($C125,'Restaurant Base (Hidden)'!$C$2:$C$1048576,0),MATCH(V$6,'Restaurant Base (Hidden)'!$A$1:$Z$1,0)),"")</f>
        <v/>
      </c>
      <c r="W125" s="65" t="str">
        <f>+IFERROR(INDEX('Restaurant Base (Hidden)'!$A$2:$Z$1048576,MATCH($C125,'Restaurant Base (Hidden)'!$C$2:$C$1048576,0),MATCH(W$6,'Restaurant Base (Hidden)'!$A$1:$Z$1,0)),"")</f>
        <v>81,80 %</v>
      </c>
      <c r="X125" s="1">
        <f>+IFERROR(INDEX('Restaurant Base (Hidden)'!$A$2:$Z$1048576,MATCH($C125,'Restaurant Base (Hidden)'!$C$2:$C$1048576,0),MATCH(X$6,'Restaurant Base (Hidden)'!$A$1:$Z$1,0)),"")</f>
        <v>3</v>
      </c>
      <c r="Y125" s="65" t="str">
        <f>+IFERROR(INDEX('Restaurant Base (Hidden)'!$A$2:$Z$1048576,MATCH($C125,'Restaurant Base (Hidden)'!$C$2:$C$1048576,0),MATCH(Y$6,'Restaurant Base (Hidden)'!$A$1:$Z$1,0)),"")</f>
        <v>76,00 %</v>
      </c>
      <c r="Z125" s="106">
        <f>+IFERROR(INDEX('Restaurant Base (Hidden)'!$A$2:$Z$1048576,MATCH($C125,'Restaurant Base (Hidden)'!$C$2:$C$1048576,0),MATCH(Z$6,'Restaurant Base (Hidden)'!$A$1:$Z$1,0)),"")</f>
        <v>2</v>
      </c>
      <c r="AA125" s="65" t="str">
        <f>+IFERROR(INDEX('Restaurant Base (Hidden)'!$A$2:$Z$1048576,MATCH($C125,'Restaurant Base (Hidden)'!$C$2:$C$1048576,0),MATCH(AA$6,'Restaurant Base (Hidden)'!$A$1:$Z$1,0)),"")</f>
        <v>87,50 %</v>
      </c>
      <c r="AB125" s="1">
        <f>+IFERROR(INDEX('Restaurant Base (Hidden)'!$A$2:$Z$1048576,MATCH($C125,'Restaurant Base (Hidden)'!$C$2:$C$1048576,0),MATCH(AB$6,'Restaurant Base (Hidden)'!$A$1:$Z$1,0)),"")</f>
        <v>3</v>
      </c>
      <c r="AC125" s="20" t="str">
        <f>+IFERROR(INDEX('Restaurant Base (Hidden)'!$A$2:$Z$1048576,MATCH($C125,'Restaurant Base (Hidden)'!$C$2:$C$1048576,0),MATCH(AC$6,'Restaurant Base (Hidden)'!$A$1:$Z$1,0)),"")</f>
        <v/>
      </c>
      <c r="AD125" s="65" t="str">
        <f>+IFERROR(INDEX('Restaurant Base (Hidden)'!$A$2:$Z$1048576,MATCH($C125,'Restaurant Base (Hidden)'!$C$2:$C$1048576,0),MATCH(AD$6,'Restaurant Base (Hidden)'!$A$1:$Z$1,0)),"")</f>
        <v>78,90 %</v>
      </c>
      <c r="AE125" s="1">
        <f>+IFERROR(INDEX('Restaurant Base (Hidden)'!$A$2:$Z$1048576,MATCH($C125,'Restaurant Base (Hidden)'!$C$2:$C$1048576,0),MATCH(AE$6,'Restaurant Base (Hidden)'!$A$1:$Z$1,0)),"")</f>
        <v>2</v>
      </c>
      <c r="AF125" s="65" t="str">
        <f>+IFERROR(INDEX('Restaurant Base (Hidden)'!$A$2:$Z$1048576,MATCH($C125,'Restaurant Base (Hidden)'!$C$2:$C$1048576,0),MATCH(AF$6,'Restaurant Base (Hidden)'!$A$1:$Z$1,0)),"")</f>
        <v>83,80 %</v>
      </c>
      <c r="AG125" s="1">
        <f>+IFERROR(INDEX('Restaurant Base (Hidden)'!$A$2:$Z$1048576,MATCH($C125,'Restaurant Base (Hidden)'!$C$2:$C$1048576,0),MATCH(AG$6,'Restaurant Base (Hidden)'!$A$1:$Z$1,0)),"")</f>
        <v>2</v>
      </c>
    </row>
    <row r="126" spans="1:33" x14ac:dyDescent="0.4">
      <c r="A126" s="163" t="str">
        <f>IF('Restaurant Base (Hidden)'!A337=0,"", 'Restaurant Base (Hidden)'!A337)</f>
        <v>Reese Whitmore</v>
      </c>
      <c r="B126" s="163" t="str">
        <f>IF('Restaurant Base (Hidden)'!B337=0,"", 'Restaurant Base (Hidden)'!B337)</f>
        <v>Greenhaven Restaurants</v>
      </c>
      <c r="C126" s="163" t="str">
        <f>IF('Restaurant Base (Hidden)'!C337=0,"", 'Restaurant Base (Hidden)'!C337)</f>
        <v>Meadow Point</v>
      </c>
      <c r="D126" s="104">
        <f t="shared" si="1"/>
        <v>118</v>
      </c>
      <c r="E126" s="105">
        <f>+IFERROR(INDEX('Restaurant Base (Hidden)'!$A$2:$Z$1048576,MATCH($C126,'Restaurant Base (Hidden)'!$C$2:$C$1048576,0),MATCH(E$6,'Restaurant Base (Hidden)'!$A$1:$Z$1,0)),"")</f>
        <v>3.26</v>
      </c>
      <c r="F126" s="2" t="str">
        <f>+IFERROR(INDEX('Restaurant Base (Hidden)'!$A$2:$Z$1048576,MATCH($C126,'Restaurant Base (Hidden)'!$C$2:$C$1048576,0),MATCH(F$6,'Restaurant Base (Hidden)'!$A$1:$Z$1,0)),"")</f>
        <v/>
      </c>
      <c r="G126" s="20" t="str">
        <f>+IFERROR(INDEX('Restaurant Base (Hidden)'!$A$2:$Z$1048576,MATCH($C126,'Restaurant Base (Hidden)'!$C$2:$C$1048576,0),MATCH(G$6,'Restaurant Base (Hidden)'!$A$1:$Z$1,0)),"")</f>
        <v>4,758</v>
      </c>
      <c r="H126" s="50">
        <f>+IFERROR(INDEX('Restaurant Base (Hidden)'!$A$2:$Z$1048576,MATCH($C126,'Restaurant Base (Hidden)'!$C$2:$C$1048576,0),MATCH(H$6,'Restaurant Base (Hidden)'!$A$1:$Z$1,0)),"")</f>
        <v>5</v>
      </c>
      <c r="I126" s="20" t="str">
        <f>+IFERROR(INDEX('Restaurant Base (Hidden)'!$A$2:$Z$1048576,MATCH($C126,'Restaurant Base (Hidden)'!$C$2:$C$1048576,0),MATCH(I$6,'Restaurant Base (Hidden)'!$A$1:$Z$1,0)),"")</f>
        <v>88,50 %</v>
      </c>
      <c r="J126" s="49">
        <f>+IFERROR(INDEX('Restaurant Base (Hidden)'!$A$2:$Z$1048576,MATCH($C126,'Restaurant Base (Hidden)'!$C$2:$C$1048576,0),MATCH(J$6,'Restaurant Base (Hidden)'!$A$1:$Z$1,0)),"")</f>
        <v>4</v>
      </c>
      <c r="K126" s="20" t="str">
        <f>+IFERROR(INDEX('Restaurant Base (Hidden)'!$A$2:$Z$1048576,MATCH($C126,'Restaurant Base (Hidden)'!$C$2:$C$1048576,0),MATCH(K$6,'Restaurant Base (Hidden)'!$A$1:$Z$1,0)),"")</f>
        <v>0,089</v>
      </c>
      <c r="L126" s="51">
        <f>+IFERROR(INDEX('Restaurant Base (Hidden)'!$A$2:$Z$1048576,MATCH($C126,'Restaurant Base (Hidden)'!$C$2:$C$1048576,0),MATCH(L$6,'Restaurant Base (Hidden)'!$A$1:$Z$1,0)),"")</f>
        <v>4</v>
      </c>
      <c r="M126" s="2" t="str">
        <f>+IFERROR(INDEX('Restaurant Base (Hidden)'!$A$2:$Z$1048576,MATCH($C126,'Restaurant Base (Hidden)'!$C$2:$C$1048576,0),MATCH(M$6,'Restaurant Base (Hidden)'!$A$1:$Z$1,0)),"")</f>
        <v/>
      </c>
      <c r="N126" s="234" t="str">
        <f>+IFERROR(INDEX('Restaurant Base (Hidden)'!$A$2:$Z$1048576,MATCH($C126,'Restaurant Base (Hidden)'!$C$2:$C$1048576,0),MATCH(N$6,'Restaurant Base (Hidden)'!$A$1:$Z$1,0)),"")</f>
        <v>76,20 %</v>
      </c>
      <c r="O126" s="1">
        <f>+IFERROR(INDEX('Restaurant Base (Hidden)'!$A$2:$Z$1048576,MATCH($C126,'Restaurant Base (Hidden)'!$C$2:$C$1048576,0),MATCH(O$6,'Restaurant Base (Hidden)'!$A$1:$Z$1,0)),"")</f>
        <v>5</v>
      </c>
      <c r="P126" s="2" t="str">
        <f>+IFERROR(INDEX('Restaurant Base (Hidden)'!$A$2:$Z$1048576,MATCH($C126,'Restaurant Base (Hidden)'!$C$2:$C$1048576,0),MATCH(P$6,'Restaurant Base (Hidden)'!$A$1:$Z$1,0)),"")</f>
        <v/>
      </c>
      <c r="Q126" s="234" t="str">
        <f>+IFERROR(INDEX('Restaurant Base (Hidden)'!$A$2:$Z$1048576,MATCH($C126,'Restaurant Base (Hidden)'!$C$2:$C$1048576,0),MATCH(Q$6,'Restaurant Base (Hidden)'!$A$1:$Z$1,0)),"")</f>
        <v>70,10 %</v>
      </c>
      <c r="R126" s="1">
        <f>+IFERROR(INDEX('Restaurant Base (Hidden)'!$A$2:$Z$1048576,MATCH($C126,'Restaurant Base (Hidden)'!$C$2:$C$1048576,0),MATCH(R$6,'Restaurant Base (Hidden)'!$A$1:$Z$1,0)),"")</f>
        <v>4</v>
      </c>
      <c r="S126" s="2" t="str">
        <f>+IFERROR(INDEX('Restaurant Base (Hidden)'!$A$2:$Z$1048576,MATCH($C126,'Restaurant Base (Hidden)'!$C$2:$C$1048576,0),MATCH(S$6,'Restaurant Base (Hidden)'!$A$1:$Z$1,0)),"")</f>
        <v/>
      </c>
      <c r="T126" s="62">
        <f>+IFERROR(INDEX('Restaurant Base (Hidden)'!$A$2:$Z$1048576,MATCH($C126,'Restaurant Base (Hidden)'!$C$2:$C$1048576,0),MATCH(T$6,'Restaurant Base (Hidden)'!$A$1:$Z$1,0)),"")</f>
        <v>60.3</v>
      </c>
      <c r="U126" s="1">
        <f>+IFERROR(INDEX('Restaurant Base (Hidden)'!$A$2:$Z$1048576,MATCH($C126,'Restaurant Base (Hidden)'!$C$2:$C$1048576,0),MATCH(U$6,'Restaurant Base (Hidden)'!$A$1:$Z$1,0)),"")</f>
        <v>2</v>
      </c>
      <c r="V126" s="2" t="str">
        <f>+IFERROR(INDEX('Restaurant Base (Hidden)'!$A$2:$Z$1048576,MATCH($C126,'Restaurant Base (Hidden)'!$C$2:$C$1048576,0),MATCH(V$6,'Restaurant Base (Hidden)'!$A$1:$Z$1,0)),"")</f>
        <v/>
      </c>
      <c r="W126" s="65" t="str">
        <f>+IFERROR(INDEX('Restaurant Base (Hidden)'!$A$2:$Z$1048576,MATCH($C126,'Restaurant Base (Hidden)'!$C$2:$C$1048576,0),MATCH(W$6,'Restaurant Base (Hidden)'!$A$1:$Z$1,0)),"")</f>
        <v>87,80 %</v>
      </c>
      <c r="X126" s="1">
        <f>+IFERROR(INDEX('Restaurant Base (Hidden)'!$A$2:$Z$1048576,MATCH($C126,'Restaurant Base (Hidden)'!$C$2:$C$1048576,0),MATCH(X$6,'Restaurant Base (Hidden)'!$A$1:$Z$1,0)),"")</f>
        <v>3</v>
      </c>
      <c r="Y126" s="65" t="str">
        <f>+IFERROR(INDEX('Restaurant Base (Hidden)'!$A$2:$Z$1048576,MATCH($C126,'Restaurant Base (Hidden)'!$C$2:$C$1048576,0),MATCH(Y$6,'Restaurant Base (Hidden)'!$A$1:$Z$1,0)),"")</f>
        <v>95,30 %</v>
      </c>
      <c r="Z126" s="106">
        <f>+IFERROR(INDEX('Restaurant Base (Hidden)'!$A$2:$Z$1048576,MATCH($C126,'Restaurant Base (Hidden)'!$C$2:$C$1048576,0),MATCH(Z$6,'Restaurant Base (Hidden)'!$A$1:$Z$1,0)),"")</f>
        <v>4</v>
      </c>
      <c r="AA126" s="65" t="str">
        <f>+IFERROR(INDEX('Restaurant Base (Hidden)'!$A$2:$Z$1048576,MATCH($C126,'Restaurant Base (Hidden)'!$C$2:$C$1048576,0),MATCH(AA$6,'Restaurant Base (Hidden)'!$A$1:$Z$1,0)),"")</f>
        <v>62,70 %</v>
      </c>
      <c r="AB126" s="1">
        <f>+IFERROR(INDEX('Restaurant Base (Hidden)'!$A$2:$Z$1048576,MATCH($C126,'Restaurant Base (Hidden)'!$C$2:$C$1048576,0),MATCH(AB$6,'Restaurant Base (Hidden)'!$A$1:$Z$1,0)),"")</f>
        <v>2</v>
      </c>
      <c r="AC126" s="20" t="str">
        <f>+IFERROR(INDEX('Restaurant Base (Hidden)'!$A$2:$Z$1048576,MATCH($C126,'Restaurant Base (Hidden)'!$C$2:$C$1048576,0),MATCH(AC$6,'Restaurant Base (Hidden)'!$A$1:$Z$1,0)),"")</f>
        <v/>
      </c>
      <c r="AD126" s="65" t="str">
        <f>+IFERROR(INDEX('Restaurant Base (Hidden)'!$A$2:$Z$1048576,MATCH($C126,'Restaurant Base (Hidden)'!$C$2:$C$1048576,0),MATCH(AD$6,'Restaurant Base (Hidden)'!$A$1:$Z$1,0)),"")</f>
        <v>62,10 %</v>
      </c>
      <c r="AE126" s="1">
        <f>+IFERROR(INDEX('Restaurant Base (Hidden)'!$A$2:$Z$1048576,MATCH($C126,'Restaurant Base (Hidden)'!$C$2:$C$1048576,0),MATCH(AE$6,'Restaurant Base (Hidden)'!$A$1:$Z$1,0)),"")</f>
        <v>1</v>
      </c>
      <c r="AF126" s="65" t="str">
        <f>+IFERROR(INDEX('Restaurant Base (Hidden)'!$A$2:$Z$1048576,MATCH($C126,'Restaurant Base (Hidden)'!$C$2:$C$1048576,0),MATCH(AF$6,'Restaurant Base (Hidden)'!$A$1:$Z$1,0)),"")</f>
        <v>73,70 %</v>
      </c>
      <c r="AG126" s="1">
        <f>+IFERROR(INDEX('Restaurant Base (Hidden)'!$A$2:$Z$1048576,MATCH($C126,'Restaurant Base (Hidden)'!$C$2:$C$1048576,0),MATCH(AG$6,'Restaurant Base (Hidden)'!$A$1:$Z$1,0)),"")</f>
        <v>1</v>
      </c>
    </row>
    <row r="127" spans="1:33" x14ac:dyDescent="0.4">
      <c r="A127" s="163" t="str">
        <f>IF('Restaurant Base (Hidden)'!A155=0,"", 'Restaurant Base (Hidden)'!A155)</f>
        <v>Hayden Merriton</v>
      </c>
      <c r="B127" s="163" t="str">
        <f>IF('Restaurant Base (Hidden)'!B155=0,"", 'Restaurant Base (Hidden)'!B155)</f>
        <v>Springwell Hospitality</v>
      </c>
      <c r="C127" s="163" t="str">
        <f>IF('Restaurant Base (Hidden)'!C155=0,"", 'Restaurant Base (Hidden)'!C155)</f>
        <v>Clearwater Gardens</v>
      </c>
      <c r="D127" s="104">
        <f t="shared" si="1"/>
        <v>121</v>
      </c>
      <c r="E127" s="105">
        <f>+IFERROR(INDEX('Restaurant Base (Hidden)'!$A$2:$Z$1048576,MATCH($C127,'Restaurant Base (Hidden)'!$C$2:$C$1048576,0),MATCH(E$6,'Restaurant Base (Hidden)'!$A$1:$Z$1,0)),"")</f>
        <v>3.25</v>
      </c>
      <c r="F127" s="2" t="str">
        <f>+IFERROR(INDEX('Restaurant Base (Hidden)'!$A$2:$Z$1048576,MATCH($C127,'Restaurant Base (Hidden)'!$C$2:$C$1048576,0),MATCH(F$6,'Restaurant Base (Hidden)'!$A$1:$Z$1,0)),"")</f>
        <v/>
      </c>
      <c r="G127" s="20" t="str">
        <f>+IFERROR(INDEX('Restaurant Base (Hidden)'!$A$2:$Z$1048576,MATCH($C127,'Restaurant Base (Hidden)'!$C$2:$C$1048576,0),MATCH(G$6,'Restaurant Base (Hidden)'!$A$1:$Z$1,0)),"")</f>
        <v>4,290</v>
      </c>
      <c r="H127" s="50">
        <f>+IFERROR(INDEX('Restaurant Base (Hidden)'!$A$2:$Z$1048576,MATCH($C127,'Restaurant Base (Hidden)'!$C$2:$C$1048576,0),MATCH(H$6,'Restaurant Base (Hidden)'!$A$1:$Z$1,0)),"")</f>
        <v>3</v>
      </c>
      <c r="I127" s="20" t="str">
        <f>+IFERROR(INDEX('Restaurant Base (Hidden)'!$A$2:$Z$1048576,MATCH($C127,'Restaurant Base (Hidden)'!$C$2:$C$1048576,0),MATCH(I$6,'Restaurant Base (Hidden)'!$A$1:$Z$1,0)),"")</f>
        <v>64,50 %</v>
      </c>
      <c r="J127" s="49">
        <f>+IFERROR(INDEX('Restaurant Base (Hidden)'!$A$2:$Z$1048576,MATCH($C127,'Restaurant Base (Hidden)'!$C$2:$C$1048576,0),MATCH(J$6,'Restaurant Base (Hidden)'!$A$1:$Z$1,0)),"")</f>
        <v>1</v>
      </c>
      <c r="K127" s="20" t="str">
        <f>+IFERROR(INDEX('Restaurant Base (Hidden)'!$A$2:$Z$1048576,MATCH($C127,'Restaurant Base (Hidden)'!$C$2:$C$1048576,0),MATCH(K$6,'Restaurant Base (Hidden)'!$A$1:$Z$1,0)),"")</f>
        <v>0,092</v>
      </c>
      <c r="L127" s="51">
        <f>+IFERROR(INDEX('Restaurant Base (Hidden)'!$A$2:$Z$1048576,MATCH($C127,'Restaurant Base (Hidden)'!$C$2:$C$1048576,0),MATCH(L$6,'Restaurant Base (Hidden)'!$A$1:$Z$1,0)),"")</f>
        <v>4</v>
      </c>
      <c r="M127" s="2" t="str">
        <f>+IFERROR(INDEX('Restaurant Base (Hidden)'!$A$2:$Z$1048576,MATCH($C127,'Restaurant Base (Hidden)'!$C$2:$C$1048576,0),MATCH(M$6,'Restaurant Base (Hidden)'!$A$1:$Z$1,0)),"")</f>
        <v/>
      </c>
      <c r="N127" s="234" t="str">
        <f>+IFERROR(INDEX('Restaurant Base (Hidden)'!$A$2:$Z$1048576,MATCH($C127,'Restaurant Base (Hidden)'!$C$2:$C$1048576,0),MATCH(N$6,'Restaurant Base (Hidden)'!$A$1:$Z$1,0)),"")</f>
        <v>74,50 %</v>
      </c>
      <c r="O127" s="1">
        <f>+IFERROR(INDEX('Restaurant Base (Hidden)'!$A$2:$Z$1048576,MATCH($C127,'Restaurant Base (Hidden)'!$C$2:$C$1048576,0),MATCH(O$6,'Restaurant Base (Hidden)'!$A$1:$Z$1,0)),"")</f>
        <v>5</v>
      </c>
      <c r="P127" s="2" t="str">
        <f>+IFERROR(INDEX('Restaurant Base (Hidden)'!$A$2:$Z$1048576,MATCH($C127,'Restaurant Base (Hidden)'!$C$2:$C$1048576,0),MATCH(P$6,'Restaurant Base (Hidden)'!$A$1:$Z$1,0)),"")</f>
        <v/>
      </c>
      <c r="Q127" s="234" t="str">
        <f>+IFERROR(INDEX('Restaurant Base (Hidden)'!$A$2:$Z$1048576,MATCH($C127,'Restaurant Base (Hidden)'!$C$2:$C$1048576,0),MATCH(Q$6,'Restaurant Base (Hidden)'!$A$1:$Z$1,0)),"")</f>
        <v>63,10 %</v>
      </c>
      <c r="R127" s="1">
        <f>+IFERROR(INDEX('Restaurant Base (Hidden)'!$A$2:$Z$1048576,MATCH($C127,'Restaurant Base (Hidden)'!$C$2:$C$1048576,0),MATCH(R$6,'Restaurant Base (Hidden)'!$A$1:$Z$1,0)),"")</f>
        <v>2</v>
      </c>
      <c r="S127" s="2" t="str">
        <f>+IFERROR(INDEX('Restaurant Base (Hidden)'!$A$2:$Z$1048576,MATCH($C127,'Restaurant Base (Hidden)'!$C$2:$C$1048576,0),MATCH(S$6,'Restaurant Base (Hidden)'!$A$1:$Z$1,0)),"")</f>
        <v/>
      </c>
      <c r="T127" s="62">
        <f>+IFERROR(INDEX('Restaurant Base (Hidden)'!$A$2:$Z$1048576,MATCH($C127,'Restaurant Base (Hidden)'!$C$2:$C$1048576,0),MATCH(T$6,'Restaurant Base (Hidden)'!$A$1:$Z$1,0)),"")</f>
        <v>66.5</v>
      </c>
      <c r="U127" s="1">
        <f>+IFERROR(INDEX('Restaurant Base (Hidden)'!$A$2:$Z$1048576,MATCH($C127,'Restaurant Base (Hidden)'!$C$2:$C$1048576,0),MATCH(U$6,'Restaurant Base (Hidden)'!$A$1:$Z$1,0)),"")</f>
        <v>4</v>
      </c>
      <c r="V127" s="2" t="str">
        <f>+IFERROR(INDEX('Restaurant Base (Hidden)'!$A$2:$Z$1048576,MATCH($C127,'Restaurant Base (Hidden)'!$C$2:$C$1048576,0),MATCH(V$6,'Restaurant Base (Hidden)'!$A$1:$Z$1,0)),"")</f>
        <v/>
      </c>
      <c r="W127" s="65" t="str">
        <f>+IFERROR(INDEX('Restaurant Base (Hidden)'!$A$2:$Z$1048576,MATCH($C127,'Restaurant Base (Hidden)'!$C$2:$C$1048576,0),MATCH(W$6,'Restaurant Base (Hidden)'!$A$1:$Z$1,0)),"")</f>
        <v>95,70 %</v>
      </c>
      <c r="X127" s="1">
        <f>+IFERROR(INDEX('Restaurant Base (Hidden)'!$A$2:$Z$1048576,MATCH($C127,'Restaurant Base (Hidden)'!$C$2:$C$1048576,0),MATCH(X$6,'Restaurant Base (Hidden)'!$A$1:$Z$1,0)),"")</f>
        <v>4</v>
      </c>
      <c r="Y127" s="65" t="str">
        <f>+IFERROR(INDEX('Restaurant Base (Hidden)'!$A$2:$Z$1048576,MATCH($C127,'Restaurant Base (Hidden)'!$C$2:$C$1048576,0),MATCH(Y$6,'Restaurant Base (Hidden)'!$A$1:$Z$1,0)),"")</f>
        <v>85,30 %</v>
      </c>
      <c r="Z127" s="106">
        <f>+IFERROR(INDEX('Restaurant Base (Hidden)'!$A$2:$Z$1048576,MATCH($C127,'Restaurant Base (Hidden)'!$C$2:$C$1048576,0),MATCH(Z$6,'Restaurant Base (Hidden)'!$A$1:$Z$1,0)),"")</f>
        <v>3</v>
      </c>
      <c r="AA127" s="65" t="str">
        <f>+IFERROR(INDEX('Restaurant Base (Hidden)'!$A$2:$Z$1048576,MATCH($C127,'Restaurant Base (Hidden)'!$C$2:$C$1048576,0),MATCH(AA$6,'Restaurant Base (Hidden)'!$A$1:$Z$1,0)),"")</f>
        <v>79,50 %</v>
      </c>
      <c r="AB127" s="1">
        <f>+IFERROR(INDEX('Restaurant Base (Hidden)'!$A$2:$Z$1048576,MATCH($C127,'Restaurant Base (Hidden)'!$C$2:$C$1048576,0),MATCH(AB$6,'Restaurant Base (Hidden)'!$A$1:$Z$1,0)),"")</f>
        <v>2</v>
      </c>
      <c r="AC127" s="20" t="str">
        <f>+IFERROR(INDEX('Restaurant Base (Hidden)'!$A$2:$Z$1048576,MATCH($C127,'Restaurant Base (Hidden)'!$C$2:$C$1048576,0),MATCH(AC$6,'Restaurant Base (Hidden)'!$A$1:$Z$1,0)),"")</f>
        <v/>
      </c>
      <c r="AD127" s="65" t="str">
        <f>+IFERROR(INDEX('Restaurant Base (Hidden)'!$A$2:$Z$1048576,MATCH($C127,'Restaurant Base (Hidden)'!$C$2:$C$1048576,0),MATCH(AD$6,'Restaurant Base (Hidden)'!$A$1:$Z$1,0)),"")</f>
        <v>94,30 %</v>
      </c>
      <c r="AE127" s="1">
        <f>+IFERROR(INDEX('Restaurant Base (Hidden)'!$A$2:$Z$1048576,MATCH($C127,'Restaurant Base (Hidden)'!$C$2:$C$1048576,0),MATCH(AE$6,'Restaurant Base (Hidden)'!$A$1:$Z$1,0)),"")</f>
        <v>4</v>
      </c>
      <c r="AF127" s="65" t="str">
        <f>+IFERROR(INDEX('Restaurant Base (Hidden)'!$A$2:$Z$1048576,MATCH($C127,'Restaurant Base (Hidden)'!$C$2:$C$1048576,0),MATCH(AF$6,'Restaurant Base (Hidden)'!$A$1:$Z$1,0)),"")</f>
        <v>97,50 %</v>
      </c>
      <c r="AG127" s="1">
        <f>+IFERROR(INDEX('Restaurant Base (Hidden)'!$A$2:$Z$1048576,MATCH($C127,'Restaurant Base (Hidden)'!$C$2:$C$1048576,0),MATCH(AG$6,'Restaurant Base (Hidden)'!$A$1:$Z$1,0)),"")</f>
        <v>4</v>
      </c>
    </row>
    <row r="128" spans="1:33" x14ac:dyDescent="0.4">
      <c r="A128" s="163" t="str">
        <f>IF('Restaurant Base (Hidden)'!A298=0,"", 'Restaurant Base (Hidden)'!A298)</f>
        <v>Finley Kensington</v>
      </c>
      <c r="B128" s="163" t="str">
        <f>IF('Restaurant Base (Hidden)'!B298=0,"", 'Restaurant Base (Hidden)'!B298)</f>
        <v>Crownfield Hospitality</v>
      </c>
      <c r="C128" s="163" t="str">
        <f>IF('Restaurant Base (Hidden)'!C298=0,"", 'Restaurant Base (Hidden)'!C298)</f>
        <v>Maple Creek</v>
      </c>
      <c r="D128" s="104">
        <f t="shared" si="1"/>
        <v>121</v>
      </c>
      <c r="E128" s="105">
        <f>+IFERROR(INDEX('Restaurant Base (Hidden)'!$A$2:$Z$1048576,MATCH($C128,'Restaurant Base (Hidden)'!$C$2:$C$1048576,0),MATCH(E$6,'Restaurant Base (Hidden)'!$A$1:$Z$1,0)),"")</f>
        <v>3.25</v>
      </c>
      <c r="F128" s="2" t="str">
        <f>+IFERROR(INDEX('Restaurant Base (Hidden)'!$A$2:$Z$1048576,MATCH($C128,'Restaurant Base (Hidden)'!$C$2:$C$1048576,0),MATCH(F$6,'Restaurant Base (Hidden)'!$A$1:$Z$1,0)),"")</f>
        <v/>
      </c>
      <c r="G128" s="20" t="str">
        <f>+IFERROR(INDEX('Restaurant Base (Hidden)'!$A$2:$Z$1048576,MATCH($C128,'Restaurant Base (Hidden)'!$C$2:$C$1048576,0),MATCH(G$6,'Restaurant Base (Hidden)'!$A$1:$Z$1,0)),"")</f>
        <v>4,578</v>
      </c>
      <c r="H128" s="50">
        <f>+IFERROR(INDEX('Restaurant Base (Hidden)'!$A$2:$Z$1048576,MATCH($C128,'Restaurant Base (Hidden)'!$C$2:$C$1048576,0),MATCH(H$6,'Restaurant Base (Hidden)'!$A$1:$Z$1,0)),"")</f>
        <v>5</v>
      </c>
      <c r="I128" s="20" t="str">
        <f>+IFERROR(INDEX('Restaurant Base (Hidden)'!$A$2:$Z$1048576,MATCH($C128,'Restaurant Base (Hidden)'!$C$2:$C$1048576,0),MATCH(I$6,'Restaurant Base (Hidden)'!$A$1:$Z$1,0)),"")</f>
        <v>79,50 %</v>
      </c>
      <c r="J128" s="49">
        <f>+IFERROR(INDEX('Restaurant Base (Hidden)'!$A$2:$Z$1048576,MATCH($C128,'Restaurant Base (Hidden)'!$C$2:$C$1048576,0),MATCH(J$6,'Restaurant Base (Hidden)'!$A$1:$Z$1,0)),"")</f>
        <v>2</v>
      </c>
      <c r="K128" s="20" t="str">
        <f>+IFERROR(INDEX('Restaurant Base (Hidden)'!$A$2:$Z$1048576,MATCH($C128,'Restaurant Base (Hidden)'!$C$2:$C$1048576,0),MATCH(K$6,'Restaurant Base (Hidden)'!$A$1:$Z$1,0)),"")</f>
        <v>0,103</v>
      </c>
      <c r="L128" s="51">
        <f>+IFERROR(INDEX('Restaurant Base (Hidden)'!$A$2:$Z$1048576,MATCH($C128,'Restaurant Base (Hidden)'!$C$2:$C$1048576,0),MATCH(L$6,'Restaurant Base (Hidden)'!$A$1:$Z$1,0)),"")</f>
        <v>3</v>
      </c>
      <c r="M128" s="2" t="str">
        <f>+IFERROR(INDEX('Restaurant Base (Hidden)'!$A$2:$Z$1048576,MATCH($C128,'Restaurant Base (Hidden)'!$C$2:$C$1048576,0),MATCH(M$6,'Restaurant Base (Hidden)'!$A$1:$Z$1,0)),"")</f>
        <v/>
      </c>
      <c r="N128" s="234" t="str">
        <f>+IFERROR(INDEX('Restaurant Base (Hidden)'!$A$2:$Z$1048576,MATCH($C128,'Restaurant Base (Hidden)'!$C$2:$C$1048576,0),MATCH(N$6,'Restaurant Base (Hidden)'!$A$1:$Z$1,0)),"")</f>
        <v>59,00 %</v>
      </c>
      <c r="O128" s="1">
        <f>+IFERROR(INDEX('Restaurant Base (Hidden)'!$A$2:$Z$1048576,MATCH($C128,'Restaurant Base (Hidden)'!$C$2:$C$1048576,0),MATCH(O$6,'Restaurant Base (Hidden)'!$A$1:$Z$1,0)),"")</f>
        <v>1</v>
      </c>
      <c r="P128" s="2" t="str">
        <f>+IFERROR(INDEX('Restaurant Base (Hidden)'!$A$2:$Z$1048576,MATCH($C128,'Restaurant Base (Hidden)'!$C$2:$C$1048576,0),MATCH(P$6,'Restaurant Base (Hidden)'!$A$1:$Z$1,0)),"")</f>
        <v/>
      </c>
      <c r="Q128" s="234" t="str">
        <f>+IFERROR(INDEX('Restaurant Base (Hidden)'!$A$2:$Z$1048576,MATCH($C128,'Restaurant Base (Hidden)'!$C$2:$C$1048576,0),MATCH(Q$6,'Restaurant Base (Hidden)'!$A$1:$Z$1,0)),"")</f>
        <v>82,10 %</v>
      </c>
      <c r="R128" s="1">
        <f>+IFERROR(INDEX('Restaurant Base (Hidden)'!$A$2:$Z$1048576,MATCH($C128,'Restaurant Base (Hidden)'!$C$2:$C$1048576,0),MATCH(R$6,'Restaurant Base (Hidden)'!$A$1:$Z$1,0)),"")</f>
        <v>5</v>
      </c>
      <c r="S128" s="2" t="str">
        <f>+IFERROR(INDEX('Restaurant Base (Hidden)'!$A$2:$Z$1048576,MATCH($C128,'Restaurant Base (Hidden)'!$C$2:$C$1048576,0),MATCH(S$6,'Restaurant Base (Hidden)'!$A$1:$Z$1,0)),"")</f>
        <v/>
      </c>
      <c r="T128" s="62">
        <f>+IFERROR(INDEX('Restaurant Base (Hidden)'!$A$2:$Z$1048576,MATCH($C128,'Restaurant Base (Hidden)'!$C$2:$C$1048576,0),MATCH(T$6,'Restaurant Base (Hidden)'!$A$1:$Z$1,0)),"")</f>
        <v>74.7</v>
      </c>
      <c r="U128" s="1">
        <f>+IFERROR(INDEX('Restaurant Base (Hidden)'!$A$2:$Z$1048576,MATCH($C128,'Restaurant Base (Hidden)'!$C$2:$C$1048576,0),MATCH(U$6,'Restaurant Base (Hidden)'!$A$1:$Z$1,0)),"")</f>
        <v>5</v>
      </c>
      <c r="V128" s="2" t="str">
        <f>+IFERROR(INDEX('Restaurant Base (Hidden)'!$A$2:$Z$1048576,MATCH($C128,'Restaurant Base (Hidden)'!$C$2:$C$1048576,0),MATCH(V$6,'Restaurant Base (Hidden)'!$A$1:$Z$1,0)),"")</f>
        <v/>
      </c>
      <c r="W128" s="65" t="str">
        <f>+IFERROR(INDEX('Restaurant Base (Hidden)'!$A$2:$Z$1048576,MATCH($C128,'Restaurant Base (Hidden)'!$C$2:$C$1048576,0),MATCH(W$6,'Restaurant Base (Hidden)'!$A$1:$Z$1,0)),"")</f>
        <v>70,20 %</v>
      </c>
      <c r="X128" s="1">
        <f>+IFERROR(INDEX('Restaurant Base (Hidden)'!$A$2:$Z$1048576,MATCH($C128,'Restaurant Base (Hidden)'!$C$2:$C$1048576,0),MATCH(X$6,'Restaurant Base (Hidden)'!$A$1:$Z$1,0)),"")</f>
        <v>2</v>
      </c>
      <c r="Y128" s="65" t="str">
        <f>+IFERROR(INDEX('Restaurant Base (Hidden)'!$A$2:$Z$1048576,MATCH($C128,'Restaurant Base (Hidden)'!$C$2:$C$1048576,0),MATCH(Y$6,'Restaurant Base (Hidden)'!$A$1:$Z$1,0)),"")</f>
        <v>86,90 %</v>
      </c>
      <c r="Z128" s="106">
        <f>+IFERROR(INDEX('Restaurant Base (Hidden)'!$A$2:$Z$1048576,MATCH($C128,'Restaurant Base (Hidden)'!$C$2:$C$1048576,0),MATCH(Z$6,'Restaurant Base (Hidden)'!$A$1:$Z$1,0)),"")</f>
        <v>3</v>
      </c>
      <c r="AA128" s="65" t="str">
        <f>+IFERROR(INDEX('Restaurant Base (Hidden)'!$A$2:$Z$1048576,MATCH($C128,'Restaurant Base (Hidden)'!$C$2:$C$1048576,0),MATCH(AA$6,'Restaurant Base (Hidden)'!$A$1:$Z$1,0)),"")</f>
        <v>84,50 %</v>
      </c>
      <c r="AB128" s="1">
        <f>+IFERROR(INDEX('Restaurant Base (Hidden)'!$A$2:$Z$1048576,MATCH($C128,'Restaurant Base (Hidden)'!$C$2:$C$1048576,0),MATCH(AB$6,'Restaurant Base (Hidden)'!$A$1:$Z$1,0)),"")</f>
        <v>2</v>
      </c>
      <c r="AC128" s="20" t="str">
        <f>+IFERROR(INDEX('Restaurant Base (Hidden)'!$A$2:$Z$1048576,MATCH($C128,'Restaurant Base (Hidden)'!$C$2:$C$1048576,0),MATCH(AC$6,'Restaurant Base (Hidden)'!$A$1:$Z$1,0)),"")</f>
        <v/>
      </c>
      <c r="AD128" s="65" t="str">
        <f>+IFERROR(INDEX('Restaurant Base (Hidden)'!$A$2:$Z$1048576,MATCH($C128,'Restaurant Base (Hidden)'!$C$2:$C$1048576,0),MATCH(AD$6,'Restaurant Base (Hidden)'!$A$1:$Z$1,0)),"")</f>
        <v>86,30 %</v>
      </c>
      <c r="AE128" s="1">
        <f>+IFERROR(INDEX('Restaurant Base (Hidden)'!$A$2:$Z$1048576,MATCH($C128,'Restaurant Base (Hidden)'!$C$2:$C$1048576,0),MATCH(AE$6,'Restaurant Base (Hidden)'!$A$1:$Z$1,0)),"")</f>
        <v>3</v>
      </c>
      <c r="AF128" s="65" t="str">
        <f>+IFERROR(INDEX('Restaurant Base (Hidden)'!$A$2:$Z$1048576,MATCH($C128,'Restaurant Base (Hidden)'!$C$2:$C$1048576,0),MATCH(AF$6,'Restaurant Base (Hidden)'!$A$1:$Z$1,0)),"")</f>
        <v>93,90 %</v>
      </c>
      <c r="AG128" s="1">
        <f>+IFERROR(INDEX('Restaurant Base (Hidden)'!$A$2:$Z$1048576,MATCH($C128,'Restaurant Base (Hidden)'!$C$2:$C$1048576,0),MATCH(AG$6,'Restaurant Base (Hidden)'!$A$1:$Z$1,0)),"")</f>
        <v>4</v>
      </c>
    </row>
    <row r="129" spans="1:33" x14ac:dyDescent="0.4">
      <c r="A129" s="163" t="str">
        <f>IF('Restaurant Base (Hidden)'!A326=0,"", 'Restaurant Base (Hidden)'!A326)</f>
        <v>Elliot Hawthorne</v>
      </c>
      <c r="B129" s="163" t="str">
        <f>IF('Restaurant Base (Hidden)'!B326=0,"", 'Restaurant Base (Hidden)'!B326)</f>
        <v>Westhaven Foods</v>
      </c>
      <c r="C129" s="163" t="str">
        <f>IF('Restaurant Base (Hidden)'!C326=0,"", 'Restaurant Base (Hidden)'!C326)</f>
        <v>Oak Plaza</v>
      </c>
      <c r="D129" s="104">
        <f t="shared" si="1"/>
        <v>121</v>
      </c>
      <c r="E129" s="105">
        <f>+IFERROR(INDEX('Restaurant Base (Hidden)'!$A$2:$Z$1048576,MATCH($C129,'Restaurant Base (Hidden)'!$C$2:$C$1048576,0),MATCH(E$6,'Restaurant Base (Hidden)'!$A$1:$Z$1,0)),"")</f>
        <v>3.25</v>
      </c>
      <c r="F129" s="2" t="str">
        <f>+IFERROR(INDEX('Restaurant Base (Hidden)'!$A$2:$Z$1048576,MATCH($C129,'Restaurant Base (Hidden)'!$C$2:$C$1048576,0),MATCH(F$6,'Restaurant Base (Hidden)'!$A$1:$Z$1,0)),"")</f>
        <v/>
      </c>
      <c r="G129" s="20" t="str">
        <f>+IFERROR(INDEX('Restaurant Base (Hidden)'!$A$2:$Z$1048576,MATCH($C129,'Restaurant Base (Hidden)'!$C$2:$C$1048576,0),MATCH(G$6,'Restaurant Base (Hidden)'!$A$1:$Z$1,0)),"")</f>
        <v>4,721</v>
      </c>
      <c r="H129" s="50">
        <f>+IFERROR(INDEX('Restaurant Base (Hidden)'!$A$2:$Z$1048576,MATCH($C129,'Restaurant Base (Hidden)'!$C$2:$C$1048576,0),MATCH(H$6,'Restaurant Base (Hidden)'!$A$1:$Z$1,0)),"")</f>
        <v>5</v>
      </c>
      <c r="I129" s="20" t="str">
        <f>+IFERROR(INDEX('Restaurant Base (Hidden)'!$A$2:$Z$1048576,MATCH($C129,'Restaurant Base (Hidden)'!$C$2:$C$1048576,0),MATCH(I$6,'Restaurant Base (Hidden)'!$A$1:$Z$1,0)),"")</f>
        <v>76,50 %</v>
      </c>
      <c r="J129" s="49">
        <f>+IFERROR(INDEX('Restaurant Base (Hidden)'!$A$2:$Z$1048576,MATCH($C129,'Restaurant Base (Hidden)'!$C$2:$C$1048576,0),MATCH(J$6,'Restaurant Base (Hidden)'!$A$1:$Z$1,0)),"")</f>
        <v>1</v>
      </c>
      <c r="K129" s="20" t="str">
        <f>+IFERROR(INDEX('Restaurant Base (Hidden)'!$A$2:$Z$1048576,MATCH($C129,'Restaurant Base (Hidden)'!$C$2:$C$1048576,0),MATCH(K$6,'Restaurant Base (Hidden)'!$A$1:$Z$1,0)),"")</f>
        <v>0,160</v>
      </c>
      <c r="L129" s="51">
        <f>+IFERROR(INDEX('Restaurant Base (Hidden)'!$A$2:$Z$1048576,MATCH($C129,'Restaurant Base (Hidden)'!$C$2:$C$1048576,0),MATCH(L$6,'Restaurant Base (Hidden)'!$A$1:$Z$1,0)),"")</f>
        <v>2</v>
      </c>
      <c r="M129" s="2" t="str">
        <f>+IFERROR(INDEX('Restaurant Base (Hidden)'!$A$2:$Z$1048576,MATCH($C129,'Restaurant Base (Hidden)'!$C$2:$C$1048576,0),MATCH(M$6,'Restaurant Base (Hidden)'!$A$1:$Z$1,0)),"")</f>
        <v/>
      </c>
      <c r="N129" s="234" t="str">
        <f>+IFERROR(INDEX('Restaurant Base (Hidden)'!$A$2:$Z$1048576,MATCH($C129,'Restaurant Base (Hidden)'!$C$2:$C$1048576,0),MATCH(N$6,'Restaurant Base (Hidden)'!$A$1:$Z$1,0)),"")</f>
        <v>74,30 %</v>
      </c>
      <c r="O129" s="1">
        <f>+IFERROR(INDEX('Restaurant Base (Hidden)'!$A$2:$Z$1048576,MATCH($C129,'Restaurant Base (Hidden)'!$C$2:$C$1048576,0),MATCH(O$6,'Restaurant Base (Hidden)'!$A$1:$Z$1,0)),"")</f>
        <v>5</v>
      </c>
      <c r="P129" s="2" t="str">
        <f>+IFERROR(INDEX('Restaurant Base (Hidden)'!$A$2:$Z$1048576,MATCH($C129,'Restaurant Base (Hidden)'!$C$2:$C$1048576,0),MATCH(P$6,'Restaurant Base (Hidden)'!$A$1:$Z$1,0)),"")</f>
        <v/>
      </c>
      <c r="Q129" s="234" t="str">
        <f>+IFERROR(INDEX('Restaurant Base (Hidden)'!$A$2:$Z$1048576,MATCH($C129,'Restaurant Base (Hidden)'!$C$2:$C$1048576,0),MATCH(Q$6,'Restaurant Base (Hidden)'!$A$1:$Z$1,0)),"")</f>
        <v>84,80 %</v>
      </c>
      <c r="R129" s="1">
        <f>+IFERROR(INDEX('Restaurant Base (Hidden)'!$A$2:$Z$1048576,MATCH($C129,'Restaurant Base (Hidden)'!$C$2:$C$1048576,0),MATCH(R$6,'Restaurant Base (Hidden)'!$A$1:$Z$1,0)),"")</f>
        <v>5</v>
      </c>
      <c r="S129" s="2" t="str">
        <f>+IFERROR(INDEX('Restaurant Base (Hidden)'!$A$2:$Z$1048576,MATCH($C129,'Restaurant Base (Hidden)'!$C$2:$C$1048576,0),MATCH(S$6,'Restaurant Base (Hidden)'!$A$1:$Z$1,0)),"")</f>
        <v/>
      </c>
      <c r="T129" s="62">
        <f>+IFERROR(INDEX('Restaurant Base (Hidden)'!$A$2:$Z$1048576,MATCH($C129,'Restaurant Base (Hidden)'!$C$2:$C$1048576,0),MATCH(T$6,'Restaurant Base (Hidden)'!$A$1:$Z$1,0)),"")</f>
        <v>58</v>
      </c>
      <c r="U129" s="1">
        <f>+IFERROR(INDEX('Restaurant Base (Hidden)'!$A$2:$Z$1048576,MATCH($C129,'Restaurant Base (Hidden)'!$C$2:$C$1048576,0),MATCH(U$6,'Restaurant Base (Hidden)'!$A$1:$Z$1,0)),"")</f>
        <v>2</v>
      </c>
      <c r="V129" s="2" t="str">
        <f>+IFERROR(INDEX('Restaurant Base (Hidden)'!$A$2:$Z$1048576,MATCH($C129,'Restaurant Base (Hidden)'!$C$2:$C$1048576,0),MATCH(V$6,'Restaurant Base (Hidden)'!$A$1:$Z$1,0)),"")</f>
        <v/>
      </c>
      <c r="W129" s="65" t="str">
        <f>+IFERROR(INDEX('Restaurant Base (Hidden)'!$A$2:$Z$1048576,MATCH($C129,'Restaurant Base (Hidden)'!$C$2:$C$1048576,0),MATCH(W$6,'Restaurant Base (Hidden)'!$A$1:$Z$1,0)),"")</f>
        <v>56,30 %</v>
      </c>
      <c r="X129" s="1">
        <f>+IFERROR(INDEX('Restaurant Base (Hidden)'!$A$2:$Z$1048576,MATCH($C129,'Restaurant Base (Hidden)'!$C$2:$C$1048576,0),MATCH(X$6,'Restaurant Base (Hidden)'!$A$1:$Z$1,0)),"")</f>
        <v>1</v>
      </c>
      <c r="Y129" s="65" t="str">
        <f>+IFERROR(INDEX('Restaurant Base (Hidden)'!$A$2:$Z$1048576,MATCH($C129,'Restaurant Base (Hidden)'!$C$2:$C$1048576,0),MATCH(Y$6,'Restaurant Base (Hidden)'!$A$1:$Z$1,0)),"")</f>
        <v>85,80 %</v>
      </c>
      <c r="Z129" s="106">
        <f>+IFERROR(INDEX('Restaurant Base (Hidden)'!$A$2:$Z$1048576,MATCH($C129,'Restaurant Base (Hidden)'!$C$2:$C$1048576,0),MATCH(Z$6,'Restaurant Base (Hidden)'!$A$1:$Z$1,0)),"")</f>
        <v>3</v>
      </c>
      <c r="AA129" s="65" t="str">
        <f>+IFERROR(INDEX('Restaurant Base (Hidden)'!$A$2:$Z$1048576,MATCH($C129,'Restaurant Base (Hidden)'!$C$2:$C$1048576,0),MATCH(AA$6,'Restaurant Base (Hidden)'!$A$1:$Z$1,0)),"")</f>
        <v>82,10 %</v>
      </c>
      <c r="AB129" s="1">
        <f>+IFERROR(INDEX('Restaurant Base (Hidden)'!$A$2:$Z$1048576,MATCH($C129,'Restaurant Base (Hidden)'!$C$2:$C$1048576,0),MATCH(AB$6,'Restaurant Base (Hidden)'!$A$1:$Z$1,0)),"")</f>
        <v>2</v>
      </c>
      <c r="AC129" s="20" t="str">
        <f>+IFERROR(INDEX('Restaurant Base (Hidden)'!$A$2:$Z$1048576,MATCH($C129,'Restaurant Base (Hidden)'!$C$2:$C$1048576,0),MATCH(AC$6,'Restaurant Base (Hidden)'!$A$1:$Z$1,0)),"")</f>
        <v/>
      </c>
      <c r="AD129" s="65" t="str">
        <f>+IFERROR(INDEX('Restaurant Base (Hidden)'!$A$2:$Z$1048576,MATCH($C129,'Restaurant Base (Hidden)'!$C$2:$C$1048576,0),MATCH(AD$6,'Restaurant Base (Hidden)'!$A$1:$Z$1,0)),"")</f>
        <v>85,60 %</v>
      </c>
      <c r="AE129" s="1">
        <f>+IFERROR(INDEX('Restaurant Base (Hidden)'!$A$2:$Z$1048576,MATCH($C129,'Restaurant Base (Hidden)'!$C$2:$C$1048576,0),MATCH(AE$6,'Restaurant Base (Hidden)'!$A$1:$Z$1,0)),"")</f>
        <v>3</v>
      </c>
      <c r="AF129" s="65" t="str">
        <f>+IFERROR(INDEX('Restaurant Base (Hidden)'!$A$2:$Z$1048576,MATCH($C129,'Restaurant Base (Hidden)'!$C$2:$C$1048576,0),MATCH(AF$6,'Restaurant Base (Hidden)'!$A$1:$Z$1,0)),"")</f>
        <v>96,90 %</v>
      </c>
      <c r="AG129" s="1">
        <f>+IFERROR(INDEX('Restaurant Base (Hidden)'!$A$2:$Z$1048576,MATCH($C129,'Restaurant Base (Hidden)'!$C$2:$C$1048576,0),MATCH(AG$6,'Restaurant Base (Hidden)'!$A$1:$Z$1,0)),"")</f>
        <v>4</v>
      </c>
    </row>
    <row r="130" spans="1:33" x14ac:dyDescent="0.4">
      <c r="A130" s="163" t="str">
        <f>IF('Restaurant Base (Hidden)'!A154=0,"", 'Restaurant Base (Hidden)'!A154)</f>
        <v>Harper Langford</v>
      </c>
      <c r="B130" s="163" t="str">
        <f>IF('Restaurant Base (Hidden)'!B154=0,"", 'Restaurant Base (Hidden)'!B154)</f>
        <v>Ridgeway Restaurants</v>
      </c>
      <c r="C130" s="163" t="str">
        <f>IF('Restaurant Base (Hidden)'!C154=0,"", 'Restaurant Base (Hidden)'!C154)</f>
        <v>Eagle Bridge</v>
      </c>
      <c r="D130" s="104">
        <f t="shared" si="1"/>
        <v>124</v>
      </c>
      <c r="E130" s="105">
        <f>+IFERROR(INDEX('Restaurant Base (Hidden)'!$A$2:$Z$1048576,MATCH($C130,'Restaurant Base (Hidden)'!$C$2:$C$1048576,0),MATCH(E$6,'Restaurant Base (Hidden)'!$A$1:$Z$1,0)),"")</f>
        <v>3.24</v>
      </c>
      <c r="F130" s="2" t="str">
        <f>+IFERROR(INDEX('Restaurant Base (Hidden)'!$A$2:$Z$1048576,MATCH($C130,'Restaurant Base (Hidden)'!$C$2:$C$1048576,0),MATCH(F$6,'Restaurant Base (Hidden)'!$A$1:$Z$1,0)),"")</f>
        <v/>
      </c>
      <c r="G130" s="20" t="str">
        <f>+IFERROR(INDEX('Restaurant Base (Hidden)'!$A$2:$Z$1048576,MATCH($C130,'Restaurant Base (Hidden)'!$C$2:$C$1048576,0),MATCH(G$6,'Restaurant Base (Hidden)'!$A$1:$Z$1,0)),"")</f>
        <v>4,567</v>
      </c>
      <c r="H130" s="50">
        <f>+IFERROR(INDEX('Restaurant Base (Hidden)'!$A$2:$Z$1048576,MATCH($C130,'Restaurant Base (Hidden)'!$C$2:$C$1048576,0),MATCH(H$6,'Restaurant Base (Hidden)'!$A$1:$Z$1,0)),"")</f>
        <v>5</v>
      </c>
      <c r="I130" s="20" t="str">
        <f>+IFERROR(INDEX('Restaurant Base (Hidden)'!$A$2:$Z$1048576,MATCH($C130,'Restaurant Base (Hidden)'!$C$2:$C$1048576,0),MATCH(I$6,'Restaurant Base (Hidden)'!$A$1:$Z$1,0)),"")</f>
        <v>74,60 %</v>
      </c>
      <c r="J130" s="49">
        <f>+IFERROR(INDEX('Restaurant Base (Hidden)'!$A$2:$Z$1048576,MATCH($C130,'Restaurant Base (Hidden)'!$C$2:$C$1048576,0),MATCH(J$6,'Restaurant Base (Hidden)'!$A$1:$Z$1,0)),"")</f>
        <v>1</v>
      </c>
      <c r="K130" s="20" t="str">
        <f>+IFERROR(INDEX('Restaurant Base (Hidden)'!$A$2:$Z$1048576,MATCH($C130,'Restaurant Base (Hidden)'!$C$2:$C$1048576,0),MATCH(K$6,'Restaurant Base (Hidden)'!$A$1:$Z$1,0)),"")</f>
        <v>0,132</v>
      </c>
      <c r="L130" s="51">
        <f>+IFERROR(INDEX('Restaurant Base (Hidden)'!$A$2:$Z$1048576,MATCH($C130,'Restaurant Base (Hidden)'!$C$2:$C$1048576,0),MATCH(L$6,'Restaurant Base (Hidden)'!$A$1:$Z$1,0)),"")</f>
        <v>2</v>
      </c>
      <c r="M130" s="2" t="str">
        <f>+IFERROR(INDEX('Restaurant Base (Hidden)'!$A$2:$Z$1048576,MATCH($C130,'Restaurant Base (Hidden)'!$C$2:$C$1048576,0),MATCH(M$6,'Restaurant Base (Hidden)'!$A$1:$Z$1,0)),"")</f>
        <v/>
      </c>
      <c r="N130" s="234" t="str">
        <f>+IFERROR(INDEX('Restaurant Base (Hidden)'!$A$2:$Z$1048576,MATCH($C130,'Restaurant Base (Hidden)'!$C$2:$C$1048576,0),MATCH(N$6,'Restaurant Base (Hidden)'!$A$1:$Z$1,0)),"")</f>
        <v>99,30 %</v>
      </c>
      <c r="O130" s="1">
        <f>+IFERROR(INDEX('Restaurant Base (Hidden)'!$A$2:$Z$1048576,MATCH($C130,'Restaurant Base (Hidden)'!$C$2:$C$1048576,0),MATCH(O$6,'Restaurant Base (Hidden)'!$A$1:$Z$1,0)),"")</f>
        <v>5</v>
      </c>
      <c r="P130" s="2" t="str">
        <f>+IFERROR(INDEX('Restaurant Base (Hidden)'!$A$2:$Z$1048576,MATCH($C130,'Restaurant Base (Hidden)'!$C$2:$C$1048576,0),MATCH(P$6,'Restaurant Base (Hidden)'!$A$1:$Z$1,0)),"")</f>
        <v/>
      </c>
      <c r="Q130" s="234" t="str">
        <f>+IFERROR(INDEX('Restaurant Base (Hidden)'!$A$2:$Z$1048576,MATCH($C130,'Restaurant Base (Hidden)'!$C$2:$C$1048576,0),MATCH(Q$6,'Restaurant Base (Hidden)'!$A$1:$Z$1,0)),"")</f>
        <v>72,00 %</v>
      </c>
      <c r="R130" s="1">
        <f>+IFERROR(INDEX('Restaurant Base (Hidden)'!$A$2:$Z$1048576,MATCH($C130,'Restaurant Base (Hidden)'!$C$2:$C$1048576,0),MATCH(R$6,'Restaurant Base (Hidden)'!$A$1:$Z$1,0)),"")</f>
        <v>4</v>
      </c>
      <c r="S130" s="2" t="str">
        <f>+IFERROR(INDEX('Restaurant Base (Hidden)'!$A$2:$Z$1048576,MATCH($C130,'Restaurant Base (Hidden)'!$C$2:$C$1048576,0),MATCH(S$6,'Restaurant Base (Hidden)'!$A$1:$Z$1,0)),"")</f>
        <v/>
      </c>
      <c r="T130" s="62">
        <f>+IFERROR(INDEX('Restaurant Base (Hidden)'!$A$2:$Z$1048576,MATCH($C130,'Restaurant Base (Hidden)'!$C$2:$C$1048576,0),MATCH(T$6,'Restaurant Base (Hidden)'!$A$1:$Z$1,0)),"")</f>
        <v>73.099999999999994</v>
      </c>
      <c r="U130" s="1">
        <f>+IFERROR(INDEX('Restaurant Base (Hidden)'!$A$2:$Z$1048576,MATCH($C130,'Restaurant Base (Hidden)'!$C$2:$C$1048576,0),MATCH(U$6,'Restaurant Base (Hidden)'!$A$1:$Z$1,0)),"")</f>
        <v>5</v>
      </c>
      <c r="V130" s="2" t="str">
        <f>+IFERROR(INDEX('Restaurant Base (Hidden)'!$A$2:$Z$1048576,MATCH($C130,'Restaurant Base (Hidden)'!$C$2:$C$1048576,0),MATCH(V$6,'Restaurant Base (Hidden)'!$A$1:$Z$1,0)),"")</f>
        <v/>
      </c>
      <c r="W130" s="65" t="str">
        <f>+IFERROR(INDEX('Restaurant Base (Hidden)'!$A$2:$Z$1048576,MATCH($C130,'Restaurant Base (Hidden)'!$C$2:$C$1048576,0),MATCH(W$6,'Restaurant Base (Hidden)'!$A$1:$Z$1,0)),"")</f>
        <v>90,10 %</v>
      </c>
      <c r="X130" s="1">
        <f>+IFERROR(INDEX('Restaurant Base (Hidden)'!$A$2:$Z$1048576,MATCH($C130,'Restaurant Base (Hidden)'!$C$2:$C$1048576,0),MATCH(X$6,'Restaurant Base (Hidden)'!$A$1:$Z$1,0)),"")</f>
        <v>3</v>
      </c>
      <c r="Y130" s="65" t="str">
        <f>+IFERROR(INDEX('Restaurant Base (Hidden)'!$A$2:$Z$1048576,MATCH($C130,'Restaurant Base (Hidden)'!$C$2:$C$1048576,0),MATCH(Y$6,'Restaurant Base (Hidden)'!$A$1:$Z$1,0)),"")</f>
        <v>85,70 %</v>
      </c>
      <c r="Z130" s="106">
        <f>+IFERROR(INDEX('Restaurant Base (Hidden)'!$A$2:$Z$1048576,MATCH($C130,'Restaurant Base (Hidden)'!$C$2:$C$1048576,0),MATCH(Z$6,'Restaurant Base (Hidden)'!$A$1:$Z$1,0)),"")</f>
        <v>3</v>
      </c>
      <c r="AA130" s="65" t="str">
        <f>+IFERROR(INDEX('Restaurant Base (Hidden)'!$A$2:$Z$1048576,MATCH($C130,'Restaurant Base (Hidden)'!$C$2:$C$1048576,0),MATCH(AA$6,'Restaurant Base (Hidden)'!$A$1:$Z$1,0)),"")</f>
        <v>78,20 %</v>
      </c>
      <c r="AB130" s="1">
        <f>+IFERROR(INDEX('Restaurant Base (Hidden)'!$A$2:$Z$1048576,MATCH($C130,'Restaurant Base (Hidden)'!$C$2:$C$1048576,0),MATCH(AB$6,'Restaurant Base (Hidden)'!$A$1:$Z$1,0)),"")</f>
        <v>2</v>
      </c>
      <c r="AC130" s="20" t="str">
        <f>+IFERROR(INDEX('Restaurant Base (Hidden)'!$A$2:$Z$1048576,MATCH($C130,'Restaurant Base (Hidden)'!$C$2:$C$1048576,0),MATCH(AC$6,'Restaurant Base (Hidden)'!$A$1:$Z$1,0)),"")</f>
        <v/>
      </c>
      <c r="AD130" s="65" t="str">
        <f>+IFERROR(INDEX('Restaurant Base (Hidden)'!$A$2:$Z$1048576,MATCH($C130,'Restaurant Base (Hidden)'!$C$2:$C$1048576,0),MATCH(AD$6,'Restaurant Base (Hidden)'!$A$1:$Z$1,0)),"")</f>
        <v>84,80 %</v>
      </c>
      <c r="AE130" s="1">
        <f>+IFERROR(INDEX('Restaurant Base (Hidden)'!$A$2:$Z$1048576,MATCH($C130,'Restaurant Base (Hidden)'!$C$2:$C$1048576,0),MATCH(AE$6,'Restaurant Base (Hidden)'!$A$1:$Z$1,0)),"")</f>
        <v>3</v>
      </c>
      <c r="AF130" s="65" t="str">
        <f>+IFERROR(INDEX('Restaurant Base (Hidden)'!$A$2:$Z$1048576,MATCH($C130,'Restaurant Base (Hidden)'!$C$2:$C$1048576,0),MATCH(AF$6,'Restaurant Base (Hidden)'!$A$1:$Z$1,0)),"")</f>
        <v>60,20 %</v>
      </c>
      <c r="AG130" s="1">
        <f>+IFERROR(INDEX('Restaurant Base (Hidden)'!$A$2:$Z$1048576,MATCH($C130,'Restaurant Base (Hidden)'!$C$2:$C$1048576,0),MATCH(AG$6,'Restaurant Base (Hidden)'!$A$1:$Z$1,0)),"")</f>
        <v>1</v>
      </c>
    </row>
    <row r="131" spans="1:33" x14ac:dyDescent="0.4">
      <c r="A131" s="163" t="str">
        <f>IF('Restaurant Base (Hidden)'!A198=0,"", 'Restaurant Base (Hidden)'!A198)</f>
        <v>Emerson Greenleigh</v>
      </c>
      <c r="B131" s="163" t="str">
        <f>IF('Restaurant Base (Hidden)'!B198=0,"", 'Restaurant Base (Hidden)'!B198)</f>
        <v>Havenbrook Restaurants</v>
      </c>
      <c r="C131" s="163" t="str">
        <f>IF('Restaurant Base (Hidden)'!C198=0,"", 'Restaurant Base (Hidden)'!C198)</f>
        <v>Bright Fields</v>
      </c>
      <c r="D131" s="104">
        <f t="shared" si="1"/>
        <v>124</v>
      </c>
      <c r="E131" s="105">
        <f>+IFERROR(INDEX('Restaurant Base (Hidden)'!$A$2:$Z$1048576,MATCH($C131,'Restaurant Base (Hidden)'!$C$2:$C$1048576,0),MATCH(E$6,'Restaurant Base (Hidden)'!$A$1:$Z$1,0)),"")</f>
        <v>3.24</v>
      </c>
      <c r="F131" s="2" t="str">
        <f>+IFERROR(INDEX('Restaurant Base (Hidden)'!$A$2:$Z$1048576,MATCH($C131,'Restaurant Base (Hidden)'!$C$2:$C$1048576,0),MATCH(F$6,'Restaurant Base (Hidden)'!$A$1:$Z$1,0)),"")</f>
        <v/>
      </c>
      <c r="G131" s="20" t="str">
        <f>+IFERROR(INDEX('Restaurant Base (Hidden)'!$A$2:$Z$1048576,MATCH($C131,'Restaurant Base (Hidden)'!$C$2:$C$1048576,0),MATCH(G$6,'Restaurant Base (Hidden)'!$A$1:$Z$1,0)),"")</f>
        <v>4,514</v>
      </c>
      <c r="H131" s="50">
        <f>+IFERROR(INDEX('Restaurant Base (Hidden)'!$A$2:$Z$1048576,MATCH($C131,'Restaurant Base (Hidden)'!$C$2:$C$1048576,0),MATCH(H$6,'Restaurant Base (Hidden)'!$A$1:$Z$1,0)),"")</f>
        <v>5</v>
      </c>
      <c r="I131" s="20" t="str">
        <f>+IFERROR(INDEX('Restaurant Base (Hidden)'!$A$2:$Z$1048576,MATCH($C131,'Restaurant Base (Hidden)'!$C$2:$C$1048576,0),MATCH(I$6,'Restaurant Base (Hidden)'!$A$1:$Z$1,0)),"")</f>
        <v>56,10 %</v>
      </c>
      <c r="J131" s="49">
        <f>+IFERROR(INDEX('Restaurant Base (Hidden)'!$A$2:$Z$1048576,MATCH($C131,'Restaurant Base (Hidden)'!$C$2:$C$1048576,0),MATCH(J$6,'Restaurant Base (Hidden)'!$A$1:$Z$1,0)),"")</f>
        <v>1</v>
      </c>
      <c r="K131" s="20" t="str">
        <f>+IFERROR(INDEX('Restaurant Base (Hidden)'!$A$2:$Z$1048576,MATCH($C131,'Restaurant Base (Hidden)'!$C$2:$C$1048576,0),MATCH(K$6,'Restaurant Base (Hidden)'!$A$1:$Z$1,0)),"")</f>
        <v>0,146</v>
      </c>
      <c r="L131" s="51">
        <f>+IFERROR(INDEX('Restaurant Base (Hidden)'!$A$2:$Z$1048576,MATCH($C131,'Restaurant Base (Hidden)'!$C$2:$C$1048576,0),MATCH(L$6,'Restaurant Base (Hidden)'!$A$1:$Z$1,0)),"")</f>
        <v>2</v>
      </c>
      <c r="M131" s="2" t="str">
        <f>+IFERROR(INDEX('Restaurant Base (Hidden)'!$A$2:$Z$1048576,MATCH($C131,'Restaurant Base (Hidden)'!$C$2:$C$1048576,0),MATCH(M$6,'Restaurant Base (Hidden)'!$A$1:$Z$1,0)),"")</f>
        <v/>
      </c>
      <c r="N131" s="234" t="str">
        <f>+IFERROR(INDEX('Restaurant Base (Hidden)'!$A$2:$Z$1048576,MATCH($C131,'Restaurant Base (Hidden)'!$C$2:$C$1048576,0),MATCH(N$6,'Restaurant Base (Hidden)'!$A$1:$Z$1,0)),"")</f>
        <v>70,90 %</v>
      </c>
      <c r="O131" s="1">
        <f>+IFERROR(INDEX('Restaurant Base (Hidden)'!$A$2:$Z$1048576,MATCH($C131,'Restaurant Base (Hidden)'!$C$2:$C$1048576,0),MATCH(O$6,'Restaurant Base (Hidden)'!$A$1:$Z$1,0)),"")</f>
        <v>4</v>
      </c>
      <c r="P131" s="2" t="str">
        <f>+IFERROR(INDEX('Restaurant Base (Hidden)'!$A$2:$Z$1048576,MATCH($C131,'Restaurant Base (Hidden)'!$C$2:$C$1048576,0),MATCH(P$6,'Restaurant Base (Hidden)'!$A$1:$Z$1,0)),"")</f>
        <v/>
      </c>
      <c r="Q131" s="234" t="str">
        <f>+IFERROR(INDEX('Restaurant Base (Hidden)'!$A$2:$Z$1048576,MATCH($C131,'Restaurant Base (Hidden)'!$C$2:$C$1048576,0),MATCH(Q$6,'Restaurant Base (Hidden)'!$A$1:$Z$1,0)),"")</f>
        <v>96,60 %</v>
      </c>
      <c r="R131" s="1">
        <f>+IFERROR(INDEX('Restaurant Base (Hidden)'!$A$2:$Z$1048576,MATCH($C131,'Restaurant Base (Hidden)'!$C$2:$C$1048576,0),MATCH(R$6,'Restaurant Base (Hidden)'!$A$1:$Z$1,0)),"")</f>
        <v>5</v>
      </c>
      <c r="S131" s="2" t="str">
        <f>+IFERROR(INDEX('Restaurant Base (Hidden)'!$A$2:$Z$1048576,MATCH($C131,'Restaurant Base (Hidden)'!$C$2:$C$1048576,0),MATCH(S$6,'Restaurant Base (Hidden)'!$A$1:$Z$1,0)),"")</f>
        <v/>
      </c>
      <c r="T131" s="62">
        <f>+IFERROR(INDEX('Restaurant Base (Hidden)'!$A$2:$Z$1048576,MATCH($C131,'Restaurant Base (Hidden)'!$C$2:$C$1048576,0),MATCH(T$6,'Restaurant Base (Hidden)'!$A$1:$Z$1,0)),"")</f>
        <v>73.8</v>
      </c>
      <c r="U131" s="1">
        <f>+IFERROR(INDEX('Restaurant Base (Hidden)'!$A$2:$Z$1048576,MATCH($C131,'Restaurant Base (Hidden)'!$C$2:$C$1048576,0),MATCH(U$6,'Restaurant Base (Hidden)'!$A$1:$Z$1,0)),"")</f>
        <v>5</v>
      </c>
      <c r="V131" s="2" t="str">
        <f>+IFERROR(INDEX('Restaurant Base (Hidden)'!$A$2:$Z$1048576,MATCH($C131,'Restaurant Base (Hidden)'!$C$2:$C$1048576,0),MATCH(V$6,'Restaurant Base (Hidden)'!$A$1:$Z$1,0)),"")</f>
        <v/>
      </c>
      <c r="W131" s="65" t="str">
        <f>+IFERROR(INDEX('Restaurant Base (Hidden)'!$A$2:$Z$1048576,MATCH($C131,'Restaurant Base (Hidden)'!$C$2:$C$1048576,0),MATCH(W$6,'Restaurant Base (Hidden)'!$A$1:$Z$1,0)),"")</f>
        <v>62,70 %</v>
      </c>
      <c r="X131" s="1">
        <f>+IFERROR(INDEX('Restaurant Base (Hidden)'!$A$2:$Z$1048576,MATCH($C131,'Restaurant Base (Hidden)'!$C$2:$C$1048576,0),MATCH(X$6,'Restaurant Base (Hidden)'!$A$1:$Z$1,0)),"")</f>
        <v>2</v>
      </c>
      <c r="Y131" s="65" t="str">
        <f>+IFERROR(INDEX('Restaurant Base (Hidden)'!$A$2:$Z$1048576,MATCH($C131,'Restaurant Base (Hidden)'!$C$2:$C$1048576,0),MATCH(Y$6,'Restaurant Base (Hidden)'!$A$1:$Z$1,0)),"")</f>
        <v>96,00 %</v>
      </c>
      <c r="Z131" s="106">
        <f>+IFERROR(INDEX('Restaurant Base (Hidden)'!$A$2:$Z$1048576,MATCH($C131,'Restaurant Base (Hidden)'!$C$2:$C$1048576,0),MATCH(Z$6,'Restaurant Base (Hidden)'!$A$1:$Z$1,0)),"")</f>
        <v>4</v>
      </c>
      <c r="AA131" s="65" t="str">
        <f>+IFERROR(INDEX('Restaurant Base (Hidden)'!$A$2:$Z$1048576,MATCH($C131,'Restaurant Base (Hidden)'!$C$2:$C$1048576,0),MATCH(AA$6,'Restaurant Base (Hidden)'!$A$1:$Z$1,0)),"")</f>
        <v>65,30 %</v>
      </c>
      <c r="AB131" s="1">
        <f>+IFERROR(INDEX('Restaurant Base (Hidden)'!$A$2:$Z$1048576,MATCH($C131,'Restaurant Base (Hidden)'!$C$2:$C$1048576,0),MATCH(AB$6,'Restaurant Base (Hidden)'!$A$1:$Z$1,0)),"")</f>
        <v>2</v>
      </c>
      <c r="AC131" s="20" t="str">
        <f>+IFERROR(INDEX('Restaurant Base (Hidden)'!$A$2:$Z$1048576,MATCH($C131,'Restaurant Base (Hidden)'!$C$2:$C$1048576,0),MATCH(AC$6,'Restaurant Base (Hidden)'!$A$1:$Z$1,0)),"")</f>
        <v/>
      </c>
      <c r="AD131" s="65" t="str">
        <f>+IFERROR(INDEX('Restaurant Base (Hidden)'!$A$2:$Z$1048576,MATCH($C131,'Restaurant Base (Hidden)'!$C$2:$C$1048576,0),MATCH(AD$6,'Restaurant Base (Hidden)'!$A$1:$Z$1,0)),"")</f>
        <v>88,30 %</v>
      </c>
      <c r="AE131" s="1">
        <f>+IFERROR(INDEX('Restaurant Base (Hidden)'!$A$2:$Z$1048576,MATCH($C131,'Restaurant Base (Hidden)'!$C$2:$C$1048576,0),MATCH(AE$6,'Restaurant Base (Hidden)'!$A$1:$Z$1,0)),"")</f>
        <v>3</v>
      </c>
      <c r="AF131" s="65" t="str">
        <f>+IFERROR(INDEX('Restaurant Base (Hidden)'!$A$2:$Z$1048576,MATCH($C131,'Restaurant Base (Hidden)'!$C$2:$C$1048576,0),MATCH(AF$6,'Restaurant Base (Hidden)'!$A$1:$Z$1,0)),"")</f>
        <v>69,60 %</v>
      </c>
      <c r="AG131" s="1">
        <f>+IFERROR(INDEX('Restaurant Base (Hidden)'!$A$2:$Z$1048576,MATCH($C131,'Restaurant Base (Hidden)'!$C$2:$C$1048576,0),MATCH(AG$6,'Restaurant Base (Hidden)'!$A$1:$Z$1,0)),"")</f>
        <v>1</v>
      </c>
    </row>
    <row r="132" spans="1:33" x14ac:dyDescent="0.4">
      <c r="A132" s="163" t="str">
        <f>IF('Restaurant Base (Hidden)'!A30=0,"", 'Restaurant Base (Hidden)'!A30)</f>
        <v>Tatum Westmere</v>
      </c>
      <c r="B132" s="163" t="str">
        <f>IF('Restaurant Base (Hidden)'!B30=0,"", 'Restaurant Base (Hidden)'!B30)</f>
        <v>Northvale Restaurants</v>
      </c>
      <c r="C132" s="163" t="str">
        <f>IF('Restaurant Base (Hidden)'!C30=0,"", 'Restaurant Base (Hidden)'!C30)</f>
        <v>Sunset House</v>
      </c>
      <c r="D132" s="104">
        <f t="shared" si="1"/>
        <v>126</v>
      </c>
      <c r="E132" s="105">
        <f>+IFERROR(INDEX('Restaurant Base (Hidden)'!$A$2:$Z$1048576,MATCH($C132,'Restaurant Base (Hidden)'!$C$2:$C$1048576,0),MATCH(E$6,'Restaurant Base (Hidden)'!$A$1:$Z$1,0)),"")</f>
        <v>3.23</v>
      </c>
      <c r="F132" s="64" t="str">
        <f>+IFERROR(INDEX('Restaurant Base (Hidden)'!$A$2:$Z$1048576,MATCH($C132,'Restaurant Base (Hidden)'!$C$2:$C$1048576,0),MATCH(F$6,'Restaurant Base (Hidden)'!$A$1:$Z$1,0)),"")</f>
        <v/>
      </c>
      <c r="G132" s="20" t="str">
        <f>+IFERROR(INDEX('Restaurant Base (Hidden)'!$A$2:$Z$1048576,MATCH($C132,'Restaurant Base (Hidden)'!$C$2:$C$1048576,0),MATCH(G$6,'Restaurant Base (Hidden)'!$A$1:$Z$1,0)),"")</f>
        <v>4,049</v>
      </c>
      <c r="H132" s="50">
        <f>+IFERROR(INDEX('Restaurant Base (Hidden)'!$A$2:$Z$1048576,MATCH($C132,'Restaurant Base (Hidden)'!$C$2:$C$1048576,0),MATCH(H$6,'Restaurant Base (Hidden)'!$A$1:$Z$1,0)),"")</f>
        <v>1</v>
      </c>
      <c r="I132" s="20" t="str">
        <f>+IFERROR(INDEX('Restaurant Base (Hidden)'!$A$2:$Z$1048576,MATCH($C132,'Restaurant Base (Hidden)'!$C$2:$C$1048576,0),MATCH(I$6,'Restaurant Base (Hidden)'!$A$1:$Z$1,0)),"")</f>
        <v>64,30 %</v>
      </c>
      <c r="J132" s="49">
        <f>+IFERROR(INDEX('Restaurant Base (Hidden)'!$A$2:$Z$1048576,MATCH($C132,'Restaurant Base (Hidden)'!$C$2:$C$1048576,0),MATCH(J$6,'Restaurant Base (Hidden)'!$A$1:$Z$1,0)),"")</f>
        <v>1</v>
      </c>
      <c r="K132" s="20" t="str">
        <f>+IFERROR(INDEX('Restaurant Base (Hidden)'!$A$2:$Z$1048576,MATCH($C132,'Restaurant Base (Hidden)'!$C$2:$C$1048576,0),MATCH(K$6,'Restaurant Base (Hidden)'!$A$1:$Z$1,0)),"")</f>
        <v>0,042</v>
      </c>
      <c r="L132" s="51">
        <f>+IFERROR(INDEX('Restaurant Base (Hidden)'!$A$2:$Z$1048576,MATCH($C132,'Restaurant Base (Hidden)'!$C$2:$C$1048576,0),MATCH(L$6,'Restaurant Base (Hidden)'!$A$1:$Z$1,0)),"")</f>
        <v>5</v>
      </c>
      <c r="M132" s="2" t="str">
        <f>+IFERROR(INDEX('Restaurant Base (Hidden)'!$A$2:$Z$1048576,MATCH($C132,'Restaurant Base (Hidden)'!$C$2:$C$1048576,0),MATCH(M$6,'Restaurant Base (Hidden)'!$A$1:$Z$1,0)),"")</f>
        <v/>
      </c>
      <c r="N132" s="234" t="str">
        <f>+IFERROR(INDEX('Restaurant Base (Hidden)'!$A$2:$Z$1048576,MATCH($C132,'Restaurant Base (Hidden)'!$C$2:$C$1048576,0),MATCH(N$6,'Restaurant Base (Hidden)'!$A$1:$Z$1,0)),"")</f>
        <v>61,50 %</v>
      </c>
      <c r="O132" s="1">
        <f>+IFERROR(INDEX('Restaurant Base (Hidden)'!$A$2:$Z$1048576,MATCH($C132,'Restaurant Base (Hidden)'!$C$2:$C$1048576,0),MATCH(O$6,'Restaurant Base (Hidden)'!$A$1:$Z$1,0)),"")</f>
        <v>2</v>
      </c>
      <c r="P132" s="2" t="str">
        <f>+IFERROR(INDEX('Restaurant Base (Hidden)'!$A$2:$Z$1048576,MATCH($C132,'Restaurant Base (Hidden)'!$C$2:$C$1048576,0),MATCH(P$6,'Restaurant Base (Hidden)'!$A$1:$Z$1,0)),"")</f>
        <v/>
      </c>
      <c r="Q132" s="234" t="str">
        <f>+IFERROR(INDEX('Restaurant Base (Hidden)'!$A$2:$Z$1048576,MATCH($C132,'Restaurant Base (Hidden)'!$C$2:$C$1048576,0),MATCH(Q$6,'Restaurant Base (Hidden)'!$A$1:$Z$1,0)),"")</f>
        <v>82,40 %</v>
      </c>
      <c r="R132" s="1">
        <f>+IFERROR(INDEX('Restaurant Base (Hidden)'!$A$2:$Z$1048576,MATCH($C132,'Restaurant Base (Hidden)'!$C$2:$C$1048576,0),MATCH(R$6,'Restaurant Base (Hidden)'!$A$1:$Z$1,0)),"")</f>
        <v>5</v>
      </c>
      <c r="S132" s="2" t="str">
        <f>+IFERROR(INDEX('Restaurant Base (Hidden)'!$A$2:$Z$1048576,MATCH($C132,'Restaurant Base (Hidden)'!$C$2:$C$1048576,0),MATCH(S$6,'Restaurant Base (Hidden)'!$A$1:$Z$1,0)),"")</f>
        <v/>
      </c>
      <c r="T132" s="62">
        <f>+IFERROR(INDEX('Restaurant Base (Hidden)'!$A$2:$Z$1048576,MATCH($C132,'Restaurant Base (Hidden)'!$C$2:$C$1048576,0),MATCH(T$6,'Restaurant Base (Hidden)'!$A$1:$Z$1,0)),"")</f>
        <v>69.400000000000006</v>
      </c>
      <c r="U132" s="1">
        <f>+IFERROR(INDEX('Restaurant Base (Hidden)'!$A$2:$Z$1048576,MATCH($C132,'Restaurant Base (Hidden)'!$C$2:$C$1048576,0),MATCH(U$6,'Restaurant Base (Hidden)'!$A$1:$Z$1,0)),"")</f>
        <v>5</v>
      </c>
      <c r="V132" s="2" t="str">
        <f>+IFERROR(INDEX('Restaurant Base (Hidden)'!$A$2:$Z$1048576,MATCH($C132,'Restaurant Base (Hidden)'!$C$2:$C$1048576,0),MATCH(V$6,'Restaurant Base (Hidden)'!$A$1:$Z$1,0)),"")</f>
        <v/>
      </c>
      <c r="W132" s="65" t="str">
        <f>+IFERROR(INDEX('Restaurant Base (Hidden)'!$A$2:$Z$1048576,MATCH($C132,'Restaurant Base (Hidden)'!$C$2:$C$1048576,0),MATCH(W$6,'Restaurant Base (Hidden)'!$A$1:$Z$1,0)),"")</f>
        <v>91,00 %</v>
      </c>
      <c r="X132" s="1">
        <f>+IFERROR(INDEX('Restaurant Base (Hidden)'!$A$2:$Z$1048576,MATCH($C132,'Restaurant Base (Hidden)'!$C$2:$C$1048576,0),MATCH(X$6,'Restaurant Base (Hidden)'!$A$1:$Z$1,0)),"")</f>
        <v>3</v>
      </c>
      <c r="Y132" s="65" t="str">
        <f>+IFERROR(INDEX('Restaurant Base (Hidden)'!$A$2:$Z$1048576,MATCH($C132,'Restaurant Base (Hidden)'!$C$2:$C$1048576,0),MATCH(Y$6,'Restaurant Base (Hidden)'!$A$1:$Z$1,0)),"")</f>
        <v>59,40 %</v>
      </c>
      <c r="Z132" s="106">
        <f>+IFERROR(INDEX('Restaurant Base (Hidden)'!$A$2:$Z$1048576,MATCH($C132,'Restaurant Base (Hidden)'!$C$2:$C$1048576,0),MATCH(Z$6,'Restaurant Base (Hidden)'!$A$1:$Z$1,0)),"")</f>
        <v>1</v>
      </c>
      <c r="AA132" s="65" t="str">
        <f>+IFERROR(INDEX('Restaurant Base (Hidden)'!$A$2:$Z$1048576,MATCH($C132,'Restaurant Base (Hidden)'!$C$2:$C$1048576,0),MATCH(AA$6,'Restaurant Base (Hidden)'!$A$1:$Z$1,0)),"")</f>
        <v>98,70 %</v>
      </c>
      <c r="AB132" s="1">
        <f>+IFERROR(INDEX('Restaurant Base (Hidden)'!$A$2:$Z$1048576,MATCH($C132,'Restaurant Base (Hidden)'!$C$2:$C$1048576,0),MATCH(AB$6,'Restaurant Base (Hidden)'!$A$1:$Z$1,0)),"")</f>
        <v>4</v>
      </c>
      <c r="AC132" s="20" t="str">
        <f>+IFERROR(INDEX('Restaurant Base (Hidden)'!$A$2:$Z$1048576,MATCH($C132,'Restaurant Base (Hidden)'!$C$2:$C$1048576,0),MATCH(AC$6,'Restaurant Base (Hidden)'!$A$1:$Z$1,0)),"")</f>
        <v/>
      </c>
      <c r="AD132" s="65" t="str">
        <f>+IFERROR(INDEX('Restaurant Base (Hidden)'!$A$2:$Z$1048576,MATCH($C132,'Restaurant Base (Hidden)'!$C$2:$C$1048576,0),MATCH(AD$6,'Restaurant Base (Hidden)'!$A$1:$Z$1,0)),"")</f>
        <v>89,90 %</v>
      </c>
      <c r="AE132" s="1">
        <f>+IFERROR(INDEX('Restaurant Base (Hidden)'!$A$2:$Z$1048576,MATCH($C132,'Restaurant Base (Hidden)'!$C$2:$C$1048576,0),MATCH(AE$6,'Restaurant Base (Hidden)'!$A$1:$Z$1,0)),"")</f>
        <v>4</v>
      </c>
      <c r="AF132" s="65" t="str">
        <f>+IFERROR(INDEX('Restaurant Base (Hidden)'!$A$2:$Z$1048576,MATCH($C132,'Restaurant Base (Hidden)'!$C$2:$C$1048576,0),MATCH(AF$6,'Restaurant Base (Hidden)'!$A$1:$Z$1,0)),"")</f>
        <v>95,80 %</v>
      </c>
      <c r="AG132" s="1">
        <f>+IFERROR(INDEX('Restaurant Base (Hidden)'!$A$2:$Z$1048576,MATCH($C132,'Restaurant Base (Hidden)'!$C$2:$C$1048576,0),MATCH(AG$6,'Restaurant Base (Hidden)'!$A$1:$Z$1,0)),"")</f>
        <v>4</v>
      </c>
    </row>
    <row r="133" spans="1:33" x14ac:dyDescent="0.4">
      <c r="A133" s="163" t="str">
        <f>IF('Restaurant Base (Hidden)'!A86=0,"", 'Restaurant Base (Hidden)'!A86)</f>
        <v>Sage Rosemont</v>
      </c>
      <c r="B133" s="163" t="str">
        <f>IF('Restaurant Base (Hidden)'!B86=0,"", 'Restaurant Base (Hidden)'!B86)</f>
        <v>Westhaven Foods</v>
      </c>
      <c r="C133" s="163" t="str">
        <f>IF('Restaurant Base (Hidden)'!C86=0,"", 'Restaurant Base (Hidden)'!C86)</f>
        <v>Westmere Mews</v>
      </c>
      <c r="D133" s="104">
        <f t="shared" si="1"/>
        <v>126</v>
      </c>
      <c r="E133" s="105">
        <f>+IFERROR(INDEX('Restaurant Base (Hidden)'!$A$2:$Z$1048576,MATCH($C133,'Restaurant Base (Hidden)'!$C$2:$C$1048576,0),MATCH(E$6,'Restaurant Base (Hidden)'!$A$1:$Z$1,0)),"")</f>
        <v>3.23</v>
      </c>
      <c r="F133" s="2" t="str">
        <f>+IFERROR(INDEX('Restaurant Base (Hidden)'!$A$2:$Z$1048576,MATCH($C133,'Restaurant Base (Hidden)'!$C$2:$C$1048576,0),MATCH(F$6,'Restaurant Base (Hidden)'!$A$1:$Z$1,0)),"")</f>
        <v/>
      </c>
      <c r="G133" s="20" t="str">
        <f>+IFERROR(INDEX('Restaurant Base (Hidden)'!$A$2:$Z$1048576,MATCH($C133,'Restaurant Base (Hidden)'!$C$2:$C$1048576,0),MATCH(G$6,'Restaurant Base (Hidden)'!$A$1:$Z$1,0)),"")</f>
        <v>4,080</v>
      </c>
      <c r="H133" s="50">
        <f>+IFERROR(INDEX('Restaurant Base (Hidden)'!$A$2:$Z$1048576,MATCH($C133,'Restaurant Base (Hidden)'!$C$2:$C$1048576,0),MATCH(H$6,'Restaurant Base (Hidden)'!$A$1:$Z$1,0)),"")</f>
        <v>2</v>
      </c>
      <c r="I133" s="20" t="str">
        <f>+IFERROR(INDEX('Restaurant Base (Hidden)'!$A$2:$Z$1048576,MATCH($C133,'Restaurant Base (Hidden)'!$C$2:$C$1048576,0),MATCH(I$6,'Restaurant Base (Hidden)'!$A$1:$Z$1,0)),"")</f>
        <v>93,60 %</v>
      </c>
      <c r="J133" s="49">
        <f>+IFERROR(INDEX('Restaurant Base (Hidden)'!$A$2:$Z$1048576,MATCH($C133,'Restaurant Base (Hidden)'!$C$2:$C$1048576,0),MATCH(J$6,'Restaurant Base (Hidden)'!$A$1:$Z$1,0)),"")</f>
        <v>4</v>
      </c>
      <c r="K133" s="20" t="str">
        <f>+IFERROR(INDEX('Restaurant Base (Hidden)'!$A$2:$Z$1048576,MATCH($C133,'Restaurant Base (Hidden)'!$C$2:$C$1048576,0),MATCH(K$6,'Restaurant Base (Hidden)'!$A$1:$Z$1,0)),"")</f>
        <v>0,062</v>
      </c>
      <c r="L133" s="51">
        <f>+IFERROR(INDEX('Restaurant Base (Hidden)'!$A$2:$Z$1048576,MATCH($C133,'Restaurant Base (Hidden)'!$C$2:$C$1048576,0),MATCH(L$6,'Restaurant Base (Hidden)'!$A$1:$Z$1,0)),"")</f>
        <v>4</v>
      </c>
      <c r="M133" s="2" t="str">
        <f>+IFERROR(INDEX('Restaurant Base (Hidden)'!$A$2:$Z$1048576,MATCH($C133,'Restaurant Base (Hidden)'!$C$2:$C$1048576,0),MATCH(M$6,'Restaurant Base (Hidden)'!$A$1:$Z$1,0)),"")</f>
        <v/>
      </c>
      <c r="N133" s="234" t="str">
        <f>+IFERROR(INDEX('Restaurant Base (Hidden)'!$A$2:$Z$1048576,MATCH($C133,'Restaurant Base (Hidden)'!$C$2:$C$1048576,0),MATCH(N$6,'Restaurant Base (Hidden)'!$A$1:$Z$1,0)),"")</f>
        <v>71,70 %</v>
      </c>
      <c r="O133" s="1">
        <f>+IFERROR(INDEX('Restaurant Base (Hidden)'!$A$2:$Z$1048576,MATCH($C133,'Restaurant Base (Hidden)'!$C$2:$C$1048576,0),MATCH(O$6,'Restaurant Base (Hidden)'!$A$1:$Z$1,0)),"")</f>
        <v>4</v>
      </c>
      <c r="P133" s="2" t="str">
        <f>+IFERROR(INDEX('Restaurant Base (Hidden)'!$A$2:$Z$1048576,MATCH($C133,'Restaurant Base (Hidden)'!$C$2:$C$1048576,0),MATCH(P$6,'Restaurant Base (Hidden)'!$A$1:$Z$1,0)),"")</f>
        <v/>
      </c>
      <c r="Q133" s="234" t="str">
        <f>+IFERROR(INDEX('Restaurant Base (Hidden)'!$A$2:$Z$1048576,MATCH($C133,'Restaurant Base (Hidden)'!$C$2:$C$1048576,0),MATCH(Q$6,'Restaurant Base (Hidden)'!$A$1:$Z$1,0)),"")</f>
        <v>65,40 %</v>
      </c>
      <c r="R133" s="1">
        <f>+IFERROR(INDEX('Restaurant Base (Hidden)'!$A$2:$Z$1048576,MATCH($C133,'Restaurant Base (Hidden)'!$C$2:$C$1048576,0),MATCH(R$6,'Restaurant Base (Hidden)'!$A$1:$Z$1,0)),"")</f>
        <v>3</v>
      </c>
      <c r="S133" s="2" t="str">
        <f>+IFERROR(INDEX('Restaurant Base (Hidden)'!$A$2:$Z$1048576,MATCH($C133,'Restaurant Base (Hidden)'!$C$2:$C$1048576,0),MATCH(S$6,'Restaurant Base (Hidden)'!$A$1:$Z$1,0)),"")</f>
        <v/>
      </c>
      <c r="T133" s="62">
        <f>+IFERROR(INDEX('Restaurant Base (Hidden)'!$A$2:$Z$1048576,MATCH($C133,'Restaurant Base (Hidden)'!$C$2:$C$1048576,0),MATCH(T$6,'Restaurant Base (Hidden)'!$A$1:$Z$1,0)),"")</f>
        <v>71.7</v>
      </c>
      <c r="U133" s="1">
        <f>+IFERROR(INDEX('Restaurant Base (Hidden)'!$A$2:$Z$1048576,MATCH($C133,'Restaurant Base (Hidden)'!$C$2:$C$1048576,0),MATCH(U$6,'Restaurant Base (Hidden)'!$A$1:$Z$1,0)),"")</f>
        <v>5</v>
      </c>
      <c r="V133" s="2" t="str">
        <f>+IFERROR(INDEX('Restaurant Base (Hidden)'!$A$2:$Z$1048576,MATCH($C133,'Restaurant Base (Hidden)'!$C$2:$C$1048576,0),MATCH(V$6,'Restaurant Base (Hidden)'!$A$1:$Z$1,0)),"")</f>
        <v/>
      </c>
      <c r="W133" s="65" t="str">
        <f>+IFERROR(INDEX('Restaurant Base (Hidden)'!$A$2:$Z$1048576,MATCH($C133,'Restaurant Base (Hidden)'!$C$2:$C$1048576,0),MATCH(W$6,'Restaurant Base (Hidden)'!$A$1:$Z$1,0)),"")</f>
        <v>58,60 %</v>
      </c>
      <c r="X133" s="1">
        <f>+IFERROR(INDEX('Restaurant Base (Hidden)'!$A$2:$Z$1048576,MATCH($C133,'Restaurant Base (Hidden)'!$C$2:$C$1048576,0),MATCH(X$6,'Restaurant Base (Hidden)'!$A$1:$Z$1,0)),"")</f>
        <v>1</v>
      </c>
      <c r="Y133" s="65" t="str">
        <f>+IFERROR(INDEX('Restaurant Base (Hidden)'!$A$2:$Z$1048576,MATCH($C133,'Restaurant Base (Hidden)'!$C$2:$C$1048576,0),MATCH(Y$6,'Restaurant Base (Hidden)'!$A$1:$Z$1,0)),"")</f>
        <v>73,30 %</v>
      </c>
      <c r="Z133" s="106">
        <f>+IFERROR(INDEX('Restaurant Base (Hidden)'!$A$2:$Z$1048576,MATCH($C133,'Restaurant Base (Hidden)'!$C$2:$C$1048576,0),MATCH(Z$6,'Restaurant Base (Hidden)'!$A$1:$Z$1,0)),"")</f>
        <v>2</v>
      </c>
      <c r="AA133" s="65" t="str">
        <f>+IFERROR(INDEX('Restaurant Base (Hidden)'!$A$2:$Z$1048576,MATCH($C133,'Restaurant Base (Hidden)'!$C$2:$C$1048576,0),MATCH(AA$6,'Restaurant Base (Hidden)'!$A$1:$Z$1,0)),"")</f>
        <v>70,60 %</v>
      </c>
      <c r="AB133" s="1">
        <f>+IFERROR(INDEX('Restaurant Base (Hidden)'!$A$2:$Z$1048576,MATCH($C133,'Restaurant Base (Hidden)'!$C$2:$C$1048576,0),MATCH(AB$6,'Restaurant Base (Hidden)'!$A$1:$Z$1,0)),"")</f>
        <v>2</v>
      </c>
      <c r="AC133" s="20" t="str">
        <f>+IFERROR(INDEX('Restaurant Base (Hidden)'!$A$2:$Z$1048576,MATCH($C133,'Restaurant Base (Hidden)'!$C$2:$C$1048576,0),MATCH(AC$6,'Restaurant Base (Hidden)'!$A$1:$Z$1,0)),"")</f>
        <v/>
      </c>
      <c r="AD133" s="65" t="str">
        <f>+IFERROR(INDEX('Restaurant Base (Hidden)'!$A$2:$Z$1048576,MATCH($C133,'Restaurant Base (Hidden)'!$C$2:$C$1048576,0),MATCH(AD$6,'Restaurant Base (Hidden)'!$A$1:$Z$1,0)),"")</f>
        <v>96,60 %</v>
      </c>
      <c r="AE133" s="1">
        <f>+IFERROR(INDEX('Restaurant Base (Hidden)'!$A$2:$Z$1048576,MATCH($C133,'Restaurant Base (Hidden)'!$C$2:$C$1048576,0),MATCH(AE$6,'Restaurant Base (Hidden)'!$A$1:$Z$1,0)),"")</f>
        <v>5</v>
      </c>
      <c r="AF133" s="65" t="str">
        <f>+IFERROR(INDEX('Restaurant Base (Hidden)'!$A$2:$Z$1048576,MATCH($C133,'Restaurant Base (Hidden)'!$C$2:$C$1048576,0),MATCH(AF$6,'Restaurant Base (Hidden)'!$A$1:$Z$1,0)),"")</f>
        <v>59,00 %</v>
      </c>
      <c r="AG133" s="1">
        <f>+IFERROR(INDEX('Restaurant Base (Hidden)'!$A$2:$Z$1048576,MATCH($C133,'Restaurant Base (Hidden)'!$C$2:$C$1048576,0),MATCH(AG$6,'Restaurant Base (Hidden)'!$A$1:$Z$1,0)),"")</f>
        <v>1</v>
      </c>
    </row>
    <row r="134" spans="1:33" x14ac:dyDescent="0.4">
      <c r="A134" s="163" t="str">
        <f>IF('Restaurant Base (Hidden)'!A93=0,"", 'Restaurant Base (Hidden)'!A93)</f>
        <v>Drew Fairbourne</v>
      </c>
      <c r="B134" s="163" t="str">
        <f>IF('Restaurant Base (Hidden)'!B93=0,"", 'Restaurant Base (Hidden)'!B93)</f>
        <v>Maplewood Hospitality</v>
      </c>
      <c r="C134" s="163" t="str">
        <f>IF('Restaurant Base (Hidden)'!C93=0,"", 'Restaurant Base (Hidden)'!C93)</f>
        <v>Pine Crescent</v>
      </c>
      <c r="D134" s="104">
        <f t="shared" si="1"/>
        <v>126</v>
      </c>
      <c r="E134" s="105">
        <f>+IFERROR(INDEX('Restaurant Base (Hidden)'!$A$2:$Z$1048576,MATCH($C134,'Restaurant Base (Hidden)'!$C$2:$C$1048576,0),MATCH(E$6,'Restaurant Base (Hidden)'!$A$1:$Z$1,0)),"")</f>
        <v>3.23</v>
      </c>
      <c r="F134" s="2" t="str">
        <f>+IFERROR(INDEX('Restaurant Base (Hidden)'!$A$2:$Z$1048576,MATCH($C134,'Restaurant Base (Hidden)'!$C$2:$C$1048576,0),MATCH(F$6,'Restaurant Base (Hidden)'!$A$1:$Z$1,0)),"")</f>
        <v/>
      </c>
      <c r="G134" s="20" t="str">
        <f>+IFERROR(INDEX('Restaurant Base (Hidden)'!$A$2:$Z$1048576,MATCH($C134,'Restaurant Base (Hidden)'!$C$2:$C$1048576,0),MATCH(G$6,'Restaurant Base (Hidden)'!$A$1:$Z$1,0)),"")</f>
        <v>4,119</v>
      </c>
      <c r="H134" s="50">
        <f>+IFERROR(INDEX('Restaurant Base (Hidden)'!$A$2:$Z$1048576,MATCH($C134,'Restaurant Base (Hidden)'!$C$2:$C$1048576,0),MATCH(H$6,'Restaurant Base (Hidden)'!$A$1:$Z$1,0)),"")</f>
        <v>2</v>
      </c>
      <c r="I134" s="20" t="str">
        <f>+IFERROR(INDEX('Restaurant Base (Hidden)'!$A$2:$Z$1048576,MATCH($C134,'Restaurant Base (Hidden)'!$C$2:$C$1048576,0),MATCH(I$6,'Restaurant Base (Hidden)'!$A$1:$Z$1,0)),"")</f>
        <v>62,30 %</v>
      </c>
      <c r="J134" s="49">
        <f>+IFERROR(INDEX('Restaurant Base (Hidden)'!$A$2:$Z$1048576,MATCH($C134,'Restaurant Base (Hidden)'!$C$2:$C$1048576,0),MATCH(J$6,'Restaurant Base (Hidden)'!$A$1:$Z$1,0)),"")</f>
        <v>1</v>
      </c>
      <c r="K134" s="20" t="str">
        <f>+IFERROR(INDEX('Restaurant Base (Hidden)'!$A$2:$Z$1048576,MATCH($C134,'Restaurant Base (Hidden)'!$C$2:$C$1048576,0),MATCH(K$6,'Restaurant Base (Hidden)'!$A$1:$Z$1,0)),"")</f>
        <v>0,060</v>
      </c>
      <c r="L134" s="51">
        <f>+IFERROR(INDEX('Restaurant Base (Hidden)'!$A$2:$Z$1048576,MATCH($C134,'Restaurant Base (Hidden)'!$C$2:$C$1048576,0),MATCH(L$6,'Restaurant Base (Hidden)'!$A$1:$Z$1,0)),"")</f>
        <v>5</v>
      </c>
      <c r="M134" s="2" t="str">
        <f>+IFERROR(INDEX('Restaurant Base (Hidden)'!$A$2:$Z$1048576,MATCH($C134,'Restaurant Base (Hidden)'!$C$2:$C$1048576,0),MATCH(M$6,'Restaurant Base (Hidden)'!$A$1:$Z$1,0)),"")</f>
        <v/>
      </c>
      <c r="N134" s="234" t="str">
        <f>+IFERROR(INDEX('Restaurant Base (Hidden)'!$A$2:$Z$1048576,MATCH($C134,'Restaurant Base (Hidden)'!$C$2:$C$1048576,0),MATCH(N$6,'Restaurant Base (Hidden)'!$A$1:$Z$1,0)),"")</f>
        <v>79,90 %</v>
      </c>
      <c r="O134" s="1">
        <f>+IFERROR(INDEX('Restaurant Base (Hidden)'!$A$2:$Z$1048576,MATCH($C134,'Restaurant Base (Hidden)'!$C$2:$C$1048576,0),MATCH(O$6,'Restaurant Base (Hidden)'!$A$1:$Z$1,0)),"")</f>
        <v>5</v>
      </c>
      <c r="P134" s="2" t="str">
        <f>+IFERROR(INDEX('Restaurant Base (Hidden)'!$A$2:$Z$1048576,MATCH($C134,'Restaurant Base (Hidden)'!$C$2:$C$1048576,0),MATCH(P$6,'Restaurant Base (Hidden)'!$A$1:$Z$1,0)),"")</f>
        <v/>
      </c>
      <c r="Q134" s="234" t="str">
        <f>+IFERROR(INDEX('Restaurant Base (Hidden)'!$A$2:$Z$1048576,MATCH($C134,'Restaurant Base (Hidden)'!$C$2:$C$1048576,0),MATCH(Q$6,'Restaurant Base (Hidden)'!$A$1:$Z$1,0)),"")</f>
        <v>86,30 %</v>
      </c>
      <c r="R134" s="1">
        <f>+IFERROR(INDEX('Restaurant Base (Hidden)'!$A$2:$Z$1048576,MATCH($C134,'Restaurant Base (Hidden)'!$C$2:$C$1048576,0),MATCH(R$6,'Restaurant Base (Hidden)'!$A$1:$Z$1,0)),"")</f>
        <v>5</v>
      </c>
      <c r="S134" s="2" t="str">
        <f>+IFERROR(INDEX('Restaurant Base (Hidden)'!$A$2:$Z$1048576,MATCH($C134,'Restaurant Base (Hidden)'!$C$2:$C$1048576,0),MATCH(S$6,'Restaurant Base (Hidden)'!$A$1:$Z$1,0)),"")</f>
        <v/>
      </c>
      <c r="T134" s="62">
        <f>+IFERROR(INDEX('Restaurant Base (Hidden)'!$A$2:$Z$1048576,MATCH($C134,'Restaurant Base (Hidden)'!$C$2:$C$1048576,0),MATCH(T$6,'Restaurant Base (Hidden)'!$A$1:$Z$1,0)),"")</f>
        <v>65.2</v>
      </c>
      <c r="U134" s="1">
        <f>+IFERROR(INDEX('Restaurant Base (Hidden)'!$A$2:$Z$1048576,MATCH($C134,'Restaurant Base (Hidden)'!$C$2:$C$1048576,0),MATCH(U$6,'Restaurant Base (Hidden)'!$A$1:$Z$1,0)),"")</f>
        <v>4</v>
      </c>
      <c r="V134" s="2" t="str">
        <f>+IFERROR(INDEX('Restaurant Base (Hidden)'!$A$2:$Z$1048576,MATCH($C134,'Restaurant Base (Hidden)'!$C$2:$C$1048576,0),MATCH(V$6,'Restaurant Base (Hidden)'!$A$1:$Z$1,0)),"")</f>
        <v/>
      </c>
      <c r="W134" s="65" t="str">
        <f>+IFERROR(INDEX('Restaurant Base (Hidden)'!$A$2:$Z$1048576,MATCH($C134,'Restaurant Base (Hidden)'!$C$2:$C$1048576,0),MATCH(W$6,'Restaurant Base (Hidden)'!$A$1:$Z$1,0)),"")</f>
        <v>88,90 %</v>
      </c>
      <c r="X134" s="1">
        <f>+IFERROR(INDEX('Restaurant Base (Hidden)'!$A$2:$Z$1048576,MATCH($C134,'Restaurant Base (Hidden)'!$C$2:$C$1048576,0),MATCH(X$6,'Restaurant Base (Hidden)'!$A$1:$Z$1,0)),"")</f>
        <v>3</v>
      </c>
      <c r="Y134" s="65" t="str">
        <f>+IFERROR(INDEX('Restaurant Base (Hidden)'!$A$2:$Z$1048576,MATCH($C134,'Restaurant Base (Hidden)'!$C$2:$C$1048576,0),MATCH(Y$6,'Restaurant Base (Hidden)'!$A$1:$Z$1,0)),"")</f>
        <v>93,10 %</v>
      </c>
      <c r="Z134" s="106">
        <f>+IFERROR(INDEX('Restaurant Base (Hidden)'!$A$2:$Z$1048576,MATCH($C134,'Restaurant Base (Hidden)'!$C$2:$C$1048576,0),MATCH(Z$6,'Restaurant Base (Hidden)'!$A$1:$Z$1,0)),"")</f>
        <v>3</v>
      </c>
      <c r="AA134" s="65" t="str">
        <f>+IFERROR(INDEX('Restaurant Base (Hidden)'!$A$2:$Z$1048576,MATCH($C134,'Restaurant Base (Hidden)'!$C$2:$C$1048576,0),MATCH(AA$6,'Restaurant Base (Hidden)'!$A$1:$Z$1,0)),"")</f>
        <v>75,20 %</v>
      </c>
      <c r="AB134" s="1">
        <f>+IFERROR(INDEX('Restaurant Base (Hidden)'!$A$2:$Z$1048576,MATCH($C134,'Restaurant Base (Hidden)'!$C$2:$C$1048576,0),MATCH(AB$6,'Restaurant Base (Hidden)'!$A$1:$Z$1,0)),"")</f>
        <v>2</v>
      </c>
      <c r="AC134" s="20" t="str">
        <f>+IFERROR(INDEX('Restaurant Base (Hidden)'!$A$2:$Z$1048576,MATCH($C134,'Restaurant Base (Hidden)'!$C$2:$C$1048576,0),MATCH(AC$6,'Restaurant Base (Hidden)'!$A$1:$Z$1,0)),"")</f>
        <v/>
      </c>
      <c r="AD134" s="65" t="str">
        <f>+IFERROR(INDEX('Restaurant Base (Hidden)'!$A$2:$Z$1048576,MATCH($C134,'Restaurant Base (Hidden)'!$C$2:$C$1048576,0),MATCH(AD$6,'Restaurant Base (Hidden)'!$A$1:$Z$1,0)),"")</f>
        <v>61,60 %</v>
      </c>
      <c r="AE134" s="1">
        <f>+IFERROR(INDEX('Restaurant Base (Hidden)'!$A$2:$Z$1048576,MATCH($C134,'Restaurant Base (Hidden)'!$C$2:$C$1048576,0),MATCH(AE$6,'Restaurant Base (Hidden)'!$A$1:$Z$1,0)),"")</f>
        <v>1</v>
      </c>
      <c r="AF134" s="65" t="str">
        <f>+IFERROR(INDEX('Restaurant Base (Hidden)'!$A$2:$Z$1048576,MATCH($C134,'Restaurant Base (Hidden)'!$C$2:$C$1048576,0),MATCH(AF$6,'Restaurant Base (Hidden)'!$A$1:$Z$1,0)),"")</f>
        <v>87,80 %</v>
      </c>
      <c r="AG134" s="1">
        <f>+IFERROR(INDEX('Restaurant Base (Hidden)'!$A$2:$Z$1048576,MATCH($C134,'Restaurant Base (Hidden)'!$C$2:$C$1048576,0),MATCH(AG$6,'Restaurant Base (Hidden)'!$A$1:$Z$1,0)),"")</f>
        <v>3</v>
      </c>
    </row>
    <row r="135" spans="1:33" x14ac:dyDescent="0.4">
      <c r="A135" s="163" t="str">
        <f>IF('Restaurant Base (Hidden)'!A145=0,"", 'Restaurant Base (Hidden)'!A145)</f>
        <v>Sawyer Thornfield</v>
      </c>
      <c r="B135" s="163" t="str">
        <f>IF('Restaurant Base (Hidden)'!B145=0,"", 'Restaurant Base (Hidden)'!B145)</f>
        <v>Lakeshore Food Partners</v>
      </c>
      <c r="C135" s="163" t="str">
        <f>IF('Restaurant Base (Hidden)'!C145=0,"", 'Restaurant Base (Hidden)'!C145)</f>
        <v>Brook Place</v>
      </c>
      <c r="D135" s="104">
        <f t="shared" ref="D135:D198" si="2">+IFERROR(RANK(E135,$E$7:$E$3390,),"")</f>
        <v>126</v>
      </c>
      <c r="E135" s="105">
        <f>+IFERROR(INDEX('Restaurant Base (Hidden)'!$A$2:$Z$1048576,MATCH($C135,'Restaurant Base (Hidden)'!$C$2:$C$1048576,0),MATCH(E$6,'Restaurant Base (Hidden)'!$A$1:$Z$1,0)),"")</f>
        <v>3.23</v>
      </c>
      <c r="F135" s="2" t="str">
        <f>+IFERROR(INDEX('Restaurant Base (Hidden)'!$A$2:$Z$1048576,MATCH($C135,'Restaurant Base (Hidden)'!$C$2:$C$1048576,0),MATCH(F$6,'Restaurant Base (Hidden)'!$A$1:$Z$1,0)),"")</f>
        <v/>
      </c>
      <c r="G135" s="20" t="str">
        <f>+IFERROR(INDEX('Restaurant Base (Hidden)'!$A$2:$Z$1048576,MATCH($C135,'Restaurant Base (Hidden)'!$C$2:$C$1048576,0),MATCH(G$6,'Restaurant Base (Hidden)'!$A$1:$Z$1,0)),"")</f>
        <v>4,709</v>
      </c>
      <c r="H135" s="50">
        <f>+IFERROR(INDEX('Restaurant Base (Hidden)'!$A$2:$Z$1048576,MATCH($C135,'Restaurant Base (Hidden)'!$C$2:$C$1048576,0),MATCH(H$6,'Restaurant Base (Hidden)'!$A$1:$Z$1,0)),"")</f>
        <v>5</v>
      </c>
      <c r="I135" s="20" t="str">
        <f>+IFERROR(INDEX('Restaurant Base (Hidden)'!$A$2:$Z$1048576,MATCH($C135,'Restaurant Base (Hidden)'!$C$2:$C$1048576,0),MATCH(I$6,'Restaurant Base (Hidden)'!$A$1:$Z$1,0)),"")</f>
        <v>87,70 %</v>
      </c>
      <c r="J135" s="49">
        <f>+IFERROR(INDEX('Restaurant Base (Hidden)'!$A$2:$Z$1048576,MATCH($C135,'Restaurant Base (Hidden)'!$C$2:$C$1048576,0),MATCH(J$6,'Restaurant Base (Hidden)'!$A$1:$Z$1,0)),"")</f>
        <v>3</v>
      </c>
      <c r="K135" s="20" t="str">
        <f>+IFERROR(INDEX('Restaurant Base (Hidden)'!$A$2:$Z$1048576,MATCH($C135,'Restaurant Base (Hidden)'!$C$2:$C$1048576,0),MATCH(K$6,'Restaurant Base (Hidden)'!$A$1:$Z$1,0)),"")</f>
        <v>0,117</v>
      </c>
      <c r="L135" s="51">
        <f>+IFERROR(INDEX('Restaurant Base (Hidden)'!$A$2:$Z$1048576,MATCH($C135,'Restaurant Base (Hidden)'!$C$2:$C$1048576,0),MATCH(L$6,'Restaurant Base (Hidden)'!$A$1:$Z$1,0)),"")</f>
        <v>3</v>
      </c>
      <c r="M135" s="2" t="str">
        <f>+IFERROR(INDEX('Restaurant Base (Hidden)'!$A$2:$Z$1048576,MATCH($C135,'Restaurant Base (Hidden)'!$C$2:$C$1048576,0),MATCH(M$6,'Restaurant Base (Hidden)'!$A$1:$Z$1,0)),"")</f>
        <v/>
      </c>
      <c r="N135" s="234" t="str">
        <f>+IFERROR(INDEX('Restaurant Base (Hidden)'!$A$2:$Z$1048576,MATCH($C135,'Restaurant Base (Hidden)'!$C$2:$C$1048576,0),MATCH(N$6,'Restaurant Base (Hidden)'!$A$1:$Z$1,0)),"")</f>
        <v>96,00 %</v>
      </c>
      <c r="O135" s="1">
        <f>+IFERROR(INDEX('Restaurant Base (Hidden)'!$A$2:$Z$1048576,MATCH($C135,'Restaurant Base (Hidden)'!$C$2:$C$1048576,0),MATCH(O$6,'Restaurant Base (Hidden)'!$A$1:$Z$1,0)),"")</f>
        <v>5</v>
      </c>
      <c r="P135" s="2" t="str">
        <f>+IFERROR(INDEX('Restaurant Base (Hidden)'!$A$2:$Z$1048576,MATCH($C135,'Restaurant Base (Hidden)'!$C$2:$C$1048576,0),MATCH(P$6,'Restaurant Base (Hidden)'!$A$1:$Z$1,0)),"")</f>
        <v/>
      </c>
      <c r="Q135" s="234" t="str">
        <f>+IFERROR(INDEX('Restaurant Base (Hidden)'!$A$2:$Z$1048576,MATCH($C135,'Restaurant Base (Hidden)'!$C$2:$C$1048576,0),MATCH(Q$6,'Restaurant Base (Hidden)'!$A$1:$Z$1,0)),"")</f>
        <v>83,30 %</v>
      </c>
      <c r="R135" s="1">
        <f>+IFERROR(INDEX('Restaurant Base (Hidden)'!$A$2:$Z$1048576,MATCH($C135,'Restaurant Base (Hidden)'!$C$2:$C$1048576,0),MATCH(R$6,'Restaurant Base (Hidden)'!$A$1:$Z$1,0)),"")</f>
        <v>5</v>
      </c>
      <c r="S135" s="2" t="str">
        <f>+IFERROR(INDEX('Restaurant Base (Hidden)'!$A$2:$Z$1048576,MATCH($C135,'Restaurant Base (Hidden)'!$C$2:$C$1048576,0),MATCH(S$6,'Restaurant Base (Hidden)'!$A$1:$Z$1,0)),"")</f>
        <v/>
      </c>
      <c r="T135" s="62">
        <f>+IFERROR(INDEX('Restaurant Base (Hidden)'!$A$2:$Z$1048576,MATCH($C135,'Restaurant Base (Hidden)'!$C$2:$C$1048576,0),MATCH(T$6,'Restaurant Base (Hidden)'!$A$1:$Z$1,0)),"")</f>
        <v>66.2</v>
      </c>
      <c r="U135" s="1">
        <f>+IFERROR(INDEX('Restaurant Base (Hidden)'!$A$2:$Z$1048576,MATCH($C135,'Restaurant Base (Hidden)'!$C$2:$C$1048576,0),MATCH(U$6,'Restaurant Base (Hidden)'!$A$1:$Z$1,0)),"")</f>
        <v>4</v>
      </c>
      <c r="V135" s="2" t="str">
        <f>+IFERROR(INDEX('Restaurant Base (Hidden)'!$A$2:$Z$1048576,MATCH($C135,'Restaurant Base (Hidden)'!$C$2:$C$1048576,0),MATCH(V$6,'Restaurant Base (Hidden)'!$A$1:$Z$1,0)),"")</f>
        <v/>
      </c>
      <c r="W135" s="65" t="str">
        <f>+IFERROR(INDEX('Restaurant Base (Hidden)'!$A$2:$Z$1048576,MATCH($C135,'Restaurant Base (Hidden)'!$C$2:$C$1048576,0),MATCH(W$6,'Restaurant Base (Hidden)'!$A$1:$Z$1,0)),"")</f>
        <v>65,60 %</v>
      </c>
      <c r="X135" s="1">
        <f>+IFERROR(INDEX('Restaurant Base (Hidden)'!$A$2:$Z$1048576,MATCH($C135,'Restaurant Base (Hidden)'!$C$2:$C$1048576,0),MATCH(X$6,'Restaurant Base (Hidden)'!$A$1:$Z$1,0)),"")</f>
        <v>2</v>
      </c>
      <c r="Y135" s="65" t="str">
        <f>+IFERROR(INDEX('Restaurant Base (Hidden)'!$A$2:$Z$1048576,MATCH($C135,'Restaurant Base (Hidden)'!$C$2:$C$1048576,0),MATCH(Y$6,'Restaurant Base (Hidden)'!$A$1:$Z$1,0)),"")</f>
        <v>60,30 %</v>
      </c>
      <c r="Z135" s="106">
        <f>+IFERROR(INDEX('Restaurant Base (Hidden)'!$A$2:$Z$1048576,MATCH($C135,'Restaurant Base (Hidden)'!$C$2:$C$1048576,0),MATCH(Z$6,'Restaurant Base (Hidden)'!$A$1:$Z$1,0)),"")</f>
        <v>2</v>
      </c>
      <c r="AA135" s="65" t="str">
        <f>+IFERROR(INDEX('Restaurant Base (Hidden)'!$A$2:$Z$1048576,MATCH($C135,'Restaurant Base (Hidden)'!$C$2:$C$1048576,0),MATCH(AA$6,'Restaurant Base (Hidden)'!$A$1:$Z$1,0)),"")</f>
        <v>55,90 %</v>
      </c>
      <c r="AB135" s="1">
        <f>+IFERROR(INDEX('Restaurant Base (Hidden)'!$A$2:$Z$1048576,MATCH($C135,'Restaurant Base (Hidden)'!$C$2:$C$1048576,0),MATCH(AB$6,'Restaurant Base (Hidden)'!$A$1:$Z$1,0)),"")</f>
        <v>1</v>
      </c>
      <c r="AC135" s="20" t="str">
        <f>+IFERROR(INDEX('Restaurant Base (Hidden)'!$A$2:$Z$1048576,MATCH($C135,'Restaurant Base (Hidden)'!$C$2:$C$1048576,0),MATCH(AC$6,'Restaurant Base (Hidden)'!$A$1:$Z$1,0)),"")</f>
        <v/>
      </c>
      <c r="AD135" s="65" t="str">
        <f>+IFERROR(INDEX('Restaurant Base (Hidden)'!$A$2:$Z$1048576,MATCH($C135,'Restaurant Base (Hidden)'!$C$2:$C$1048576,0),MATCH(AD$6,'Restaurant Base (Hidden)'!$A$1:$Z$1,0)),"")</f>
        <v>61,30 %</v>
      </c>
      <c r="AE135" s="1">
        <f>+IFERROR(INDEX('Restaurant Base (Hidden)'!$A$2:$Z$1048576,MATCH($C135,'Restaurant Base (Hidden)'!$C$2:$C$1048576,0),MATCH(AE$6,'Restaurant Base (Hidden)'!$A$1:$Z$1,0)),"")</f>
        <v>1</v>
      </c>
      <c r="AF135" s="65" t="str">
        <f>+IFERROR(INDEX('Restaurant Base (Hidden)'!$A$2:$Z$1048576,MATCH($C135,'Restaurant Base (Hidden)'!$C$2:$C$1048576,0),MATCH(AF$6,'Restaurant Base (Hidden)'!$A$1:$Z$1,0)),"")</f>
        <v>65,80 %</v>
      </c>
      <c r="AG135" s="1">
        <f>+IFERROR(INDEX('Restaurant Base (Hidden)'!$A$2:$Z$1048576,MATCH($C135,'Restaurant Base (Hidden)'!$C$2:$C$1048576,0),MATCH(AG$6,'Restaurant Base (Hidden)'!$A$1:$Z$1,0)),"")</f>
        <v>1</v>
      </c>
    </row>
    <row r="136" spans="1:33" x14ac:dyDescent="0.4">
      <c r="A136" s="163" t="str">
        <f>IF('Restaurant Base (Hidden)'!A262=0,"", 'Restaurant Base (Hidden)'!A262)</f>
        <v>Tatum Westmere</v>
      </c>
      <c r="B136" s="163" t="str">
        <f>IF('Restaurant Base (Hidden)'!B262=0,"", 'Restaurant Base (Hidden)'!B262)</f>
        <v>Eastmere Foods</v>
      </c>
      <c r="C136" s="163" t="str">
        <f>IF('Restaurant Base (Hidden)'!C262=0,"", 'Restaurant Base (Hidden)'!C262)</f>
        <v>Liberty Heights</v>
      </c>
      <c r="D136" s="104">
        <f t="shared" si="2"/>
        <v>126</v>
      </c>
      <c r="E136" s="105">
        <f>+IFERROR(INDEX('Restaurant Base (Hidden)'!$A$2:$Z$1048576,MATCH($C136,'Restaurant Base (Hidden)'!$C$2:$C$1048576,0),MATCH(E$6,'Restaurant Base (Hidden)'!$A$1:$Z$1,0)),"")</f>
        <v>3.23</v>
      </c>
      <c r="F136" s="2" t="str">
        <f>+IFERROR(INDEX('Restaurant Base (Hidden)'!$A$2:$Z$1048576,MATCH($C136,'Restaurant Base (Hidden)'!$C$2:$C$1048576,0),MATCH(F$6,'Restaurant Base (Hidden)'!$A$1:$Z$1,0)),"")</f>
        <v/>
      </c>
      <c r="G136" s="20" t="str">
        <f>+IFERROR(INDEX('Restaurant Base (Hidden)'!$A$2:$Z$1048576,MATCH($C136,'Restaurant Base (Hidden)'!$C$2:$C$1048576,0),MATCH(G$6,'Restaurant Base (Hidden)'!$A$1:$Z$1,0)),"")</f>
        <v>4,532</v>
      </c>
      <c r="H136" s="50">
        <f>+IFERROR(INDEX('Restaurant Base (Hidden)'!$A$2:$Z$1048576,MATCH($C136,'Restaurant Base (Hidden)'!$C$2:$C$1048576,0),MATCH(H$6,'Restaurant Base (Hidden)'!$A$1:$Z$1,0)),"")</f>
        <v>5</v>
      </c>
      <c r="I136" s="20" t="str">
        <f>+IFERROR(INDEX('Restaurant Base (Hidden)'!$A$2:$Z$1048576,MATCH($C136,'Restaurant Base (Hidden)'!$C$2:$C$1048576,0),MATCH(I$6,'Restaurant Base (Hidden)'!$A$1:$Z$1,0)),"")</f>
        <v>58,30 %</v>
      </c>
      <c r="J136" s="49">
        <f>+IFERROR(INDEX('Restaurant Base (Hidden)'!$A$2:$Z$1048576,MATCH($C136,'Restaurant Base (Hidden)'!$C$2:$C$1048576,0),MATCH(J$6,'Restaurant Base (Hidden)'!$A$1:$Z$1,0)),"")</f>
        <v>1</v>
      </c>
      <c r="K136" s="20" t="str">
        <f>+IFERROR(INDEX('Restaurant Base (Hidden)'!$A$2:$Z$1048576,MATCH($C136,'Restaurant Base (Hidden)'!$C$2:$C$1048576,0),MATCH(K$6,'Restaurant Base (Hidden)'!$A$1:$Z$1,0)),"")</f>
        <v>0,088</v>
      </c>
      <c r="L136" s="51">
        <f>+IFERROR(INDEX('Restaurant Base (Hidden)'!$A$2:$Z$1048576,MATCH($C136,'Restaurant Base (Hidden)'!$C$2:$C$1048576,0),MATCH(L$6,'Restaurant Base (Hidden)'!$A$1:$Z$1,0)),"")</f>
        <v>4</v>
      </c>
      <c r="M136" s="2" t="str">
        <f>+IFERROR(INDEX('Restaurant Base (Hidden)'!$A$2:$Z$1048576,MATCH($C136,'Restaurant Base (Hidden)'!$C$2:$C$1048576,0),MATCH(M$6,'Restaurant Base (Hidden)'!$A$1:$Z$1,0)),"")</f>
        <v/>
      </c>
      <c r="N136" s="234" t="str">
        <f>+IFERROR(INDEX('Restaurant Base (Hidden)'!$A$2:$Z$1048576,MATCH($C136,'Restaurant Base (Hidden)'!$C$2:$C$1048576,0),MATCH(N$6,'Restaurant Base (Hidden)'!$A$1:$Z$1,0)),"")</f>
        <v>97,90 %</v>
      </c>
      <c r="O136" s="1">
        <f>+IFERROR(INDEX('Restaurant Base (Hidden)'!$A$2:$Z$1048576,MATCH($C136,'Restaurant Base (Hidden)'!$C$2:$C$1048576,0),MATCH(O$6,'Restaurant Base (Hidden)'!$A$1:$Z$1,0)),"")</f>
        <v>5</v>
      </c>
      <c r="P136" s="2" t="str">
        <f>+IFERROR(INDEX('Restaurant Base (Hidden)'!$A$2:$Z$1048576,MATCH($C136,'Restaurant Base (Hidden)'!$C$2:$C$1048576,0),MATCH(P$6,'Restaurant Base (Hidden)'!$A$1:$Z$1,0)),"")</f>
        <v/>
      </c>
      <c r="Q136" s="234" t="str">
        <f>+IFERROR(INDEX('Restaurant Base (Hidden)'!$A$2:$Z$1048576,MATCH($C136,'Restaurant Base (Hidden)'!$C$2:$C$1048576,0),MATCH(Q$6,'Restaurant Base (Hidden)'!$A$1:$Z$1,0)),"")</f>
        <v>69,10 %</v>
      </c>
      <c r="R136" s="1">
        <f>+IFERROR(INDEX('Restaurant Base (Hidden)'!$A$2:$Z$1048576,MATCH($C136,'Restaurant Base (Hidden)'!$C$2:$C$1048576,0),MATCH(R$6,'Restaurant Base (Hidden)'!$A$1:$Z$1,0)),"")</f>
        <v>4</v>
      </c>
      <c r="S136" s="2" t="str">
        <f>+IFERROR(INDEX('Restaurant Base (Hidden)'!$A$2:$Z$1048576,MATCH($C136,'Restaurant Base (Hidden)'!$C$2:$C$1048576,0),MATCH(S$6,'Restaurant Base (Hidden)'!$A$1:$Z$1,0)),"")</f>
        <v/>
      </c>
      <c r="T136" s="62">
        <f>+IFERROR(INDEX('Restaurant Base (Hidden)'!$A$2:$Z$1048576,MATCH($C136,'Restaurant Base (Hidden)'!$C$2:$C$1048576,0),MATCH(T$6,'Restaurant Base (Hidden)'!$A$1:$Z$1,0)),"")</f>
        <v>58.3</v>
      </c>
      <c r="U136" s="1">
        <f>+IFERROR(INDEX('Restaurant Base (Hidden)'!$A$2:$Z$1048576,MATCH($C136,'Restaurant Base (Hidden)'!$C$2:$C$1048576,0),MATCH(U$6,'Restaurant Base (Hidden)'!$A$1:$Z$1,0)),"")</f>
        <v>2</v>
      </c>
      <c r="V136" s="2" t="str">
        <f>+IFERROR(INDEX('Restaurant Base (Hidden)'!$A$2:$Z$1048576,MATCH($C136,'Restaurant Base (Hidden)'!$C$2:$C$1048576,0),MATCH(V$6,'Restaurant Base (Hidden)'!$A$1:$Z$1,0)),"")</f>
        <v/>
      </c>
      <c r="W136" s="65" t="str">
        <f>+IFERROR(INDEX('Restaurant Base (Hidden)'!$A$2:$Z$1048576,MATCH($C136,'Restaurant Base (Hidden)'!$C$2:$C$1048576,0),MATCH(W$6,'Restaurant Base (Hidden)'!$A$1:$Z$1,0)),"")</f>
        <v>83,90 %</v>
      </c>
      <c r="X136" s="1">
        <f>+IFERROR(INDEX('Restaurant Base (Hidden)'!$A$2:$Z$1048576,MATCH($C136,'Restaurant Base (Hidden)'!$C$2:$C$1048576,0),MATCH(X$6,'Restaurant Base (Hidden)'!$A$1:$Z$1,0)),"")</f>
        <v>3</v>
      </c>
      <c r="Y136" s="65" t="str">
        <f>+IFERROR(INDEX('Restaurant Base (Hidden)'!$A$2:$Z$1048576,MATCH($C136,'Restaurant Base (Hidden)'!$C$2:$C$1048576,0),MATCH(Y$6,'Restaurant Base (Hidden)'!$A$1:$Z$1,0)),"")</f>
        <v>67,40 %</v>
      </c>
      <c r="Z136" s="106">
        <f>+IFERROR(INDEX('Restaurant Base (Hidden)'!$A$2:$Z$1048576,MATCH($C136,'Restaurant Base (Hidden)'!$C$2:$C$1048576,0),MATCH(Z$6,'Restaurant Base (Hidden)'!$A$1:$Z$1,0)),"")</f>
        <v>2</v>
      </c>
      <c r="AA136" s="65" t="str">
        <f>+IFERROR(INDEX('Restaurant Base (Hidden)'!$A$2:$Z$1048576,MATCH($C136,'Restaurant Base (Hidden)'!$C$2:$C$1048576,0),MATCH(AA$6,'Restaurant Base (Hidden)'!$A$1:$Z$1,0)),"")</f>
        <v>55,00 %</v>
      </c>
      <c r="AB136" s="1">
        <f>+IFERROR(INDEX('Restaurant Base (Hidden)'!$A$2:$Z$1048576,MATCH($C136,'Restaurant Base (Hidden)'!$C$2:$C$1048576,0),MATCH(AB$6,'Restaurant Base (Hidden)'!$A$1:$Z$1,0)),"")</f>
        <v>1</v>
      </c>
      <c r="AC136" s="20" t="str">
        <f>+IFERROR(INDEX('Restaurant Base (Hidden)'!$A$2:$Z$1048576,MATCH($C136,'Restaurant Base (Hidden)'!$C$2:$C$1048576,0),MATCH(AC$6,'Restaurant Base (Hidden)'!$A$1:$Z$1,0)),"")</f>
        <v/>
      </c>
      <c r="AD136" s="65" t="str">
        <f>+IFERROR(INDEX('Restaurant Base (Hidden)'!$A$2:$Z$1048576,MATCH($C136,'Restaurant Base (Hidden)'!$C$2:$C$1048576,0),MATCH(AD$6,'Restaurant Base (Hidden)'!$A$1:$Z$1,0)),"")</f>
        <v>77,10 %</v>
      </c>
      <c r="AE136" s="1">
        <f>+IFERROR(INDEX('Restaurant Base (Hidden)'!$A$2:$Z$1048576,MATCH($C136,'Restaurant Base (Hidden)'!$C$2:$C$1048576,0),MATCH(AE$6,'Restaurant Base (Hidden)'!$A$1:$Z$1,0)),"")</f>
        <v>2</v>
      </c>
      <c r="AF136" s="65" t="str">
        <f>+IFERROR(INDEX('Restaurant Base (Hidden)'!$A$2:$Z$1048576,MATCH($C136,'Restaurant Base (Hidden)'!$C$2:$C$1048576,0),MATCH(AF$6,'Restaurant Base (Hidden)'!$A$1:$Z$1,0)),"")</f>
        <v>99,40 %</v>
      </c>
      <c r="AG136" s="1">
        <f>+IFERROR(INDEX('Restaurant Base (Hidden)'!$A$2:$Z$1048576,MATCH($C136,'Restaurant Base (Hidden)'!$C$2:$C$1048576,0),MATCH(AG$6,'Restaurant Base (Hidden)'!$A$1:$Z$1,0)),"")</f>
        <v>5</v>
      </c>
    </row>
    <row r="137" spans="1:33" x14ac:dyDescent="0.4">
      <c r="A137" s="163" t="str">
        <f>IF('Restaurant Base (Hidden)'!A50=0,"", 'Restaurant Base (Hidden)'!A50)</f>
        <v>Skyler Everhart</v>
      </c>
      <c r="B137" s="163" t="str">
        <f>IF('Restaurant Base (Hidden)'!B50=0,"", 'Restaurant Base (Hidden)'!B50)</f>
        <v>Evercrest Restaurants</v>
      </c>
      <c r="C137" s="163" t="str">
        <f>IF('Restaurant Base (Hidden)'!C50=0,"", 'Restaurant Base (Hidden)'!C50)</f>
        <v>Autumn House</v>
      </c>
      <c r="D137" s="104">
        <f t="shared" si="2"/>
        <v>131</v>
      </c>
      <c r="E137" s="105">
        <f>+IFERROR(INDEX('Restaurant Base (Hidden)'!$A$2:$Z$1048576,MATCH($C137,'Restaurant Base (Hidden)'!$C$2:$C$1048576,0),MATCH(E$6,'Restaurant Base (Hidden)'!$A$1:$Z$1,0)),"")</f>
        <v>3.22</v>
      </c>
      <c r="F137" s="64" t="str">
        <f>+IFERROR(INDEX('Restaurant Base (Hidden)'!$A$2:$Z$1048576,MATCH($C137,'Restaurant Base (Hidden)'!$C$2:$C$1048576,0),MATCH(F$6,'Restaurant Base (Hidden)'!$A$1:$Z$1,0)),"")</f>
        <v/>
      </c>
      <c r="G137" s="20" t="str">
        <f>+IFERROR(INDEX('Restaurant Base (Hidden)'!$A$2:$Z$1048576,MATCH($C137,'Restaurant Base (Hidden)'!$C$2:$C$1048576,0),MATCH(G$6,'Restaurant Base (Hidden)'!$A$1:$Z$1,0)),"")</f>
        <v>4,490</v>
      </c>
      <c r="H137" s="50">
        <f>+IFERROR(INDEX('Restaurant Base (Hidden)'!$A$2:$Z$1048576,MATCH($C137,'Restaurant Base (Hidden)'!$C$2:$C$1048576,0),MATCH(H$6,'Restaurant Base (Hidden)'!$A$1:$Z$1,0)),"")</f>
        <v>4</v>
      </c>
      <c r="I137" s="20" t="str">
        <f>+IFERROR(INDEX('Restaurant Base (Hidden)'!$A$2:$Z$1048576,MATCH($C137,'Restaurant Base (Hidden)'!$C$2:$C$1048576,0),MATCH(I$6,'Restaurant Base (Hidden)'!$A$1:$Z$1,0)),"")</f>
        <v>93,70 %</v>
      </c>
      <c r="J137" s="49">
        <f>+IFERROR(INDEX('Restaurant Base (Hidden)'!$A$2:$Z$1048576,MATCH($C137,'Restaurant Base (Hidden)'!$C$2:$C$1048576,0),MATCH(J$6,'Restaurant Base (Hidden)'!$A$1:$Z$1,0)),"")</f>
        <v>4</v>
      </c>
      <c r="K137" s="20" t="str">
        <f>+IFERROR(INDEX('Restaurant Base (Hidden)'!$A$2:$Z$1048576,MATCH($C137,'Restaurant Base (Hidden)'!$C$2:$C$1048576,0),MATCH(K$6,'Restaurant Base (Hidden)'!$A$1:$Z$1,0)),"")</f>
        <v>0,155</v>
      </c>
      <c r="L137" s="51">
        <f>+IFERROR(INDEX('Restaurant Base (Hidden)'!$A$2:$Z$1048576,MATCH($C137,'Restaurant Base (Hidden)'!$C$2:$C$1048576,0),MATCH(L$6,'Restaurant Base (Hidden)'!$A$1:$Z$1,0)),"")</f>
        <v>2</v>
      </c>
      <c r="M137" s="2" t="str">
        <f>+IFERROR(INDEX('Restaurant Base (Hidden)'!$A$2:$Z$1048576,MATCH($C137,'Restaurant Base (Hidden)'!$C$2:$C$1048576,0),MATCH(M$6,'Restaurant Base (Hidden)'!$A$1:$Z$1,0)),"")</f>
        <v/>
      </c>
      <c r="N137" s="234" t="str">
        <f>+IFERROR(INDEX('Restaurant Base (Hidden)'!$A$2:$Z$1048576,MATCH($C137,'Restaurant Base (Hidden)'!$C$2:$C$1048576,0),MATCH(N$6,'Restaurant Base (Hidden)'!$A$1:$Z$1,0)),"")</f>
        <v>68,30 %</v>
      </c>
      <c r="O137" s="1">
        <f>+IFERROR(INDEX('Restaurant Base (Hidden)'!$A$2:$Z$1048576,MATCH($C137,'Restaurant Base (Hidden)'!$C$2:$C$1048576,0),MATCH(O$6,'Restaurant Base (Hidden)'!$A$1:$Z$1,0)),"")</f>
        <v>4</v>
      </c>
      <c r="P137" s="2" t="str">
        <f>+IFERROR(INDEX('Restaurant Base (Hidden)'!$A$2:$Z$1048576,MATCH($C137,'Restaurant Base (Hidden)'!$C$2:$C$1048576,0),MATCH(P$6,'Restaurant Base (Hidden)'!$A$1:$Z$1,0)),"")</f>
        <v/>
      </c>
      <c r="Q137" s="234" t="str">
        <f>+IFERROR(INDEX('Restaurant Base (Hidden)'!$A$2:$Z$1048576,MATCH($C137,'Restaurant Base (Hidden)'!$C$2:$C$1048576,0),MATCH(Q$6,'Restaurant Base (Hidden)'!$A$1:$Z$1,0)),"")</f>
        <v>91,40 %</v>
      </c>
      <c r="R137" s="1">
        <f>+IFERROR(INDEX('Restaurant Base (Hidden)'!$A$2:$Z$1048576,MATCH($C137,'Restaurant Base (Hidden)'!$C$2:$C$1048576,0),MATCH(R$6,'Restaurant Base (Hidden)'!$A$1:$Z$1,0)),"")</f>
        <v>5</v>
      </c>
      <c r="S137" s="2" t="str">
        <f>+IFERROR(INDEX('Restaurant Base (Hidden)'!$A$2:$Z$1048576,MATCH($C137,'Restaurant Base (Hidden)'!$C$2:$C$1048576,0),MATCH(S$6,'Restaurant Base (Hidden)'!$A$1:$Z$1,0)),"")</f>
        <v/>
      </c>
      <c r="T137" s="62">
        <f>+IFERROR(INDEX('Restaurant Base (Hidden)'!$A$2:$Z$1048576,MATCH($C137,'Restaurant Base (Hidden)'!$C$2:$C$1048576,0),MATCH(T$6,'Restaurant Base (Hidden)'!$A$1:$Z$1,0)),"")</f>
        <v>52.9</v>
      </c>
      <c r="U137" s="1">
        <f>+IFERROR(INDEX('Restaurant Base (Hidden)'!$A$2:$Z$1048576,MATCH($C137,'Restaurant Base (Hidden)'!$C$2:$C$1048576,0),MATCH(U$6,'Restaurant Base (Hidden)'!$A$1:$Z$1,0)),"")</f>
        <v>1</v>
      </c>
      <c r="V137" s="2" t="str">
        <f>+IFERROR(INDEX('Restaurant Base (Hidden)'!$A$2:$Z$1048576,MATCH($C137,'Restaurant Base (Hidden)'!$C$2:$C$1048576,0),MATCH(V$6,'Restaurant Base (Hidden)'!$A$1:$Z$1,0)),"")</f>
        <v/>
      </c>
      <c r="W137" s="65" t="str">
        <f>+IFERROR(INDEX('Restaurant Base (Hidden)'!$A$2:$Z$1048576,MATCH($C137,'Restaurant Base (Hidden)'!$C$2:$C$1048576,0),MATCH(W$6,'Restaurant Base (Hidden)'!$A$1:$Z$1,0)),"")</f>
        <v>59,70 %</v>
      </c>
      <c r="X137" s="1">
        <f>+IFERROR(INDEX('Restaurant Base (Hidden)'!$A$2:$Z$1048576,MATCH($C137,'Restaurant Base (Hidden)'!$C$2:$C$1048576,0),MATCH(X$6,'Restaurant Base (Hidden)'!$A$1:$Z$1,0)),"")</f>
        <v>1</v>
      </c>
      <c r="Y137" s="65" t="str">
        <f>+IFERROR(INDEX('Restaurant Base (Hidden)'!$A$2:$Z$1048576,MATCH($C137,'Restaurant Base (Hidden)'!$C$2:$C$1048576,0),MATCH(Y$6,'Restaurant Base (Hidden)'!$A$1:$Z$1,0)),"")</f>
        <v>83,60 %</v>
      </c>
      <c r="Z137" s="106">
        <f>+IFERROR(INDEX('Restaurant Base (Hidden)'!$A$2:$Z$1048576,MATCH($C137,'Restaurant Base (Hidden)'!$C$2:$C$1048576,0),MATCH(Z$6,'Restaurant Base (Hidden)'!$A$1:$Z$1,0)),"")</f>
        <v>3</v>
      </c>
      <c r="AA137" s="65" t="str">
        <f>+IFERROR(INDEX('Restaurant Base (Hidden)'!$A$2:$Z$1048576,MATCH($C137,'Restaurant Base (Hidden)'!$C$2:$C$1048576,0),MATCH(AA$6,'Restaurant Base (Hidden)'!$A$1:$Z$1,0)),"")</f>
        <v>87,50 %</v>
      </c>
      <c r="AB137" s="1">
        <f>+IFERROR(INDEX('Restaurant Base (Hidden)'!$A$2:$Z$1048576,MATCH($C137,'Restaurant Base (Hidden)'!$C$2:$C$1048576,0),MATCH(AB$6,'Restaurant Base (Hidden)'!$A$1:$Z$1,0)),"")</f>
        <v>3</v>
      </c>
      <c r="AC137" s="20" t="str">
        <f>+IFERROR(INDEX('Restaurant Base (Hidden)'!$A$2:$Z$1048576,MATCH($C137,'Restaurant Base (Hidden)'!$C$2:$C$1048576,0),MATCH(AC$6,'Restaurant Base (Hidden)'!$A$1:$Z$1,0)),"")</f>
        <v/>
      </c>
      <c r="AD137" s="65" t="str">
        <f>+IFERROR(INDEX('Restaurant Base (Hidden)'!$A$2:$Z$1048576,MATCH($C137,'Restaurant Base (Hidden)'!$C$2:$C$1048576,0),MATCH(AD$6,'Restaurant Base (Hidden)'!$A$1:$Z$1,0)),"")</f>
        <v>97,10 %</v>
      </c>
      <c r="AE137" s="1">
        <f>+IFERROR(INDEX('Restaurant Base (Hidden)'!$A$2:$Z$1048576,MATCH($C137,'Restaurant Base (Hidden)'!$C$2:$C$1048576,0),MATCH(AE$6,'Restaurant Base (Hidden)'!$A$1:$Z$1,0)),"")</f>
        <v>5</v>
      </c>
      <c r="AF137" s="65" t="str">
        <f>+IFERROR(INDEX('Restaurant Base (Hidden)'!$A$2:$Z$1048576,MATCH($C137,'Restaurant Base (Hidden)'!$C$2:$C$1048576,0),MATCH(AF$6,'Restaurant Base (Hidden)'!$A$1:$Z$1,0)),"")</f>
        <v>58,40 %</v>
      </c>
      <c r="AG137" s="1">
        <f>+IFERROR(INDEX('Restaurant Base (Hidden)'!$A$2:$Z$1048576,MATCH($C137,'Restaurant Base (Hidden)'!$C$2:$C$1048576,0),MATCH(AG$6,'Restaurant Base (Hidden)'!$A$1:$Z$1,0)),"")</f>
        <v>1</v>
      </c>
    </row>
    <row r="138" spans="1:33" x14ac:dyDescent="0.4">
      <c r="A138" s="163" t="str">
        <f>IF('Restaurant Base (Hidden)'!A124=0,"", 'Restaurant Base (Hidden)'!A124)</f>
        <v>Finley Kensington</v>
      </c>
      <c r="B138" s="163" t="str">
        <f>IF('Restaurant Base (Hidden)'!B124=0,"", 'Restaurant Base (Hidden)'!B124)</f>
        <v>Silverline Hospitality</v>
      </c>
      <c r="C138" s="163" t="str">
        <f>IF('Restaurant Base (Hidden)'!C124=0,"", 'Restaurant Base (Hidden)'!C124)</f>
        <v>Haven Commons</v>
      </c>
      <c r="D138" s="104">
        <f t="shared" si="2"/>
        <v>131</v>
      </c>
      <c r="E138" s="105">
        <f>+IFERROR(INDEX('Restaurant Base (Hidden)'!$A$2:$Z$1048576,MATCH($C138,'Restaurant Base (Hidden)'!$C$2:$C$1048576,0),MATCH(E$6,'Restaurant Base (Hidden)'!$A$1:$Z$1,0)),"")</f>
        <v>3.22</v>
      </c>
      <c r="F138" s="2" t="str">
        <f>+IFERROR(INDEX('Restaurant Base (Hidden)'!$A$2:$Z$1048576,MATCH($C138,'Restaurant Base (Hidden)'!$C$2:$C$1048576,0),MATCH(F$6,'Restaurant Base (Hidden)'!$A$1:$Z$1,0)),"")</f>
        <v/>
      </c>
      <c r="G138" s="20" t="str">
        <f>+IFERROR(INDEX('Restaurant Base (Hidden)'!$A$2:$Z$1048576,MATCH($C138,'Restaurant Base (Hidden)'!$C$2:$C$1048576,0),MATCH(G$6,'Restaurant Base (Hidden)'!$A$1:$Z$1,0)),"")</f>
        <v>4,416</v>
      </c>
      <c r="H138" s="50">
        <f>+IFERROR(INDEX('Restaurant Base (Hidden)'!$A$2:$Z$1048576,MATCH($C138,'Restaurant Base (Hidden)'!$C$2:$C$1048576,0),MATCH(H$6,'Restaurant Base (Hidden)'!$A$1:$Z$1,0)),"")</f>
        <v>4</v>
      </c>
      <c r="I138" s="20" t="str">
        <f>+IFERROR(INDEX('Restaurant Base (Hidden)'!$A$2:$Z$1048576,MATCH($C138,'Restaurant Base (Hidden)'!$C$2:$C$1048576,0),MATCH(I$6,'Restaurant Base (Hidden)'!$A$1:$Z$1,0)),"")</f>
        <v>61,20 %</v>
      </c>
      <c r="J138" s="49">
        <f>+IFERROR(INDEX('Restaurant Base (Hidden)'!$A$2:$Z$1048576,MATCH($C138,'Restaurant Base (Hidden)'!$C$2:$C$1048576,0),MATCH(J$6,'Restaurant Base (Hidden)'!$A$1:$Z$1,0)),"")</f>
        <v>1</v>
      </c>
      <c r="K138" s="20" t="str">
        <f>+IFERROR(INDEX('Restaurant Base (Hidden)'!$A$2:$Z$1048576,MATCH($C138,'Restaurant Base (Hidden)'!$C$2:$C$1048576,0),MATCH(K$6,'Restaurant Base (Hidden)'!$A$1:$Z$1,0)),"")</f>
        <v>0,141</v>
      </c>
      <c r="L138" s="51">
        <f>+IFERROR(INDEX('Restaurant Base (Hidden)'!$A$2:$Z$1048576,MATCH($C138,'Restaurant Base (Hidden)'!$C$2:$C$1048576,0),MATCH(L$6,'Restaurant Base (Hidden)'!$A$1:$Z$1,0)),"")</f>
        <v>2</v>
      </c>
      <c r="M138" s="2" t="str">
        <f>+IFERROR(INDEX('Restaurant Base (Hidden)'!$A$2:$Z$1048576,MATCH($C138,'Restaurant Base (Hidden)'!$C$2:$C$1048576,0),MATCH(M$6,'Restaurant Base (Hidden)'!$A$1:$Z$1,0)),"")</f>
        <v/>
      </c>
      <c r="N138" s="234" t="str">
        <f>+IFERROR(INDEX('Restaurant Base (Hidden)'!$A$2:$Z$1048576,MATCH($C138,'Restaurant Base (Hidden)'!$C$2:$C$1048576,0),MATCH(N$6,'Restaurant Base (Hidden)'!$A$1:$Z$1,0)),"")</f>
        <v>74,80 %</v>
      </c>
      <c r="O138" s="1">
        <f>+IFERROR(INDEX('Restaurant Base (Hidden)'!$A$2:$Z$1048576,MATCH($C138,'Restaurant Base (Hidden)'!$C$2:$C$1048576,0),MATCH(O$6,'Restaurant Base (Hidden)'!$A$1:$Z$1,0)),"")</f>
        <v>5</v>
      </c>
      <c r="P138" s="2" t="str">
        <f>+IFERROR(INDEX('Restaurant Base (Hidden)'!$A$2:$Z$1048576,MATCH($C138,'Restaurant Base (Hidden)'!$C$2:$C$1048576,0),MATCH(P$6,'Restaurant Base (Hidden)'!$A$1:$Z$1,0)),"")</f>
        <v/>
      </c>
      <c r="Q138" s="234" t="str">
        <f>+IFERROR(INDEX('Restaurant Base (Hidden)'!$A$2:$Z$1048576,MATCH($C138,'Restaurant Base (Hidden)'!$C$2:$C$1048576,0),MATCH(Q$6,'Restaurant Base (Hidden)'!$A$1:$Z$1,0)),"")</f>
        <v>99,10 %</v>
      </c>
      <c r="R138" s="1">
        <f>+IFERROR(INDEX('Restaurant Base (Hidden)'!$A$2:$Z$1048576,MATCH($C138,'Restaurant Base (Hidden)'!$C$2:$C$1048576,0),MATCH(R$6,'Restaurant Base (Hidden)'!$A$1:$Z$1,0)),"")</f>
        <v>5</v>
      </c>
      <c r="S138" s="2" t="str">
        <f>+IFERROR(INDEX('Restaurant Base (Hidden)'!$A$2:$Z$1048576,MATCH($C138,'Restaurant Base (Hidden)'!$C$2:$C$1048576,0),MATCH(S$6,'Restaurant Base (Hidden)'!$A$1:$Z$1,0)),"")</f>
        <v/>
      </c>
      <c r="T138" s="62">
        <f>+IFERROR(INDEX('Restaurant Base (Hidden)'!$A$2:$Z$1048576,MATCH($C138,'Restaurant Base (Hidden)'!$C$2:$C$1048576,0),MATCH(T$6,'Restaurant Base (Hidden)'!$A$1:$Z$1,0)),"")</f>
        <v>57.7</v>
      </c>
      <c r="U138" s="1">
        <f>+IFERROR(INDEX('Restaurant Base (Hidden)'!$A$2:$Z$1048576,MATCH($C138,'Restaurant Base (Hidden)'!$C$2:$C$1048576,0),MATCH(U$6,'Restaurant Base (Hidden)'!$A$1:$Z$1,0)),"")</f>
        <v>2</v>
      </c>
      <c r="V138" s="2" t="str">
        <f>+IFERROR(INDEX('Restaurant Base (Hidden)'!$A$2:$Z$1048576,MATCH($C138,'Restaurant Base (Hidden)'!$C$2:$C$1048576,0),MATCH(V$6,'Restaurant Base (Hidden)'!$A$1:$Z$1,0)),"")</f>
        <v/>
      </c>
      <c r="W138" s="65" t="str">
        <f>+IFERROR(INDEX('Restaurant Base (Hidden)'!$A$2:$Z$1048576,MATCH($C138,'Restaurant Base (Hidden)'!$C$2:$C$1048576,0),MATCH(W$6,'Restaurant Base (Hidden)'!$A$1:$Z$1,0)),"")</f>
        <v>90,00 %</v>
      </c>
      <c r="X138" s="1">
        <f>+IFERROR(INDEX('Restaurant Base (Hidden)'!$A$2:$Z$1048576,MATCH($C138,'Restaurant Base (Hidden)'!$C$2:$C$1048576,0),MATCH(X$6,'Restaurant Base (Hidden)'!$A$1:$Z$1,0)),"")</f>
        <v>3</v>
      </c>
      <c r="Y138" s="65" t="str">
        <f>+IFERROR(INDEX('Restaurant Base (Hidden)'!$A$2:$Z$1048576,MATCH($C138,'Restaurant Base (Hidden)'!$C$2:$C$1048576,0),MATCH(Y$6,'Restaurant Base (Hidden)'!$A$1:$Z$1,0)),"")</f>
        <v>95,10 %</v>
      </c>
      <c r="Z138" s="106">
        <f>+IFERROR(INDEX('Restaurant Base (Hidden)'!$A$2:$Z$1048576,MATCH($C138,'Restaurant Base (Hidden)'!$C$2:$C$1048576,0),MATCH(Z$6,'Restaurant Base (Hidden)'!$A$1:$Z$1,0)),"")</f>
        <v>4</v>
      </c>
      <c r="AA138" s="65" t="str">
        <f>+IFERROR(INDEX('Restaurant Base (Hidden)'!$A$2:$Z$1048576,MATCH($C138,'Restaurant Base (Hidden)'!$C$2:$C$1048576,0),MATCH(AA$6,'Restaurant Base (Hidden)'!$A$1:$Z$1,0)),"")</f>
        <v>61,70 %</v>
      </c>
      <c r="AB138" s="1">
        <f>+IFERROR(INDEX('Restaurant Base (Hidden)'!$A$2:$Z$1048576,MATCH($C138,'Restaurant Base (Hidden)'!$C$2:$C$1048576,0),MATCH(AB$6,'Restaurant Base (Hidden)'!$A$1:$Z$1,0)),"")</f>
        <v>2</v>
      </c>
      <c r="AC138" s="20" t="str">
        <f>+IFERROR(INDEX('Restaurant Base (Hidden)'!$A$2:$Z$1048576,MATCH($C138,'Restaurant Base (Hidden)'!$C$2:$C$1048576,0),MATCH(AC$6,'Restaurant Base (Hidden)'!$A$1:$Z$1,0)),"")</f>
        <v/>
      </c>
      <c r="AD138" s="65" t="str">
        <f>+IFERROR(INDEX('Restaurant Base (Hidden)'!$A$2:$Z$1048576,MATCH($C138,'Restaurant Base (Hidden)'!$C$2:$C$1048576,0),MATCH(AD$6,'Restaurant Base (Hidden)'!$A$1:$Z$1,0)),"")</f>
        <v>85,70 %</v>
      </c>
      <c r="AE138" s="1">
        <f>+IFERROR(INDEX('Restaurant Base (Hidden)'!$A$2:$Z$1048576,MATCH($C138,'Restaurant Base (Hidden)'!$C$2:$C$1048576,0),MATCH(AE$6,'Restaurant Base (Hidden)'!$A$1:$Z$1,0)),"")</f>
        <v>3</v>
      </c>
      <c r="AF138" s="65" t="str">
        <f>+IFERROR(INDEX('Restaurant Base (Hidden)'!$A$2:$Z$1048576,MATCH($C138,'Restaurant Base (Hidden)'!$C$2:$C$1048576,0),MATCH(AF$6,'Restaurant Base (Hidden)'!$A$1:$Z$1,0)),"")</f>
        <v>85,20 %</v>
      </c>
      <c r="AG138" s="1">
        <f>+IFERROR(INDEX('Restaurant Base (Hidden)'!$A$2:$Z$1048576,MATCH($C138,'Restaurant Base (Hidden)'!$C$2:$C$1048576,0),MATCH(AG$6,'Restaurant Base (Hidden)'!$A$1:$Z$1,0)),"")</f>
        <v>3</v>
      </c>
    </row>
    <row r="139" spans="1:33" x14ac:dyDescent="0.4">
      <c r="A139" s="163" t="str">
        <f>IF('Restaurant Base (Hidden)'!A144=0,"", 'Restaurant Base (Hidden)'!A144)</f>
        <v>Sage Rosemont</v>
      </c>
      <c r="B139" s="163" t="str">
        <f>IF('Restaurant Base (Hidden)'!B144=0,"", 'Restaurant Base (Hidden)'!B144)</f>
        <v>Brookvale Dining</v>
      </c>
      <c r="C139" s="163" t="str">
        <f>IF('Restaurant Base (Hidden)'!C144=0,"", 'Restaurant Base (Hidden)'!C144)</f>
        <v>Parkside Walk</v>
      </c>
      <c r="D139" s="104">
        <f t="shared" si="2"/>
        <v>131</v>
      </c>
      <c r="E139" s="105">
        <f>+IFERROR(INDEX('Restaurant Base (Hidden)'!$A$2:$Z$1048576,MATCH($C139,'Restaurant Base (Hidden)'!$C$2:$C$1048576,0),MATCH(E$6,'Restaurant Base (Hidden)'!$A$1:$Z$1,0)),"")</f>
        <v>3.22</v>
      </c>
      <c r="F139" s="2" t="str">
        <f>+IFERROR(INDEX('Restaurant Base (Hidden)'!$A$2:$Z$1048576,MATCH($C139,'Restaurant Base (Hidden)'!$C$2:$C$1048576,0),MATCH(F$6,'Restaurant Base (Hidden)'!$A$1:$Z$1,0)),"")</f>
        <v/>
      </c>
      <c r="G139" s="20" t="str">
        <f>+IFERROR(INDEX('Restaurant Base (Hidden)'!$A$2:$Z$1048576,MATCH($C139,'Restaurant Base (Hidden)'!$C$2:$C$1048576,0),MATCH(G$6,'Restaurant Base (Hidden)'!$A$1:$Z$1,0)),"")</f>
        <v>4,757</v>
      </c>
      <c r="H139" s="50">
        <f>+IFERROR(INDEX('Restaurant Base (Hidden)'!$A$2:$Z$1048576,MATCH($C139,'Restaurant Base (Hidden)'!$C$2:$C$1048576,0),MATCH(H$6,'Restaurant Base (Hidden)'!$A$1:$Z$1,0)),"")</f>
        <v>5</v>
      </c>
      <c r="I139" s="20" t="str">
        <f>+IFERROR(INDEX('Restaurant Base (Hidden)'!$A$2:$Z$1048576,MATCH($C139,'Restaurant Base (Hidden)'!$C$2:$C$1048576,0),MATCH(I$6,'Restaurant Base (Hidden)'!$A$1:$Z$1,0)),"")</f>
        <v>77,20 %</v>
      </c>
      <c r="J139" s="49">
        <f>+IFERROR(INDEX('Restaurant Base (Hidden)'!$A$2:$Z$1048576,MATCH($C139,'Restaurant Base (Hidden)'!$C$2:$C$1048576,0),MATCH(J$6,'Restaurant Base (Hidden)'!$A$1:$Z$1,0)),"")</f>
        <v>1</v>
      </c>
      <c r="K139" s="20" t="str">
        <f>+IFERROR(INDEX('Restaurant Base (Hidden)'!$A$2:$Z$1048576,MATCH($C139,'Restaurant Base (Hidden)'!$C$2:$C$1048576,0),MATCH(K$6,'Restaurant Base (Hidden)'!$A$1:$Z$1,0)),"")</f>
        <v>0,134</v>
      </c>
      <c r="L139" s="51">
        <f>+IFERROR(INDEX('Restaurant Base (Hidden)'!$A$2:$Z$1048576,MATCH($C139,'Restaurant Base (Hidden)'!$C$2:$C$1048576,0),MATCH(L$6,'Restaurant Base (Hidden)'!$A$1:$Z$1,0)),"")</f>
        <v>2</v>
      </c>
      <c r="M139" s="2" t="str">
        <f>+IFERROR(INDEX('Restaurant Base (Hidden)'!$A$2:$Z$1048576,MATCH($C139,'Restaurant Base (Hidden)'!$C$2:$C$1048576,0),MATCH(M$6,'Restaurant Base (Hidden)'!$A$1:$Z$1,0)),"")</f>
        <v/>
      </c>
      <c r="N139" s="234" t="str">
        <f>+IFERROR(INDEX('Restaurant Base (Hidden)'!$A$2:$Z$1048576,MATCH($C139,'Restaurant Base (Hidden)'!$C$2:$C$1048576,0),MATCH(N$6,'Restaurant Base (Hidden)'!$A$1:$Z$1,0)),"")</f>
        <v>67,90 %</v>
      </c>
      <c r="O139" s="1">
        <f>+IFERROR(INDEX('Restaurant Base (Hidden)'!$A$2:$Z$1048576,MATCH($C139,'Restaurant Base (Hidden)'!$C$2:$C$1048576,0),MATCH(O$6,'Restaurant Base (Hidden)'!$A$1:$Z$1,0)),"")</f>
        <v>3</v>
      </c>
      <c r="P139" s="2" t="str">
        <f>+IFERROR(INDEX('Restaurant Base (Hidden)'!$A$2:$Z$1048576,MATCH($C139,'Restaurant Base (Hidden)'!$C$2:$C$1048576,0),MATCH(P$6,'Restaurant Base (Hidden)'!$A$1:$Z$1,0)),"")</f>
        <v/>
      </c>
      <c r="Q139" s="234" t="str">
        <f>+IFERROR(INDEX('Restaurant Base (Hidden)'!$A$2:$Z$1048576,MATCH($C139,'Restaurant Base (Hidden)'!$C$2:$C$1048576,0),MATCH(Q$6,'Restaurant Base (Hidden)'!$A$1:$Z$1,0)),"")</f>
        <v>92,90 %</v>
      </c>
      <c r="R139" s="1">
        <f>+IFERROR(INDEX('Restaurant Base (Hidden)'!$A$2:$Z$1048576,MATCH($C139,'Restaurant Base (Hidden)'!$C$2:$C$1048576,0),MATCH(R$6,'Restaurant Base (Hidden)'!$A$1:$Z$1,0)),"")</f>
        <v>5</v>
      </c>
      <c r="S139" s="2" t="str">
        <f>+IFERROR(INDEX('Restaurant Base (Hidden)'!$A$2:$Z$1048576,MATCH($C139,'Restaurant Base (Hidden)'!$C$2:$C$1048576,0),MATCH(S$6,'Restaurant Base (Hidden)'!$A$1:$Z$1,0)),"")</f>
        <v/>
      </c>
      <c r="T139" s="62">
        <f>+IFERROR(INDEX('Restaurant Base (Hidden)'!$A$2:$Z$1048576,MATCH($C139,'Restaurant Base (Hidden)'!$C$2:$C$1048576,0),MATCH(T$6,'Restaurant Base (Hidden)'!$A$1:$Z$1,0)),"")</f>
        <v>72.2</v>
      </c>
      <c r="U139" s="1">
        <f>+IFERROR(INDEX('Restaurant Base (Hidden)'!$A$2:$Z$1048576,MATCH($C139,'Restaurant Base (Hidden)'!$C$2:$C$1048576,0),MATCH(U$6,'Restaurant Base (Hidden)'!$A$1:$Z$1,0)),"")</f>
        <v>5</v>
      </c>
      <c r="V139" s="2" t="str">
        <f>+IFERROR(INDEX('Restaurant Base (Hidden)'!$A$2:$Z$1048576,MATCH($C139,'Restaurant Base (Hidden)'!$C$2:$C$1048576,0),MATCH(V$6,'Restaurant Base (Hidden)'!$A$1:$Z$1,0)),"")</f>
        <v/>
      </c>
      <c r="W139" s="65" t="str">
        <f>+IFERROR(INDEX('Restaurant Base (Hidden)'!$A$2:$Z$1048576,MATCH($C139,'Restaurant Base (Hidden)'!$C$2:$C$1048576,0),MATCH(W$6,'Restaurant Base (Hidden)'!$A$1:$Z$1,0)),"")</f>
        <v>69,70 %</v>
      </c>
      <c r="X139" s="1">
        <f>+IFERROR(INDEX('Restaurant Base (Hidden)'!$A$2:$Z$1048576,MATCH($C139,'Restaurant Base (Hidden)'!$C$2:$C$1048576,0),MATCH(X$6,'Restaurant Base (Hidden)'!$A$1:$Z$1,0)),"")</f>
        <v>2</v>
      </c>
      <c r="Y139" s="65" t="str">
        <f>+IFERROR(INDEX('Restaurant Base (Hidden)'!$A$2:$Z$1048576,MATCH($C139,'Restaurant Base (Hidden)'!$C$2:$C$1048576,0),MATCH(Y$6,'Restaurant Base (Hidden)'!$A$1:$Z$1,0)),"")</f>
        <v>59,20 %</v>
      </c>
      <c r="Z139" s="106">
        <f>+IFERROR(INDEX('Restaurant Base (Hidden)'!$A$2:$Z$1048576,MATCH($C139,'Restaurant Base (Hidden)'!$C$2:$C$1048576,0),MATCH(Z$6,'Restaurant Base (Hidden)'!$A$1:$Z$1,0)),"")</f>
        <v>1</v>
      </c>
      <c r="AA139" s="65" t="str">
        <f>+IFERROR(INDEX('Restaurant Base (Hidden)'!$A$2:$Z$1048576,MATCH($C139,'Restaurant Base (Hidden)'!$C$2:$C$1048576,0),MATCH(AA$6,'Restaurant Base (Hidden)'!$A$1:$Z$1,0)),"")</f>
        <v>90,50 %</v>
      </c>
      <c r="AB139" s="1">
        <f>+IFERROR(INDEX('Restaurant Base (Hidden)'!$A$2:$Z$1048576,MATCH($C139,'Restaurant Base (Hidden)'!$C$2:$C$1048576,0),MATCH(AB$6,'Restaurant Base (Hidden)'!$A$1:$Z$1,0)),"")</f>
        <v>3</v>
      </c>
      <c r="AC139" s="20" t="str">
        <f>+IFERROR(INDEX('Restaurant Base (Hidden)'!$A$2:$Z$1048576,MATCH($C139,'Restaurant Base (Hidden)'!$C$2:$C$1048576,0),MATCH(AC$6,'Restaurant Base (Hidden)'!$A$1:$Z$1,0)),"")</f>
        <v/>
      </c>
      <c r="AD139" s="65" t="str">
        <f>+IFERROR(INDEX('Restaurant Base (Hidden)'!$A$2:$Z$1048576,MATCH($C139,'Restaurant Base (Hidden)'!$C$2:$C$1048576,0),MATCH(AD$6,'Restaurant Base (Hidden)'!$A$1:$Z$1,0)),"")</f>
        <v>78,90 %</v>
      </c>
      <c r="AE139" s="1">
        <f>+IFERROR(INDEX('Restaurant Base (Hidden)'!$A$2:$Z$1048576,MATCH($C139,'Restaurant Base (Hidden)'!$C$2:$C$1048576,0),MATCH(AE$6,'Restaurant Base (Hidden)'!$A$1:$Z$1,0)),"")</f>
        <v>2</v>
      </c>
      <c r="AF139" s="65" t="str">
        <f>+IFERROR(INDEX('Restaurant Base (Hidden)'!$A$2:$Z$1048576,MATCH($C139,'Restaurant Base (Hidden)'!$C$2:$C$1048576,0),MATCH(AF$6,'Restaurant Base (Hidden)'!$A$1:$Z$1,0)),"")</f>
        <v>94,10 %</v>
      </c>
      <c r="AG139" s="1">
        <f>+IFERROR(INDEX('Restaurant Base (Hidden)'!$A$2:$Z$1048576,MATCH($C139,'Restaurant Base (Hidden)'!$C$2:$C$1048576,0),MATCH(AG$6,'Restaurant Base (Hidden)'!$A$1:$Z$1,0)),"")</f>
        <v>4</v>
      </c>
    </row>
    <row r="140" spans="1:33" x14ac:dyDescent="0.4">
      <c r="A140" s="163" t="str">
        <f>IF('Restaurant Base (Hidden)'!A272=0,"", 'Restaurant Base (Hidden)'!A272)</f>
        <v>Jamie Northcott</v>
      </c>
      <c r="B140" s="163" t="str">
        <f>IF('Restaurant Base (Hidden)'!B272=0,"", 'Restaurant Base (Hidden)'!B272)</f>
        <v>Oakmont Dining Partners</v>
      </c>
      <c r="C140" s="163" t="str">
        <f>IF('Restaurant Base (Hidden)'!C272=0,"", 'Restaurant Base (Hidden)'!C272)</f>
        <v>Spring Gate</v>
      </c>
      <c r="D140" s="104">
        <f t="shared" si="2"/>
        <v>131</v>
      </c>
      <c r="E140" s="105">
        <f>+IFERROR(INDEX('Restaurant Base (Hidden)'!$A$2:$Z$1048576,MATCH($C140,'Restaurant Base (Hidden)'!$C$2:$C$1048576,0),MATCH(E$6,'Restaurant Base (Hidden)'!$A$1:$Z$1,0)),"")</f>
        <v>3.22</v>
      </c>
      <c r="F140" s="2" t="str">
        <f>+IFERROR(INDEX('Restaurant Base (Hidden)'!$A$2:$Z$1048576,MATCH($C140,'Restaurant Base (Hidden)'!$C$2:$C$1048576,0),MATCH(F$6,'Restaurant Base (Hidden)'!$A$1:$Z$1,0)),"")</f>
        <v/>
      </c>
      <c r="G140" s="20" t="str">
        <f>+IFERROR(INDEX('Restaurant Base (Hidden)'!$A$2:$Z$1048576,MATCH($C140,'Restaurant Base (Hidden)'!$C$2:$C$1048576,0),MATCH(G$6,'Restaurant Base (Hidden)'!$A$1:$Z$1,0)),"")</f>
        <v>4,099</v>
      </c>
      <c r="H140" s="50">
        <f>+IFERROR(INDEX('Restaurant Base (Hidden)'!$A$2:$Z$1048576,MATCH($C140,'Restaurant Base (Hidden)'!$C$2:$C$1048576,0),MATCH(H$6,'Restaurant Base (Hidden)'!$A$1:$Z$1,0)),"")</f>
        <v>2</v>
      </c>
      <c r="I140" s="20" t="str">
        <f>+IFERROR(INDEX('Restaurant Base (Hidden)'!$A$2:$Z$1048576,MATCH($C140,'Restaurant Base (Hidden)'!$C$2:$C$1048576,0),MATCH(I$6,'Restaurant Base (Hidden)'!$A$1:$Z$1,0)),"")</f>
        <v>91,00 %</v>
      </c>
      <c r="J140" s="49">
        <f>+IFERROR(INDEX('Restaurant Base (Hidden)'!$A$2:$Z$1048576,MATCH($C140,'Restaurant Base (Hidden)'!$C$2:$C$1048576,0),MATCH(J$6,'Restaurant Base (Hidden)'!$A$1:$Z$1,0)),"")</f>
        <v>4</v>
      </c>
      <c r="K140" s="20" t="str">
        <f>+IFERROR(INDEX('Restaurant Base (Hidden)'!$A$2:$Z$1048576,MATCH($C140,'Restaurant Base (Hidden)'!$C$2:$C$1048576,0),MATCH(K$6,'Restaurant Base (Hidden)'!$A$1:$Z$1,0)),"")</f>
        <v>0,062</v>
      </c>
      <c r="L140" s="51">
        <f>+IFERROR(INDEX('Restaurant Base (Hidden)'!$A$2:$Z$1048576,MATCH($C140,'Restaurant Base (Hidden)'!$C$2:$C$1048576,0),MATCH(L$6,'Restaurant Base (Hidden)'!$A$1:$Z$1,0)),"")</f>
        <v>4</v>
      </c>
      <c r="M140" s="2" t="str">
        <f>+IFERROR(INDEX('Restaurant Base (Hidden)'!$A$2:$Z$1048576,MATCH($C140,'Restaurant Base (Hidden)'!$C$2:$C$1048576,0),MATCH(M$6,'Restaurant Base (Hidden)'!$A$1:$Z$1,0)),"")</f>
        <v/>
      </c>
      <c r="N140" s="234" t="str">
        <f>+IFERROR(INDEX('Restaurant Base (Hidden)'!$A$2:$Z$1048576,MATCH($C140,'Restaurant Base (Hidden)'!$C$2:$C$1048576,0),MATCH(N$6,'Restaurant Base (Hidden)'!$A$1:$Z$1,0)),"")</f>
        <v>72,10 %</v>
      </c>
      <c r="O140" s="1">
        <f>+IFERROR(INDEX('Restaurant Base (Hidden)'!$A$2:$Z$1048576,MATCH($C140,'Restaurant Base (Hidden)'!$C$2:$C$1048576,0),MATCH(O$6,'Restaurant Base (Hidden)'!$A$1:$Z$1,0)),"")</f>
        <v>5</v>
      </c>
      <c r="P140" s="2" t="str">
        <f>+IFERROR(INDEX('Restaurant Base (Hidden)'!$A$2:$Z$1048576,MATCH($C140,'Restaurant Base (Hidden)'!$C$2:$C$1048576,0),MATCH(P$6,'Restaurant Base (Hidden)'!$A$1:$Z$1,0)),"")</f>
        <v/>
      </c>
      <c r="Q140" s="234" t="str">
        <f>+IFERROR(INDEX('Restaurant Base (Hidden)'!$A$2:$Z$1048576,MATCH($C140,'Restaurant Base (Hidden)'!$C$2:$C$1048576,0),MATCH(Q$6,'Restaurant Base (Hidden)'!$A$1:$Z$1,0)),"")</f>
        <v>71,80 %</v>
      </c>
      <c r="R140" s="1">
        <f>+IFERROR(INDEX('Restaurant Base (Hidden)'!$A$2:$Z$1048576,MATCH($C140,'Restaurant Base (Hidden)'!$C$2:$C$1048576,0),MATCH(R$6,'Restaurant Base (Hidden)'!$A$1:$Z$1,0)),"")</f>
        <v>4</v>
      </c>
      <c r="S140" s="2" t="str">
        <f>+IFERROR(INDEX('Restaurant Base (Hidden)'!$A$2:$Z$1048576,MATCH($C140,'Restaurant Base (Hidden)'!$C$2:$C$1048576,0),MATCH(S$6,'Restaurant Base (Hidden)'!$A$1:$Z$1,0)),"")</f>
        <v/>
      </c>
      <c r="T140" s="62">
        <f>+IFERROR(INDEX('Restaurant Base (Hidden)'!$A$2:$Z$1048576,MATCH($C140,'Restaurant Base (Hidden)'!$C$2:$C$1048576,0),MATCH(T$6,'Restaurant Base (Hidden)'!$A$1:$Z$1,0)),"")</f>
        <v>63.1</v>
      </c>
      <c r="U140" s="1">
        <f>+IFERROR(INDEX('Restaurant Base (Hidden)'!$A$2:$Z$1048576,MATCH($C140,'Restaurant Base (Hidden)'!$C$2:$C$1048576,0),MATCH(U$6,'Restaurant Base (Hidden)'!$A$1:$Z$1,0)),"")</f>
        <v>3</v>
      </c>
      <c r="V140" s="2" t="str">
        <f>+IFERROR(INDEX('Restaurant Base (Hidden)'!$A$2:$Z$1048576,MATCH($C140,'Restaurant Base (Hidden)'!$C$2:$C$1048576,0),MATCH(V$6,'Restaurant Base (Hidden)'!$A$1:$Z$1,0)),"")</f>
        <v/>
      </c>
      <c r="W140" s="65" t="str">
        <f>+IFERROR(INDEX('Restaurant Base (Hidden)'!$A$2:$Z$1048576,MATCH($C140,'Restaurant Base (Hidden)'!$C$2:$C$1048576,0),MATCH(W$6,'Restaurant Base (Hidden)'!$A$1:$Z$1,0)),"")</f>
        <v>77,50 %</v>
      </c>
      <c r="X140" s="1">
        <f>+IFERROR(INDEX('Restaurant Base (Hidden)'!$A$2:$Z$1048576,MATCH($C140,'Restaurant Base (Hidden)'!$C$2:$C$1048576,0),MATCH(X$6,'Restaurant Base (Hidden)'!$A$1:$Z$1,0)),"")</f>
        <v>2</v>
      </c>
      <c r="Y140" s="65" t="str">
        <f>+IFERROR(INDEX('Restaurant Base (Hidden)'!$A$2:$Z$1048576,MATCH($C140,'Restaurant Base (Hidden)'!$C$2:$C$1048576,0),MATCH(Y$6,'Restaurant Base (Hidden)'!$A$1:$Z$1,0)),"")</f>
        <v>82,30 %</v>
      </c>
      <c r="Z140" s="106">
        <f>+IFERROR(INDEX('Restaurant Base (Hidden)'!$A$2:$Z$1048576,MATCH($C140,'Restaurant Base (Hidden)'!$C$2:$C$1048576,0),MATCH(Z$6,'Restaurant Base (Hidden)'!$A$1:$Z$1,0)),"")</f>
        <v>3</v>
      </c>
      <c r="AA140" s="65" t="str">
        <f>+IFERROR(INDEX('Restaurant Base (Hidden)'!$A$2:$Z$1048576,MATCH($C140,'Restaurant Base (Hidden)'!$C$2:$C$1048576,0),MATCH(AA$6,'Restaurant Base (Hidden)'!$A$1:$Z$1,0)),"")</f>
        <v>69,90 %</v>
      </c>
      <c r="AB140" s="1">
        <f>+IFERROR(INDEX('Restaurant Base (Hidden)'!$A$2:$Z$1048576,MATCH($C140,'Restaurant Base (Hidden)'!$C$2:$C$1048576,0),MATCH(AB$6,'Restaurant Base (Hidden)'!$A$1:$Z$1,0)),"")</f>
        <v>2</v>
      </c>
      <c r="AC140" s="20" t="str">
        <f>+IFERROR(INDEX('Restaurant Base (Hidden)'!$A$2:$Z$1048576,MATCH($C140,'Restaurant Base (Hidden)'!$C$2:$C$1048576,0),MATCH(AC$6,'Restaurant Base (Hidden)'!$A$1:$Z$1,0)),"")</f>
        <v/>
      </c>
      <c r="AD140" s="65" t="str">
        <f>+IFERROR(INDEX('Restaurant Base (Hidden)'!$A$2:$Z$1048576,MATCH($C140,'Restaurant Base (Hidden)'!$C$2:$C$1048576,0),MATCH(AD$6,'Restaurant Base (Hidden)'!$A$1:$Z$1,0)),"")</f>
        <v>81,80 %</v>
      </c>
      <c r="AE140" s="1">
        <f>+IFERROR(INDEX('Restaurant Base (Hidden)'!$A$2:$Z$1048576,MATCH($C140,'Restaurant Base (Hidden)'!$C$2:$C$1048576,0),MATCH(AE$6,'Restaurant Base (Hidden)'!$A$1:$Z$1,0)),"")</f>
        <v>2</v>
      </c>
      <c r="AF140" s="65" t="str">
        <f>+IFERROR(INDEX('Restaurant Base (Hidden)'!$A$2:$Z$1048576,MATCH($C140,'Restaurant Base (Hidden)'!$C$2:$C$1048576,0),MATCH(AF$6,'Restaurant Base (Hidden)'!$A$1:$Z$1,0)),"")</f>
        <v>76,00 %</v>
      </c>
      <c r="AG140" s="1">
        <f>+IFERROR(INDEX('Restaurant Base (Hidden)'!$A$2:$Z$1048576,MATCH($C140,'Restaurant Base (Hidden)'!$C$2:$C$1048576,0),MATCH(AG$6,'Restaurant Base (Hidden)'!$A$1:$Z$1,0)),"")</f>
        <v>2</v>
      </c>
    </row>
    <row r="141" spans="1:33" x14ac:dyDescent="0.4">
      <c r="A141" s="163" t="str">
        <f>IF('Restaurant Base (Hidden)'!A69=0,"", 'Restaurant Base (Hidden)'!A69)</f>
        <v>Jamie Northcott</v>
      </c>
      <c r="B141" s="163" t="str">
        <f>IF('Restaurant Base (Hidden)'!B69=0,"", 'Restaurant Base (Hidden)'!B69)</f>
        <v>Westfield Food Group</v>
      </c>
      <c r="C141" s="163" t="str">
        <f>IF('Restaurant Base (Hidden)'!C69=0,"", 'Restaurant Base (Hidden)'!C69)</f>
        <v>Pine Station</v>
      </c>
      <c r="D141" s="104">
        <f t="shared" si="2"/>
        <v>135</v>
      </c>
      <c r="E141" s="105">
        <f>+IFERROR(INDEX('Restaurant Base (Hidden)'!$A$2:$Z$1048576,MATCH($C141,'Restaurant Base (Hidden)'!$C$2:$C$1048576,0),MATCH(E$6,'Restaurant Base (Hidden)'!$A$1:$Z$1,0)),"")</f>
        <v>3.21</v>
      </c>
      <c r="F141" s="64" t="str">
        <f>+IFERROR(INDEX('Restaurant Base (Hidden)'!$A$2:$Z$1048576,MATCH($C141,'Restaurant Base (Hidden)'!$C$2:$C$1048576,0),MATCH(F$6,'Restaurant Base (Hidden)'!$A$1:$Z$1,0)),"")</f>
        <v/>
      </c>
      <c r="G141" s="20" t="str">
        <f>+IFERROR(INDEX('Restaurant Base (Hidden)'!$A$2:$Z$1048576,MATCH($C141,'Restaurant Base (Hidden)'!$C$2:$C$1048576,0),MATCH(G$6,'Restaurant Base (Hidden)'!$A$1:$Z$1,0)),"")</f>
        <v>4,769</v>
      </c>
      <c r="H141" s="50">
        <f>+IFERROR(INDEX('Restaurant Base (Hidden)'!$A$2:$Z$1048576,MATCH($C141,'Restaurant Base (Hidden)'!$C$2:$C$1048576,0),MATCH(H$6,'Restaurant Base (Hidden)'!$A$1:$Z$1,0)),"")</f>
        <v>5</v>
      </c>
      <c r="I141" s="20" t="str">
        <f>+IFERROR(INDEX('Restaurant Base (Hidden)'!$A$2:$Z$1048576,MATCH($C141,'Restaurant Base (Hidden)'!$C$2:$C$1048576,0),MATCH(I$6,'Restaurant Base (Hidden)'!$A$1:$Z$1,0)),"")</f>
        <v>79,70 %</v>
      </c>
      <c r="J141" s="49">
        <f>+IFERROR(INDEX('Restaurant Base (Hidden)'!$A$2:$Z$1048576,MATCH($C141,'Restaurant Base (Hidden)'!$C$2:$C$1048576,0),MATCH(J$6,'Restaurant Base (Hidden)'!$A$1:$Z$1,0)),"")</f>
        <v>2</v>
      </c>
      <c r="K141" s="20" t="str">
        <f>+IFERROR(INDEX('Restaurant Base (Hidden)'!$A$2:$Z$1048576,MATCH($C141,'Restaurant Base (Hidden)'!$C$2:$C$1048576,0),MATCH(K$6,'Restaurant Base (Hidden)'!$A$1:$Z$1,0)),"")</f>
        <v>0,105</v>
      </c>
      <c r="L141" s="51">
        <f>+IFERROR(INDEX('Restaurant Base (Hidden)'!$A$2:$Z$1048576,MATCH($C141,'Restaurant Base (Hidden)'!$C$2:$C$1048576,0),MATCH(L$6,'Restaurant Base (Hidden)'!$A$1:$Z$1,0)),"")</f>
        <v>3</v>
      </c>
      <c r="M141" s="2" t="str">
        <f>+IFERROR(INDEX('Restaurant Base (Hidden)'!$A$2:$Z$1048576,MATCH($C141,'Restaurant Base (Hidden)'!$C$2:$C$1048576,0),MATCH(M$6,'Restaurant Base (Hidden)'!$A$1:$Z$1,0)),"")</f>
        <v/>
      </c>
      <c r="N141" s="234" t="str">
        <f>+IFERROR(INDEX('Restaurant Base (Hidden)'!$A$2:$Z$1048576,MATCH($C141,'Restaurant Base (Hidden)'!$C$2:$C$1048576,0),MATCH(N$6,'Restaurant Base (Hidden)'!$A$1:$Z$1,0)),"")</f>
        <v>75,30 %</v>
      </c>
      <c r="O141" s="1">
        <f>+IFERROR(INDEX('Restaurant Base (Hidden)'!$A$2:$Z$1048576,MATCH($C141,'Restaurant Base (Hidden)'!$C$2:$C$1048576,0),MATCH(O$6,'Restaurant Base (Hidden)'!$A$1:$Z$1,0)),"")</f>
        <v>5</v>
      </c>
      <c r="P141" s="2" t="str">
        <f>+IFERROR(INDEX('Restaurant Base (Hidden)'!$A$2:$Z$1048576,MATCH($C141,'Restaurant Base (Hidden)'!$C$2:$C$1048576,0),MATCH(P$6,'Restaurant Base (Hidden)'!$A$1:$Z$1,0)),"")</f>
        <v/>
      </c>
      <c r="Q141" s="234" t="str">
        <f>+IFERROR(INDEX('Restaurant Base (Hidden)'!$A$2:$Z$1048576,MATCH($C141,'Restaurant Base (Hidden)'!$C$2:$C$1048576,0),MATCH(Q$6,'Restaurant Base (Hidden)'!$A$1:$Z$1,0)),"")</f>
        <v>70,60 %</v>
      </c>
      <c r="R141" s="1">
        <f>+IFERROR(INDEX('Restaurant Base (Hidden)'!$A$2:$Z$1048576,MATCH($C141,'Restaurant Base (Hidden)'!$C$2:$C$1048576,0),MATCH(R$6,'Restaurant Base (Hidden)'!$A$1:$Z$1,0)),"")</f>
        <v>4</v>
      </c>
      <c r="S141" s="2" t="str">
        <f>+IFERROR(INDEX('Restaurant Base (Hidden)'!$A$2:$Z$1048576,MATCH($C141,'Restaurant Base (Hidden)'!$C$2:$C$1048576,0),MATCH(S$6,'Restaurant Base (Hidden)'!$A$1:$Z$1,0)),"")</f>
        <v/>
      </c>
      <c r="T141" s="62">
        <f>+IFERROR(INDEX('Restaurant Base (Hidden)'!$A$2:$Z$1048576,MATCH($C141,'Restaurant Base (Hidden)'!$C$2:$C$1048576,0),MATCH(T$6,'Restaurant Base (Hidden)'!$A$1:$Z$1,0)),"")</f>
        <v>53.1</v>
      </c>
      <c r="U141" s="1">
        <f>+IFERROR(INDEX('Restaurant Base (Hidden)'!$A$2:$Z$1048576,MATCH($C141,'Restaurant Base (Hidden)'!$C$2:$C$1048576,0),MATCH(U$6,'Restaurant Base (Hidden)'!$A$1:$Z$1,0)),"")</f>
        <v>1</v>
      </c>
      <c r="V141" s="2" t="str">
        <f>+IFERROR(INDEX('Restaurant Base (Hidden)'!$A$2:$Z$1048576,MATCH($C141,'Restaurant Base (Hidden)'!$C$2:$C$1048576,0),MATCH(V$6,'Restaurant Base (Hidden)'!$A$1:$Z$1,0)),"")</f>
        <v/>
      </c>
      <c r="W141" s="65" t="str">
        <f>+IFERROR(INDEX('Restaurant Base (Hidden)'!$A$2:$Z$1048576,MATCH($C141,'Restaurant Base (Hidden)'!$C$2:$C$1048576,0),MATCH(W$6,'Restaurant Base (Hidden)'!$A$1:$Z$1,0)),"")</f>
        <v>65,10 %</v>
      </c>
      <c r="X141" s="1">
        <f>+IFERROR(INDEX('Restaurant Base (Hidden)'!$A$2:$Z$1048576,MATCH($C141,'Restaurant Base (Hidden)'!$C$2:$C$1048576,0),MATCH(X$6,'Restaurant Base (Hidden)'!$A$1:$Z$1,0)),"")</f>
        <v>2</v>
      </c>
      <c r="Y141" s="65" t="str">
        <f>+IFERROR(INDEX('Restaurant Base (Hidden)'!$A$2:$Z$1048576,MATCH($C141,'Restaurant Base (Hidden)'!$C$2:$C$1048576,0),MATCH(Y$6,'Restaurant Base (Hidden)'!$A$1:$Z$1,0)),"")</f>
        <v>87,00 %</v>
      </c>
      <c r="Z141" s="106">
        <f>+IFERROR(INDEX('Restaurant Base (Hidden)'!$A$2:$Z$1048576,MATCH($C141,'Restaurant Base (Hidden)'!$C$2:$C$1048576,0),MATCH(Z$6,'Restaurant Base (Hidden)'!$A$1:$Z$1,0)),"")</f>
        <v>3</v>
      </c>
      <c r="AA141" s="65" t="str">
        <f>+IFERROR(INDEX('Restaurant Base (Hidden)'!$A$2:$Z$1048576,MATCH($C141,'Restaurant Base (Hidden)'!$C$2:$C$1048576,0),MATCH(AA$6,'Restaurant Base (Hidden)'!$A$1:$Z$1,0)),"")</f>
        <v>94,20 %</v>
      </c>
      <c r="AB141" s="1">
        <f>+IFERROR(INDEX('Restaurant Base (Hidden)'!$A$2:$Z$1048576,MATCH($C141,'Restaurant Base (Hidden)'!$C$2:$C$1048576,0),MATCH(AB$6,'Restaurant Base (Hidden)'!$A$1:$Z$1,0)),"")</f>
        <v>3</v>
      </c>
      <c r="AC141" s="20" t="str">
        <f>+IFERROR(INDEX('Restaurant Base (Hidden)'!$A$2:$Z$1048576,MATCH($C141,'Restaurant Base (Hidden)'!$C$2:$C$1048576,0),MATCH(AC$6,'Restaurant Base (Hidden)'!$A$1:$Z$1,0)),"")</f>
        <v/>
      </c>
      <c r="AD141" s="65" t="str">
        <f>+IFERROR(INDEX('Restaurant Base (Hidden)'!$A$2:$Z$1048576,MATCH($C141,'Restaurant Base (Hidden)'!$C$2:$C$1048576,0),MATCH(AD$6,'Restaurant Base (Hidden)'!$A$1:$Z$1,0)),"")</f>
        <v>70,60 %</v>
      </c>
      <c r="AE141" s="1">
        <f>+IFERROR(INDEX('Restaurant Base (Hidden)'!$A$2:$Z$1048576,MATCH($C141,'Restaurant Base (Hidden)'!$C$2:$C$1048576,0),MATCH(AE$6,'Restaurant Base (Hidden)'!$A$1:$Z$1,0)),"")</f>
        <v>1</v>
      </c>
      <c r="AF141" s="65" t="str">
        <f>+IFERROR(INDEX('Restaurant Base (Hidden)'!$A$2:$Z$1048576,MATCH($C141,'Restaurant Base (Hidden)'!$C$2:$C$1048576,0),MATCH(AF$6,'Restaurant Base (Hidden)'!$A$1:$Z$1,0)),"")</f>
        <v>99,30 %</v>
      </c>
      <c r="AG141" s="1">
        <f>+IFERROR(INDEX('Restaurant Base (Hidden)'!$A$2:$Z$1048576,MATCH($C141,'Restaurant Base (Hidden)'!$C$2:$C$1048576,0),MATCH(AG$6,'Restaurant Base (Hidden)'!$A$1:$Z$1,0)),"")</f>
        <v>5</v>
      </c>
    </row>
    <row r="142" spans="1:33" x14ac:dyDescent="0.4">
      <c r="A142" s="163" t="str">
        <f>IF('Restaurant Base (Hidden)'!A135=0,"", 'Restaurant Base (Hidden)'!A135)</f>
        <v>Riley Wellington</v>
      </c>
      <c r="B142" s="163" t="str">
        <f>IF('Restaurant Base (Hidden)'!B135=0,"", 'Restaurant Base (Hidden)'!B135)</f>
        <v>Clearview Dining Group</v>
      </c>
      <c r="C142" s="163" t="str">
        <f>IF('Restaurant Base (Hidden)'!C135=0,"", 'Restaurant Base (Hidden)'!C135)</f>
        <v>Fairview Valley</v>
      </c>
      <c r="D142" s="104">
        <f t="shared" si="2"/>
        <v>135</v>
      </c>
      <c r="E142" s="105">
        <f>+IFERROR(INDEX('Restaurant Base (Hidden)'!$A$2:$Z$1048576,MATCH($C142,'Restaurant Base (Hidden)'!$C$2:$C$1048576,0),MATCH(E$6,'Restaurant Base (Hidden)'!$A$1:$Z$1,0)),"")</f>
        <v>3.21</v>
      </c>
      <c r="F142" s="2" t="str">
        <f>+IFERROR(INDEX('Restaurant Base (Hidden)'!$A$2:$Z$1048576,MATCH($C142,'Restaurant Base (Hidden)'!$C$2:$C$1048576,0),MATCH(F$6,'Restaurant Base (Hidden)'!$A$1:$Z$1,0)),"")</f>
        <v/>
      </c>
      <c r="G142" s="20" t="str">
        <f>+IFERROR(INDEX('Restaurant Base (Hidden)'!$A$2:$Z$1048576,MATCH($C142,'Restaurant Base (Hidden)'!$C$2:$C$1048576,0),MATCH(G$6,'Restaurant Base (Hidden)'!$A$1:$Z$1,0)),"")</f>
        <v>4,208</v>
      </c>
      <c r="H142" s="50">
        <f>+IFERROR(INDEX('Restaurant Base (Hidden)'!$A$2:$Z$1048576,MATCH($C142,'Restaurant Base (Hidden)'!$C$2:$C$1048576,0),MATCH(H$6,'Restaurant Base (Hidden)'!$A$1:$Z$1,0)),"")</f>
        <v>3</v>
      </c>
      <c r="I142" s="20" t="str">
        <f>+IFERROR(INDEX('Restaurant Base (Hidden)'!$A$2:$Z$1048576,MATCH($C142,'Restaurant Base (Hidden)'!$C$2:$C$1048576,0),MATCH(I$6,'Restaurant Base (Hidden)'!$A$1:$Z$1,0)),"")</f>
        <v>56,50 %</v>
      </c>
      <c r="J142" s="49">
        <f>+IFERROR(INDEX('Restaurant Base (Hidden)'!$A$2:$Z$1048576,MATCH($C142,'Restaurant Base (Hidden)'!$C$2:$C$1048576,0),MATCH(J$6,'Restaurant Base (Hidden)'!$A$1:$Z$1,0)),"")</f>
        <v>1</v>
      </c>
      <c r="K142" s="20" t="str">
        <f>+IFERROR(INDEX('Restaurant Base (Hidden)'!$A$2:$Z$1048576,MATCH($C142,'Restaurant Base (Hidden)'!$C$2:$C$1048576,0),MATCH(K$6,'Restaurant Base (Hidden)'!$A$1:$Z$1,0)),"")</f>
        <v>0,159</v>
      </c>
      <c r="L142" s="51">
        <f>+IFERROR(INDEX('Restaurant Base (Hidden)'!$A$2:$Z$1048576,MATCH($C142,'Restaurant Base (Hidden)'!$C$2:$C$1048576,0),MATCH(L$6,'Restaurant Base (Hidden)'!$A$1:$Z$1,0)),"")</f>
        <v>2</v>
      </c>
      <c r="M142" s="2" t="str">
        <f>+IFERROR(INDEX('Restaurant Base (Hidden)'!$A$2:$Z$1048576,MATCH($C142,'Restaurant Base (Hidden)'!$C$2:$C$1048576,0),MATCH(M$6,'Restaurant Base (Hidden)'!$A$1:$Z$1,0)),"")</f>
        <v/>
      </c>
      <c r="N142" s="234" t="str">
        <f>+IFERROR(INDEX('Restaurant Base (Hidden)'!$A$2:$Z$1048576,MATCH($C142,'Restaurant Base (Hidden)'!$C$2:$C$1048576,0),MATCH(N$6,'Restaurant Base (Hidden)'!$A$1:$Z$1,0)),"")</f>
        <v>73,50 %</v>
      </c>
      <c r="O142" s="1">
        <f>+IFERROR(INDEX('Restaurant Base (Hidden)'!$A$2:$Z$1048576,MATCH($C142,'Restaurant Base (Hidden)'!$C$2:$C$1048576,0),MATCH(O$6,'Restaurant Base (Hidden)'!$A$1:$Z$1,0)),"")</f>
        <v>5</v>
      </c>
      <c r="P142" s="2" t="str">
        <f>+IFERROR(INDEX('Restaurant Base (Hidden)'!$A$2:$Z$1048576,MATCH($C142,'Restaurant Base (Hidden)'!$C$2:$C$1048576,0),MATCH(P$6,'Restaurant Base (Hidden)'!$A$1:$Z$1,0)),"")</f>
        <v/>
      </c>
      <c r="Q142" s="234" t="str">
        <f>+IFERROR(INDEX('Restaurant Base (Hidden)'!$A$2:$Z$1048576,MATCH($C142,'Restaurant Base (Hidden)'!$C$2:$C$1048576,0),MATCH(Q$6,'Restaurant Base (Hidden)'!$A$1:$Z$1,0)),"")</f>
        <v>94,20 %</v>
      </c>
      <c r="R142" s="1">
        <f>+IFERROR(INDEX('Restaurant Base (Hidden)'!$A$2:$Z$1048576,MATCH($C142,'Restaurant Base (Hidden)'!$C$2:$C$1048576,0),MATCH(R$6,'Restaurant Base (Hidden)'!$A$1:$Z$1,0)),"")</f>
        <v>5</v>
      </c>
      <c r="S142" s="2" t="str">
        <f>+IFERROR(INDEX('Restaurant Base (Hidden)'!$A$2:$Z$1048576,MATCH($C142,'Restaurant Base (Hidden)'!$C$2:$C$1048576,0),MATCH(S$6,'Restaurant Base (Hidden)'!$A$1:$Z$1,0)),"")</f>
        <v/>
      </c>
      <c r="T142" s="62">
        <f>+IFERROR(INDEX('Restaurant Base (Hidden)'!$A$2:$Z$1048576,MATCH($C142,'Restaurant Base (Hidden)'!$C$2:$C$1048576,0),MATCH(T$6,'Restaurant Base (Hidden)'!$A$1:$Z$1,0)),"")</f>
        <v>57.8</v>
      </c>
      <c r="U142" s="1">
        <f>+IFERROR(INDEX('Restaurant Base (Hidden)'!$A$2:$Z$1048576,MATCH($C142,'Restaurant Base (Hidden)'!$C$2:$C$1048576,0),MATCH(U$6,'Restaurant Base (Hidden)'!$A$1:$Z$1,0)),"")</f>
        <v>2</v>
      </c>
      <c r="V142" s="2" t="str">
        <f>+IFERROR(INDEX('Restaurant Base (Hidden)'!$A$2:$Z$1048576,MATCH($C142,'Restaurant Base (Hidden)'!$C$2:$C$1048576,0),MATCH(V$6,'Restaurant Base (Hidden)'!$A$1:$Z$1,0)),"")</f>
        <v/>
      </c>
      <c r="W142" s="65" t="str">
        <f>+IFERROR(INDEX('Restaurant Base (Hidden)'!$A$2:$Z$1048576,MATCH($C142,'Restaurant Base (Hidden)'!$C$2:$C$1048576,0),MATCH(W$6,'Restaurant Base (Hidden)'!$A$1:$Z$1,0)),"")</f>
        <v>98,90 %</v>
      </c>
      <c r="X142" s="1">
        <f>+IFERROR(INDEX('Restaurant Base (Hidden)'!$A$2:$Z$1048576,MATCH($C142,'Restaurant Base (Hidden)'!$C$2:$C$1048576,0),MATCH(X$6,'Restaurant Base (Hidden)'!$A$1:$Z$1,0)),"")</f>
        <v>5</v>
      </c>
      <c r="Y142" s="65" t="str">
        <f>+IFERROR(INDEX('Restaurant Base (Hidden)'!$A$2:$Z$1048576,MATCH($C142,'Restaurant Base (Hidden)'!$C$2:$C$1048576,0),MATCH(Y$6,'Restaurant Base (Hidden)'!$A$1:$Z$1,0)),"")</f>
        <v>57,30 %</v>
      </c>
      <c r="Z142" s="106">
        <f>+IFERROR(INDEX('Restaurant Base (Hidden)'!$A$2:$Z$1048576,MATCH($C142,'Restaurant Base (Hidden)'!$C$2:$C$1048576,0),MATCH(Z$6,'Restaurant Base (Hidden)'!$A$1:$Z$1,0)),"")</f>
        <v>1</v>
      </c>
      <c r="AA142" s="65" t="str">
        <f>+IFERROR(INDEX('Restaurant Base (Hidden)'!$A$2:$Z$1048576,MATCH($C142,'Restaurant Base (Hidden)'!$C$2:$C$1048576,0),MATCH(AA$6,'Restaurant Base (Hidden)'!$A$1:$Z$1,0)),"")</f>
        <v>58,70 %</v>
      </c>
      <c r="AB142" s="1">
        <f>+IFERROR(INDEX('Restaurant Base (Hidden)'!$A$2:$Z$1048576,MATCH($C142,'Restaurant Base (Hidden)'!$C$2:$C$1048576,0),MATCH(AB$6,'Restaurant Base (Hidden)'!$A$1:$Z$1,0)),"")</f>
        <v>1</v>
      </c>
      <c r="AC142" s="20" t="str">
        <f>+IFERROR(INDEX('Restaurant Base (Hidden)'!$A$2:$Z$1048576,MATCH($C142,'Restaurant Base (Hidden)'!$C$2:$C$1048576,0),MATCH(AC$6,'Restaurant Base (Hidden)'!$A$1:$Z$1,0)),"")</f>
        <v/>
      </c>
      <c r="AD142" s="65" t="str">
        <f>+IFERROR(INDEX('Restaurant Base (Hidden)'!$A$2:$Z$1048576,MATCH($C142,'Restaurant Base (Hidden)'!$C$2:$C$1048576,0),MATCH(AD$6,'Restaurant Base (Hidden)'!$A$1:$Z$1,0)),"")</f>
        <v>95,80 %</v>
      </c>
      <c r="AE142" s="1">
        <f>+IFERROR(INDEX('Restaurant Base (Hidden)'!$A$2:$Z$1048576,MATCH($C142,'Restaurant Base (Hidden)'!$C$2:$C$1048576,0),MATCH(AE$6,'Restaurant Base (Hidden)'!$A$1:$Z$1,0)),"")</f>
        <v>5</v>
      </c>
      <c r="AF142" s="65" t="str">
        <f>+IFERROR(INDEX('Restaurant Base (Hidden)'!$A$2:$Z$1048576,MATCH($C142,'Restaurant Base (Hidden)'!$C$2:$C$1048576,0),MATCH(AF$6,'Restaurant Base (Hidden)'!$A$1:$Z$1,0)),"")</f>
        <v>91,00 %</v>
      </c>
      <c r="AG142" s="1">
        <f>+IFERROR(INDEX('Restaurant Base (Hidden)'!$A$2:$Z$1048576,MATCH($C142,'Restaurant Base (Hidden)'!$C$2:$C$1048576,0),MATCH(AG$6,'Restaurant Base (Hidden)'!$A$1:$Z$1,0)),"")</f>
        <v>3</v>
      </c>
    </row>
    <row r="143" spans="1:33" x14ac:dyDescent="0.4">
      <c r="A143" s="163" t="str">
        <f>IF('Restaurant Base (Hidden)'!A336=0,"", 'Restaurant Base (Hidden)'!A336)</f>
        <v>Quinn Westbrook</v>
      </c>
      <c r="B143" s="163" t="str">
        <f>IF('Restaurant Base (Hidden)'!B336=0,"", 'Restaurant Base (Hidden)'!B336)</f>
        <v>Redwood Food Partners</v>
      </c>
      <c r="C143" s="163" t="str">
        <f>IF('Restaurant Base (Hidden)'!C336=0,"", 'Restaurant Base (Hidden)'!C336)</f>
        <v>Westwood Quay</v>
      </c>
      <c r="D143" s="104">
        <f t="shared" si="2"/>
        <v>135</v>
      </c>
      <c r="E143" s="105">
        <f>+IFERROR(INDEX('Restaurant Base (Hidden)'!$A$2:$Z$1048576,MATCH($C143,'Restaurant Base (Hidden)'!$C$2:$C$1048576,0),MATCH(E$6,'Restaurant Base (Hidden)'!$A$1:$Z$1,0)),"")</f>
        <v>3.21</v>
      </c>
      <c r="F143" s="2" t="str">
        <f>+IFERROR(INDEX('Restaurant Base (Hidden)'!$A$2:$Z$1048576,MATCH($C143,'Restaurant Base (Hidden)'!$C$2:$C$1048576,0),MATCH(F$6,'Restaurant Base (Hidden)'!$A$1:$Z$1,0)),"")</f>
        <v/>
      </c>
      <c r="G143" s="20" t="str">
        <f>+IFERROR(INDEX('Restaurant Base (Hidden)'!$A$2:$Z$1048576,MATCH($C143,'Restaurant Base (Hidden)'!$C$2:$C$1048576,0),MATCH(G$6,'Restaurant Base (Hidden)'!$A$1:$Z$1,0)),"")</f>
        <v>4,817</v>
      </c>
      <c r="H143" s="50">
        <f>+IFERROR(INDEX('Restaurant Base (Hidden)'!$A$2:$Z$1048576,MATCH($C143,'Restaurant Base (Hidden)'!$C$2:$C$1048576,0),MATCH(H$6,'Restaurant Base (Hidden)'!$A$1:$Z$1,0)),"")</f>
        <v>5</v>
      </c>
      <c r="I143" s="20" t="str">
        <f>+IFERROR(INDEX('Restaurant Base (Hidden)'!$A$2:$Z$1048576,MATCH($C143,'Restaurant Base (Hidden)'!$C$2:$C$1048576,0),MATCH(I$6,'Restaurant Base (Hidden)'!$A$1:$Z$1,0)),"")</f>
        <v>68,30 %</v>
      </c>
      <c r="J143" s="49">
        <f>+IFERROR(INDEX('Restaurant Base (Hidden)'!$A$2:$Z$1048576,MATCH($C143,'Restaurant Base (Hidden)'!$C$2:$C$1048576,0),MATCH(J$6,'Restaurant Base (Hidden)'!$A$1:$Z$1,0)),"")</f>
        <v>1</v>
      </c>
      <c r="K143" s="20" t="str">
        <f>+IFERROR(INDEX('Restaurant Base (Hidden)'!$A$2:$Z$1048576,MATCH($C143,'Restaurant Base (Hidden)'!$C$2:$C$1048576,0),MATCH(K$6,'Restaurant Base (Hidden)'!$A$1:$Z$1,0)),"")</f>
        <v>0,180</v>
      </c>
      <c r="L143" s="51">
        <f>+IFERROR(INDEX('Restaurant Base (Hidden)'!$A$2:$Z$1048576,MATCH($C143,'Restaurant Base (Hidden)'!$C$2:$C$1048576,0),MATCH(L$6,'Restaurant Base (Hidden)'!$A$1:$Z$1,0)),"")</f>
        <v>2</v>
      </c>
      <c r="M143" s="2" t="str">
        <f>+IFERROR(INDEX('Restaurant Base (Hidden)'!$A$2:$Z$1048576,MATCH($C143,'Restaurant Base (Hidden)'!$C$2:$C$1048576,0),MATCH(M$6,'Restaurant Base (Hidden)'!$A$1:$Z$1,0)),"")</f>
        <v/>
      </c>
      <c r="N143" s="234" t="str">
        <f>+IFERROR(INDEX('Restaurant Base (Hidden)'!$A$2:$Z$1048576,MATCH($C143,'Restaurant Base (Hidden)'!$C$2:$C$1048576,0),MATCH(N$6,'Restaurant Base (Hidden)'!$A$1:$Z$1,0)),"")</f>
        <v>94,70 %</v>
      </c>
      <c r="O143" s="1">
        <f>+IFERROR(INDEX('Restaurant Base (Hidden)'!$A$2:$Z$1048576,MATCH($C143,'Restaurant Base (Hidden)'!$C$2:$C$1048576,0),MATCH(O$6,'Restaurant Base (Hidden)'!$A$1:$Z$1,0)),"")</f>
        <v>5</v>
      </c>
      <c r="P143" s="2" t="str">
        <f>+IFERROR(INDEX('Restaurant Base (Hidden)'!$A$2:$Z$1048576,MATCH($C143,'Restaurant Base (Hidden)'!$C$2:$C$1048576,0),MATCH(P$6,'Restaurant Base (Hidden)'!$A$1:$Z$1,0)),"")</f>
        <v/>
      </c>
      <c r="Q143" s="234" t="str">
        <f>+IFERROR(INDEX('Restaurant Base (Hidden)'!$A$2:$Z$1048576,MATCH($C143,'Restaurant Base (Hidden)'!$C$2:$C$1048576,0),MATCH(Q$6,'Restaurant Base (Hidden)'!$A$1:$Z$1,0)),"")</f>
        <v>55,40 %</v>
      </c>
      <c r="R143" s="1">
        <f>+IFERROR(INDEX('Restaurant Base (Hidden)'!$A$2:$Z$1048576,MATCH($C143,'Restaurant Base (Hidden)'!$C$2:$C$1048576,0),MATCH(R$6,'Restaurant Base (Hidden)'!$A$1:$Z$1,0)),"")</f>
        <v>1</v>
      </c>
      <c r="S143" s="2" t="str">
        <f>+IFERROR(INDEX('Restaurant Base (Hidden)'!$A$2:$Z$1048576,MATCH($C143,'Restaurant Base (Hidden)'!$C$2:$C$1048576,0),MATCH(S$6,'Restaurant Base (Hidden)'!$A$1:$Z$1,0)),"")</f>
        <v/>
      </c>
      <c r="T143" s="62">
        <f>+IFERROR(INDEX('Restaurant Base (Hidden)'!$A$2:$Z$1048576,MATCH($C143,'Restaurant Base (Hidden)'!$C$2:$C$1048576,0),MATCH(T$6,'Restaurant Base (Hidden)'!$A$1:$Z$1,0)),"")</f>
        <v>74</v>
      </c>
      <c r="U143" s="1">
        <f>+IFERROR(INDEX('Restaurant Base (Hidden)'!$A$2:$Z$1048576,MATCH($C143,'Restaurant Base (Hidden)'!$C$2:$C$1048576,0),MATCH(U$6,'Restaurant Base (Hidden)'!$A$1:$Z$1,0)),"")</f>
        <v>5</v>
      </c>
      <c r="V143" s="2" t="str">
        <f>+IFERROR(INDEX('Restaurant Base (Hidden)'!$A$2:$Z$1048576,MATCH($C143,'Restaurant Base (Hidden)'!$C$2:$C$1048576,0),MATCH(V$6,'Restaurant Base (Hidden)'!$A$1:$Z$1,0)),"")</f>
        <v/>
      </c>
      <c r="W143" s="65" t="str">
        <f>+IFERROR(INDEX('Restaurant Base (Hidden)'!$A$2:$Z$1048576,MATCH($C143,'Restaurant Base (Hidden)'!$C$2:$C$1048576,0),MATCH(W$6,'Restaurant Base (Hidden)'!$A$1:$Z$1,0)),"")</f>
        <v>75,90 %</v>
      </c>
      <c r="X143" s="1">
        <f>+IFERROR(INDEX('Restaurant Base (Hidden)'!$A$2:$Z$1048576,MATCH($C143,'Restaurant Base (Hidden)'!$C$2:$C$1048576,0),MATCH(X$6,'Restaurant Base (Hidden)'!$A$1:$Z$1,0)),"")</f>
        <v>2</v>
      </c>
      <c r="Y143" s="65" t="str">
        <f>+IFERROR(INDEX('Restaurant Base (Hidden)'!$A$2:$Z$1048576,MATCH($C143,'Restaurant Base (Hidden)'!$C$2:$C$1048576,0),MATCH(Y$6,'Restaurant Base (Hidden)'!$A$1:$Z$1,0)),"")</f>
        <v>79,00 %</v>
      </c>
      <c r="Z143" s="106">
        <f>+IFERROR(INDEX('Restaurant Base (Hidden)'!$A$2:$Z$1048576,MATCH($C143,'Restaurant Base (Hidden)'!$C$2:$C$1048576,0),MATCH(Z$6,'Restaurant Base (Hidden)'!$A$1:$Z$1,0)),"")</f>
        <v>2</v>
      </c>
      <c r="AA143" s="65" t="str">
        <f>+IFERROR(INDEX('Restaurant Base (Hidden)'!$A$2:$Z$1048576,MATCH($C143,'Restaurant Base (Hidden)'!$C$2:$C$1048576,0),MATCH(AA$6,'Restaurant Base (Hidden)'!$A$1:$Z$1,0)),"")</f>
        <v>65,30 %</v>
      </c>
      <c r="AB143" s="1">
        <f>+IFERROR(INDEX('Restaurant Base (Hidden)'!$A$2:$Z$1048576,MATCH($C143,'Restaurant Base (Hidden)'!$C$2:$C$1048576,0),MATCH(AB$6,'Restaurant Base (Hidden)'!$A$1:$Z$1,0)),"")</f>
        <v>2</v>
      </c>
      <c r="AC143" s="20" t="str">
        <f>+IFERROR(INDEX('Restaurant Base (Hidden)'!$A$2:$Z$1048576,MATCH($C143,'Restaurant Base (Hidden)'!$C$2:$C$1048576,0),MATCH(AC$6,'Restaurant Base (Hidden)'!$A$1:$Z$1,0)),"")</f>
        <v/>
      </c>
      <c r="AD143" s="65" t="str">
        <f>+IFERROR(INDEX('Restaurant Base (Hidden)'!$A$2:$Z$1048576,MATCH($C143,'Restaurant Base (Hidden)'!$C$2:$C$1048576,0),MATCH(AD$6,'Restaurant Base (Hidden)'!$A$1:$Z$1,0)),"")</f>
        <v>89,70 %</v>
      </c>
      <c r="AE143" s="1">
        <f>+IFERROR(INDEX('Restaurant Base (Hidden)'!$A$2:$Z$1048576,MATCH($C143,'Restaurant Base (Hidden)'!$C$2:$C$1048576,0),MATCH(AE$6,'Restaurant Base (Hidden)'!$A$1:$Z$1,0)),"")</f>
        <v>4</v>
      </c>
      <c r="AF143" s="65" t="str">
        <f>+IFERROR(INDEX('Restaurant Base (Hidden)'!$A$2:$Z$1048576,MATCH($C143,'Restaurant Base (Hidden)'!$C$2:$C$1048576,0),MATCH(AF$6,'Restaurant Base (Hidden)'!$A$1:$Z$1,0)),"")</f>
        <v>99,30 %</v>
      </c>
      <c r="AG143" s="1">
        <f>+IFERROR(INDEX('Restaurant Base (Hidden)'!$A$2:$Z$1048576,MATCH($C143,'Restaurant Base (Hidden)'!$C$2:$C$1048576,0),MATCH(AG$6,'Restaurant Base (Hidden)'!$A$1:$Z$1,0)),"")</f>
        <v>5</v>
      </c>
    </row>
    <row r="144" spans="1:33" x14ac:dyDescent="0.4">
      <c r="A144" s="163" t="str">
        <f>IF('Restaurant Base (Hidden)'!A394=0,"", 'Restaurant Base (Hidden)'!A394)</f>
        <v>Quinn Westbrook</v>
      </c>
      <c r="B144" s="163" t="str">
        <f>IF('Restaurant Base (Hidden)'!B394=0,"", 'Restaurant Base (Hidden)'!B394)</f>
        <v>Ridgeway Restaurants</v>
      </c>
      <c r="C144" s="163" t="str">
        <f>IF('Restaurant Base (Hidden)'!C394=0,"", 'Restaurant Base (Hidden)'!C394)</f>
        <v>Copper Terrace</v>
      </c>
      <c r="D144" s="104">
        <f t="shared" si="2"/>
        <v>135</v>
      </c>
      <c r="E144" s="105">
        <f>+IFERROR(INDEX('Restaurant Base (Hidden)'!$A$2:$Z$1048576,MATCH($C144,'Restaurant Base (Hidden)'!$C$2:$C$1048576,0),MATCH(E$6,'Restaurant Base (Hidden)'!$A$1:$Z$1,0)),"")</f>
        <v>3.21</v>
      </c>
      <c r="F144" s="2" t="str">
        <f>+IFERROR(INDEX('Restaurant Base (Hidden)'!$A$2:$Z$1048576,MATCH($C144,'Restaurant Base (Hidden)'!$C$2:$C$1048576,0),MATCH(F$6,'Restaurant Base (Hidden)'!$A$1:$Z$1,0)),"")</f>
        <v/>
      </c>
      <c r="G144" s="20" t="str">
        <f>+IFERROR(INDEX('Restaurant Base (Hidden)'!$A$2:$Z$1048576,MATCH($C144,'Restaurant Base (Hidden)'!$C$2:$C$1048576,0),MATCH(G$6,'Restaurant Base (Hidden)'!$A$1:$Z$1,0)),"")</f>
        <v>4,562</v>
      </c>
      <c r="H144" s="50">
        <f>+IFERROR(INDEX('Restaurant Base (Hidden)'!$A$2:$Z$1048576,MATCH($C144,'Restaurant Base (Hidden)'!$C$2:$C$1048576,0),MATCH(H$6,'Restaurant Base (Hidden)'!$A$1:$Z$1,0)),"")</f>
        <v>5</v>
      </c>
      <c r="I144" s="20" t="str">
        <f>+IFERROR(INDEX('Restaurant Base (Hidden)'!$A$2:$Z$1048576,MATCH($C144,'Restaurant Base (Hidden)'!$C$2:$C$1048576,0),MATCH(I$6,'Restaurant Base (Hidden)'!$A$1:$Z$1,0)),"")</f>
        <v>60,80 %</v>
      </c>
      <c r="J144" s="49">
        <f>+IFERROR(INDEX('Restaurant Base (Hidden)'!$A$2:$Z$1048576,MATCH($C144,'Restaurant Base (Hidden)'!$C$2:$C$1048576,0),MATCH(J$6,'Restaurant Base (Hidden)'!$A$1:$Z$1,0)),"")</f>
        <v>1</v>
      </c>
      <c r="K144" s="20" t="str">
        <f>+IFERROR(INDEX('Restaurant Base (Hidden)'!$A$2:$Z$1048576,MATCH($C144,'Restaurant Base (Hidden)'!$C$2:$C$1048576,0),MATCH(K$6,'Restaurant Base (Hidden)'!$A$1:$Z$1,0)),"")</f>
        <v>0,041</v>
      </c>
      <c r="L144" s="51">
        <f>+IFERROR(INDEX('Restaurant Base (Hidden)'!$A$2:$Z$1048576,MATCH($C144,'Restaurant Base (Hidden)'!$C$2:$C$1048576,0),MATCH(L$6,'Restaurant Base (Hidden)'!$A$1:$Z$1,0)),"")</f>
        <v>5</v>
      </c>
      <c r="M144" s="2" t="str">
        <f>+IFERROR(INDEX('Restaurant Base (Hidden)'!$A$2:$Z$1048576,MATCH($C144,'Restaurant Base (Hidden)'!$C$2:$C$1048576,0),MATCH(M$6,'Restaurant Base (Hidden)'!$A$1:$Z$1,0)),"")</f>
        <v/>
      </c>
      <c r="N144" s="234" t="str">
        <f>+IFERROR(INDEX('Restaurant Base (Hidden)'!$A$2:$Z$1048576,MATCH($C144,'Restaurant Base (Hidden)'!$C$2:$C$1048576,0),MATCH(N$6,'Restaurant Base (Hidden)'!$A$1:$Z$1,0)),"")</f>
        <v>69,60 %</v>
      </c>
      <c r="O144" s="1">
        <f>+IFERROR(INDEX('Restaurant Base (Hidden)'!$A$2:$Z$1048576,MATCH($C144,'Restaurant Base (Hidden)'!$C$2:$C$1048576,0),MATCH(O$6,'Restaurant Base (Hidden)'!$A$1:$Z$1,0)),"")</f>
        <v>4</v>
      </c>
      <c r="P144" s="2" t="str">
        <f>+IFERROR(INDEX('Restaurant Base (Hidden)'!$A$2:$Z$1048576,MATCH($C144,'Restaurant Base (Hidden)'!$C$2:$C$1048576,0),MATCH(P$6,'Restaurant Base (Hidden)'!$A$1:$Z$1,0)),"")</f>
        <v/>
      </c>
      <c r="Q144" s="234" t="str">
        <f>+IFERROR(INDEX('Restaurant Base (Hidden)'!$A$2:$Z$1048576,MATCH($C144,'Restaurant Base (Hidden)'!$C$2:$C$1048576,0),MATCH(Q$6,'Restaurant Base (Hidden)'!$A$1:$Z$1,0)),"")</f>
        <v>73,20 %</v>
      </c>
      <c r="R144" s="1">
        <f>+IFERROR(INDEX('Restaurant Base (Hidden)'!$A$2:$Z$1048576,MATCH($C144,'Restaurant Base (Hidden)'!$C$2:$C$1048576,0),MATCH(R$6,'Restaurant Base (Hidden)'!$A$1:$Z$1,0)),"")</f>
        <v>5</v>
      </c>
      <c r="S144" s="2" t="str">
        <f>+IFERROR(INDEX('Restaurant Base (Hidden)'!$A$2:$Z$1048576,MATCH($C144,'Restaurant Base (Hidden)'!$C$2:$C$1048576,0),MATCH(S$6,'Restaurant Base (Hidden)'!$A$1:$Z$1,0)),"")</f>
        <v/>
      </c>
      <c r="T144" s="62">
        <f>+IFERROR(INDEX('Restaurant Base (Hidden)'!$A$2:$Z$1048576,MATCH($C144,'Restaurant Base (Hidden)'!$C$2:$C$1048576,0),MATCH(T$6,'Restaurant Base (Hidden)'!$A$1:$Z$1,0)),"")</f>
        <v>63.1</v>
      </c>
      <c r="U144" s="1">
        <f>+IFERROR(INDEX('Restaurant Base (Hidden)'!$A$2:$Z$1048576,MATCH($C144,'Restaurant Base (Hidden)'!$C$2:$C$1048576,0),MATCH(U$6,'Restaurant Base (Hidden)'!$A$1:$Z$1,0)),"")</f>
        <v>3</v>
      </c>
      <c r="V144" s="2" t="str">
        <f>+IFERROR(INDEX('Restaurant Base (Hidden)'!$A$2:$Z$1048576,MATCH($C144,'Restaurant Base (Hidden)'!$C$2:$C$1048576,0),MATCH(V$6,'Restaurant Base (Hidden)'!$A$1:$Z$1,0)),"")</f>
        <v/>
      </c>
      <c r="W144" s="65" t="str">
        <f>+IFERROR(INDEX('Restaurant Base (Hidden)'!$A$2:$Z$1048576,MATCH($C144,'Restaurant Base (Hidden)'!$C$2:$C$1048576,0),MATCH(W$6,'Restaurant Base (Hidden)'!$A$1:$Z$1,0)),"")</f>
        <v>95,80 %</v>
      </c>
      <c r="X144" s="1">
        <f>+IFERROR(INDEX('Restaurant Base (Hidden)'!$A$2:$Z$1048576,MATCH($C144,'Restaurant Base (Hidden)'!$C$2:$C$1048576,0),MATCH(X$6,'Restaurant Base (Hidden)'!$A$1:$Z$1,0)),"")</f>
        <v>4</v>
      </c>
      <c r="Y144" s="65" t="str">
        <f>+IFERROR(INDEX('Restaurant Base (Hidden)'!$A$2:$Z$1048576,MATCH($C144,'Restaurant Base (Hidden)'!$C$2:$C$1048576,0),MATCH(Y$6,'Restaurant Base (Hidden)'!$A$1:$Z$1,0)),"")</f>
        <v>61,80 %</v>
      </c>
      <c r="Z144" s="106">
        <f>+IFERROR(INDEX('Restaurant Base (Hidden)'!$A$2:$Z$1048576,MATCH($C144,'Restaurant Base (Hidden)'!$C$2:$C$1048576,0),MATCH(Z$6,'Restaurant Base (Hidden)'!$A$1:$Z$1,0)),"")</f>
        <v>2</v>
      </c>
      <c r="AA144" s="65" t="str">
        <f>+IFERROR(INDEX('Restaurant Base (Hidden)'!$A$2:$Z$1048576,MATCH($C144,'Restaurant Base (Hidden)'!$C$2:$C$1048576,0),MATCH(AA$6,'Restaurant Base (Hidden)'!$A$1:$Z$1,0)),"")</f>
        <v>64,20 %</v>
      </c>
      <c r="AB144" s="1">
        <f>+IFERROR(INDEX('Restaurant Base (Hidden)'!$A$2:$Z$1048576,MATCH($C144,'Restaurant Base (Hidden)'!$C$2:$C$1048576,0),MATCH(AB$6,'Restaurant Base (Hidden)'!$A$1:$Z$1,0)),"")</f>
        <v>2</v>
      </c>
      <c r="AC144" s="20" t="str">
        <f>+IFERROR(INDEX('Restaurant Base (Hidden)'!$A$2:$Z$1048576,MATCH($C144,'Restaurant Base (Hidden)'!$C$2:$C$1048576,0),MATCH(AC$6,'Restaurant Base (Hidden)'!$A$1:$Z$1,0)),"")</f>
        <v/>
      </c>
      <c r="AD144" s="65" t="str">
        <f>+IFERROR(INDEX('Restaurant Base (Hidden)'!$A$2:$Z$1048576,MATCH($C144,'Restaurant Base (Hidden)'!$C$2:$C$1048576,0),MATCH(AD$6,'Restaurant Base (Hidden)'!$A$1:$Z$1,0)),"")</f>
        <v>78,30 %</v>
      </c>
      <c r="AE144" s="1">
        <f>+IFERROR(INDEX('Restaurant Base (Hidden)'!$A$2:$Z$1048576,MATCH($C144,'Restaurant Base (Hidden)'!$C$2:$C$1048576,0),MATCH(AE$6,'Restaurant Base (Hidden)'!$A$1:$Z$1,0)),"")</f>
        <v>2</v>
      </c>
      <c r="AF144" s="65" t="str">
        <f>+IFERROR(INDEX('Restaurant Base (Hidden)'!$A$2:$Z$1048576,MATCH($C144,'Restaurant Base (Hidden)'!$C$2:$C$1048576,0),MATCH(AF$6,'Restaurant Base (Hidden)'!$A$1:$Z$1,0)),"")</f>
        <v>79,30 %</v>
      </c>
      <c r="AG144" s="1">
        <f>+IFERROR(INDEX('Restaurant Base (Hidden)'!$A$2:$Z$1048576,MATCH($C144,'Restaurant Base (Hidden)'!$C$2:$C$1048576,0),MATCH(AG$6,'Restaurant Base (Hidden)'!$A$1:$Z$1,0)),"")</f>
        <v>2</v>
      </c>
    </row>
    <row r="145" spans="1:33" x14ac:dyDescent="0.4">
      <c r="A145" s="163" t="str">
        <f>IF('Restaurant Base (Hidden)'!A77=0,"", 'Restaurant Base (Hidden)'!A77)</f>
        <v>Riley Wellington</v>
      </c>
      <c r="B145" s="163" t="str">
        <f>IF('Restaurant Base (Hidden)'!B77=0,"", 'Restaurant Base (Hidden)'!B77)</f>
        <v>Riverstone Food Partners</v>
      </c>
      <c r="C145" s="163" t="str">
        <f>IF('Restaurant Base (Hidden)'!C77=0,"", 'Restaurant Base (Hidden)'!C77)</f>
        <v>Bluebell Point</v>
      </c>
      <c r="D145" s="104">
        <f t="shared" si="2"/>
        <v>139</v>
      </c>
      <c r="E145" s="105">
        <f>+IFERROR(INDEX('Restaurant Base (Hidden)'!$A$2:$Z$1048576,MATCH($C145,'Restaurant Base (Hidden)'!$C$2:$C$1048576,0),MATCH(E$6,'Restaurant Base (Hidden)'!$A$1:$Z$1,0)),"")</f>
        <v>3.2</v>
      </c>
      <c r="F145" s="64" t="str">
        <f>+IFERROR(INDEX('Restaurant Base (Hidden)'!$A$2:$Z$1048576,MATCH($C145,'Restaurant Base (Hidden)'!$C$2:$C$1048576,0),MATCH(F$6,'Restaurant Base (Hidden)'!$A$1:$Z$1,0)),"")</f>
        <v/>
      </c>
      <c r="G145" s="20" t="str">
        <f>+IFERROR(INDEX('Restaurant Base (Hidden)'!$A$2:$Z$1048576,MATCH($C145,'Restaurant Base (Hidden)'!$C$2:$C$1048576,0),MATCH(G$6,'Restaurant Base (Hidden)'!$A$1:$Z$1,0)),"")</f>
        <v>4,566</v>
      </c>
      <c r="H145" s="50">
        <f>+IFERROR(INDEX('Restaurant Base (Hidden)'!$A$2:$Z$1048576,MATCH($C145,'Restaurant Base (Hidden)'!$C$2:$C$1048576,0),MATCH(H$6,'Restaurant Base (Hidden)'!$A$1:$Z$1,0)),"")</f>
        <v>5</v>
      </c>
      <c r="I145" s="20" t="str">
        <f>+IFERROR(INDEX('Restaurant Base (Hidden)'!$A$2:$Z$1048576,MATCH($C145,'Restaurant Base (Hidden)'!$C$2:$C$1048576,0),MATCH(I$6,'Restaurant Base (Hidden)'!$A$1:$Z$1,0)),"")</f>
        <v>97,10 %</v>
      </c>
      <c r="J145" s="49">
        <f>+IFERROR(INDEX('Restaurant Base (Hidden)'!$A$2:$Z$1048576,MATCH($C145,'Restaurant Base (Hidden)'!$C$2:$C$1048576,0),MATCH(J$6,'Restaurant Base (Hidden)'!$A$1:$Z$1,0)),"")</f>
        <v>5</v>
      </c>
      <c r="K145" s="20" t="str">
        <f>+IFERROR(INDEX('Restaurant Base (Hidden)'!$A$2:$Z$1048576,MATCH($C145,'Restaurant Base (Hidden)'!$C$2:$C$1048576,0),MATCH(K$6,'Restaurant Base (Hidden)'!$A$1:$Z$1,0)),"")</f>
        <v>0,103</v>
      </c>
      <c r="L145" s="51">
        <f>+IFERROR(INDEX('Restaurant Base (Hidden)'!$A$2:$Z$1048576,MATCH($C145,'Restaurant Base (Hidden)'!$C$2:$C$1048576,0),MATCH(L$6,'Restaurant Base (Hidden)'!$A$1:$Z$1,0)),"")</f>
        <v>3</v>
      </c>
      <c r="M145" s="2" t="str">
        <f>+IFERROR(INDEX('Restaurant Base (Hidden)'!$A$2:$Z$1048576,MATCH($C145,'Restaurant Base (Hidden)'!$C$2:$C$1048576,0),MATCH(M$6,'Restaurant Base (Hidden)'!$A$1:$Z$1,0)),"")</f>
        <v/>
      </c>
      <c r="N145" s="234" t="str">
        <f>+IFERROR(INDEX('Restaurant Base (Hidden)'!$A$2:$Z$1048576,MATCH($C145,'Restaurant Base (Hidden)'!$C$2:$C$1048576,0),MATCH(N$6,'Restaurant Base (Hidden)'!$A$1:$Z$1,0)),"")</f>
        <v>61,20 %</v>
      </c>
      <c r="O145" s="1">
        <f>+IFERROR(INDEX('Restaurant Base (Hidden)'!$A$2:$Z$1048576,MATCH($C145,'Restaurant Base (Hidden)'!$C$2:$C$1048576,0),MATCH(O$6,'Restaurant Base (Hidden)'!$A$1:$Z$1,0)),"")</f>
        <v>2</v>
      </c>
      <c r="P145" s="2" t="str">
        <f>+IFERROR(INDEX('Restaurant Base (Hidden)'!$A$2:$Z$1048576,MATCH($C145,'Restaurant Base (Hidden)'!$C$2:$C$1048576,0),MATCH(P$6,'Restaurant Base (Hidden)'!$A$1:$Z$1,0)),"")</f>
        <v/>
      </c>
      <c r="Q145" s="234" t="str">
        <f>+IFERROR(INDEX('Restaurant Base (Hidden)'!$A$2:$Z$1048576,MATCH($C145,'Restaurant Base (Hidden)'!$C$2:$C$1048576,0),MATCH(Q$6,'Restaurant Base (Hidden)'!$A$1:$Z$1,0)),"")</f>
        <v>79,40 %</v>
      </c>
      <c r="R145" s="1">
        <f>+IFERROR(INDEX('Restaurant Base (Hidden)'!$A$2:$Z$1048576,MATCH($C145,'Restaurant Base (Hidden)'!$C$2:$C$1048576,0),MATCH(R$6,'Restaurant Base (Hidden)'!$A$1:$Z$1,0)),"")</f>
        <v>5</v>
      </c>
      <c r="S145" s="2" t="str">
        <f>+IFERROR(INDEX('Restaurant Base (Hidden)'!$A$2:$Z$1048576,MATCH($C145,'Restaurant Base (Hidden)'!$C$2:$C$1048576,0),MATCH(S$6,'Restaurant Base (Hidden)'!$A$1:$Z$1,0)),"")</f>
        <v/>
      </c>
      <c r="T145" s="62">
        <f>+IFERROR(INDEX('Restaurant Base (Hidden)'!$A$2:$Z$1048576,MATCH($C145,'Restaurant Base (Hidden)'!$C$2:$C$1048576,0),MATCH(T$6,'Restaurant Base (Hidden)'!$A$1:$Z$1,0)),"")</f>
        <v>60.3</v>
      </c>
      <c r="U145" s="1">
        <f>+IFERROR(INDEX('Restaurant Base (Hidden)'!$A$2:$Z$1048576,MATCH($C145,'Restaurant Base (Hidden)'!$C$2:$C$1048576,0),MATCH(U$6,'Restaurant Base (Hidden)'!$A$1:$Z$1,0)),"")</f>
        <v>2</v>
      </c>
      <c r="V145" s="2" t="str">
        <f>+IFERROR(INDEX('Restaurant Base (Hidden)'!$A$2:$Z$1048576,MATCH($C145,'Restaurant Base (Hidden)'!$C$2:$C$1048576,0),MATCH(V$6,'Restaurant Base (Hidden)'!$A$1:$Z$1,0)),"")</f>
        <v/>
      </c>
      <c r="W145" s="65" t="str">
        <f>+IFERROR(INDEX('Restaurant Base (Hidden)'!$A$2:$Z$1048576,MATCH($C145,'Restaurant Base (Hidden)'!$C$2:$C$1048576,0),MATCH(W$6,'Restaurant Base (Hidden)'!$A$1:$Z$1,0)),"")</f>
        <v>67,60 %</v>
      </c>
      <c r="X145" s="1">
        <f>+IFERROR(INDEX('Restaurant Base (Hidden)'!$A$2:$Z$1048576,MATCH($C145,'Restaurant Base (Hidden)'!$C$2:$C$1048576,0),MATCH(X$6,'Restaurant Base (Hidden)'!$A$1:$Z$1,0)),"")</f>
        <v>2</v>
      </c>
      <c r="Y145" s="65" t="str">
        <f>+IFERROR(INDEX('Restaurant Base (Hidden)'!$A$2:$Z$1048576,MATCH($C145,'Restaurant Base (Hidden)'!$C$2:$C$1048576,0),MATCH(Y$6,'Restaurant Base (Hidden)'!$A$1:$Z$1,0)),"")</f>
        <v>59,20 %</v>
      </c>
      <c r="Z145" s="106">
        <f>+IFERROR(INDEX('Restaurant Base (Hidden)'!$A$2:$Z$1048576,MATCH($C145,'Restaurant Base (Hidden)'!$C$2:$C$1048576,0),MATCH(Z$6,'Restaurant Base (Hidden)'!$A$1:$Z$1,0)),"")</f>
        <v>1</v>
      </c>
      <c r="AA145" s="65" t="str">
        <f>+IFERROR(INDEX('Restaurant Base (Hidden)'!$A$2:$Z$1048576,MATCH($C145,'Restaurant Base (Hidden)'!$C$2:$C$1048576,0),MATCH(AA$6,'Restaurant Base (Hidden)'!$A$1:$Z$1,0)),"")</f>
        <v>95,40 %</v>
      </c>
      <c r="AB145" s="1">
        <f>+IFERROR(INDEX('Restaurant Base (Hidden)'!$A$2:$Z$1048576,MATCH($C145,'Restaurant Base (Hidden)'!$C$2:$C$1048576,0),MATCH(AB$6,'Restaurant Base (Hidden)'!$A$1:$Z$1,0)),"")</f>
        <v>3</v>
      </c>
      <c r="AC145" s="20" t="str">
        <f>+IFERROR(INDEX('Restaurant Base (Hidden)'!$A$2:$Z$1048576,MATCH($C145,'Restaurant Base (Hidden)'!$C$2:$C$1048576,0),MATCH(AC$6,'Restaurant Base (Hidden)'!$A$1:$Z$1,0)),"")</f>
        <v/>
      </c>
      <c r="AD145" s="65" t="str">
        <f>+IFERROR(INDEX('Restaurant Base (Hidden)'!$A$2:$Z$1048576,MATCH($C145,'Restaurant Base (Hidden)'!$C$2:$C$1048576,0),MATCH(AD$6,'Restaurant Base (Hidden)'!$A$1:$Z$1,0)),"")</f>
        <v>70,00 %</v>
      </c>
      <c r="AE145" s="1">
        <f>+IFERROR(INDEX('Restaurant Base (Hidden)'!$A$2:$Z$1048576,MATCH($C145,'Restaurant Base (Hidden)'!$C$2:$C$1048576,0),MATCH(AE$6,'Restaurant Base (Hidden)'!$A$1:$Z$1,0)),"")</f>
        <v>1</v>
      </c>
      <c r="AF145" s="65" t="str">
        <f>+IFERROR(INDEX('Restaurant Base (Hidden)'!$A$2:$Z$1048576,MATCH($C145,'Restaurant Base (Hidden)'!$C$2:$C$1048576,0),MATCH(AF$6,'Restaurant Base (Hidden)'!$A$1:$Z$1,0)),"")</f>
        <v>97,00 %</v>
      </c>
      <c r="AG145" s="1">
        <f>+IFERROR(INDEX('Restaurant Base (Hidden)'!$A$2:$Z$1048576,MATCH($C145,'Restaurant Base (Hidden)'!$C$2:$C$1048576,0),MATCH(AG$6,'Restaurant Base (Hidden)'!$A$1:$Z$1,0)),"")</f>
        <v>4</v>
      </c>
    </row>
    <row r="146" spans="1:33" x14ac:dyDescent="0.4">
      <c r="A146" s="163" t="str">
        <f>IF('Restaurant Base (Hidden)'!A209=0,"", 'Restaurant Base (Hidden)'!A209)</f>
        <v>Drew Fairbourne</v>
      </c>
      <c r="B146" s="163" t="str">
        <f>IF('Restaurant Base (Hidden)'!B209=0,"", 'Restaurant Base (Hidden)'!B209)</f>
        <v>Rivermark Food Group</v>
      </c>
      <c r="C146" s="163" t="str">
        <f>IF('Restaurant Base (Hidden)'!C209=0,"", 'Restaurant Base (Hidden)'!C209)</f>
        <v>Rosewood Harbor</v>
      </c>
      <c r="D146" s="104">
        <f t="shared" si="2"/>
        <v>139</v>
      </c>
      <c r="E146" s="105">
        <f>+IFERROR(INDEX('Restaurant Base (Hidden)'!$A$2:$Z$1048576,MATCH($C146,'Restaurant Base (Hidden)'!$C$2:$C$1048576,0),MATCH(E$6,'Restaurant Base (Hidden)'!$A$1:$Z$1,0)),"")</f>
        <v>3.2</v>
      </c>
      <c r="F146" s="2" t="str">
        <f>+IFERROR(INDEX('Restaurant Base (Hidden)'!$A$2:$Z$1048576,MATCH($C146,'Restaurant Base (Hidden)'!$C$2:$C$1048576,0),MATCH(F$6,'Restaurant Base (Hidden)'!$A$1:$Z$1,0)),"")</f>
        <v/>
      </c>
      <c r="G146" s="20" t="str">
        <f>+IFERROR(INDEX('Restaurant Base (Hidden)'!$A$2:$Z$1048576,MATCH($C146,'Restaurant Base (Hidden)'!$C$2:$C$1048576,0),MATCH(G$6,'Restaurant Base (Hidden)'!$A$1:$Z$1,0)),"")</f>
        <v>4,335</v>
      </c>
      <c r="H146" s="50">
        <f>+IFERROR(INDEX('Restaurant Base (Hidden)'!$A$2:$Z$1048576,MATCH($C146,'Restaurant Base (Hidden)'!$C$2:$C$1048576,0),MATCH(H$6,'Restaurant Base (Hidden)'!$A$1:$Z$1,0)),"")</f>
        <v>3</v>
      </c>
      <c r="I146" s="20" t="str">
        <f>+IFERROR(INDEX('Restaurant Base (Hidden)'!$A$2:$Z$1048576,MATCH($C146,'Restaurant Base (Hidden)'!$C$2:$C$1048576,0),MATCH(I$6,'Restaurant Base (Hidden)'!$A$1:$Z$1,0)),"")</f>
        <v>93,00 %</v>
      </c>
      <c r="J146" s="49">
        <f>+IFERROR(INDEX('Restaurant Base (Hidden)'!$A$2:$Z$1048576,MATCH($C146,'Restaurant Base (Hidden)'!$C$2:$C$1048576,0),MATCH(J$6,'Restaurant Base (Hidden)'!$A$1:$Z$1,0)),"")</f>
        <v>4</v>
      </c>
      <c r="K146" s="20" t="str">
        <f>+IFERROR(INDEX('Restaurant Base (Hidden)'!$A$2:$Z$1048576,MATCH($C146,'Restaurant Base (Hidden)'!$C$2:$C$1048576,0),MATCH(K$6,'Restaurant Base (Hidden)'!$A$1:$Z$1,0)),"")</f>
        <v>0,130</v>
      </c>
      <c r="L146" s="51">
        <f>+IFERROR(INDEX('Restaurant Base (Hidden)'!$A$2:$Z$1048576,MATCH($C146,'Restaurant Base (Hidden)'!$C$2:$C$1048576,0),MATCH(L$6,'Restaurant Base (Hidden)'!$A$1:$Z$1,0)),"")</f>
        <v>3</v>
      </c>
      <c r="M146" s="2" t="str">
        <f>+IFERROR(INDEX('Restaurant Base (Hidden)'!$A$2:$Z$1048576,MATCH($C146,'Restaurant Base (Hidden)'!$C$2:$C$1048576,0),MATCH(M$6,'Restaurant Base (Hidden)'!$A$1:$Z$1,0)),"")</f>
        <v/>
      </c>
      <c r="N146" s="234" t="str">
        <f>+IFERROR(INDEX('Restaurant Base (Hidden)'!$A$2:$Z$1048576,MATCH($C146,'Restaurant Base (Hidden)'!$C$2:$C$1048576,0),MATCH(N$6,'Restaurant Base (Hidden)'!$A$1:$Z$1,0)),"")</f>
        <v>68,10 %</v>
      </c>
      <c r="O146" s="1">
        <f>+IFERROR(INDEX('Restaurant Base (Hidden)'!$A$2:$Z$1048576,MATCH($C146,'Restaurant Base (Hidden)'!$C$2:$C$1048576,0),MATCH(O$6,'Restaurant Base (Hidden)'!$A$1:$Z$1,0)),"")</f>
        <v>4</v>
      </c>
      <c r="P146" s="2" t="str">
        <f>+IFERROR(INDEX('Restaurant Base (Hidden)'!$A$2:$Z$1048576,MATCH($C146,'Restaurant Base (Hidden)'!$C$2:$C$1048576,0),MATCH(P$6,'Restaurant Base (Hidden)'!$A$1:$Z$1,0)),"")</f>
        <v/>
      </c>
      <c r="Q146" s="234" t="str">
        <f>+IFERROR(INDEX('Restaurant Base (Hidden)'!$A$2:$Z$1048576,MATCH($C146,'Restaurant Base (Hidden)'!$C$2:$C$1048576,0),MATCH(Q$6,'Restaurant Base (Hidden)'!$A$1:$Z$1,0)),"")</f>
        <v>95,00 %</v>
      </c>
      <c r="R146" s="1">
        <f>+IFERROR(INDEX('Restaurant Base (Hidden)'!$A$2:$Z$1048576,MATCH($C146,'Restaurant Base (Hidden)'!$C$2:$C$1048576,0),MATCH(R$6,'Restaurant Base (Hidden)'!$A$1:$Z$1,0)),"")</f>
        <v>5</v>
      </c>
      <c r="S146" s="2" t="str">
        <f>+IFERROR(INDEX('Restaurant Base (Hidden)'!$A$2:$Z$1048576,MATCH($C146,'Restaurant Base (Hidden)'!$C$2:$C$1048576,0),MATCH(S$6,'Restaurant Base (Hidden)'!$A$1:$Z$1,0)),"")</f>
        <v/>
      </c>
      <c r="T146" s="62">
        <f>+IFERROR(INDEX('Restaurant Base (Hidden)'!$A$2:$Z$1048576,MATCH($C146,'Restaurant Base (Hidden)'!$C$2:$C$1048576,0),MATCH(T$6,'Restaurant Base (Hidden)'!$A$1:$Z$1,0)),"")</f>
        <v>65.099999999999994</v>
      </c>
      <c r="U146" s="1">
        <f>+IFERROR(INDEX('Restaurant Base (Hidden)'!$A$2:$Z$1048576,MATCH($C146,'Restaurant Base (Hidden)'!$C$2:$C$1048576,0),MATCH(U$6,'Restaurant Base (Hidden)'!$A$1:$Z$1,0)),"")</f>
        <v>4</v>
      </c>
      <c r="V146" s="2" t="str">
        <f>+IFERROR(INDEX('Restaurant Base (Hidden)'!$A$2:$Z$1048576,MATCH($C146,'Restaurant Base (Hidden)'!$C$2:$C$1048576,0),MATCH(V$6,'Restaurant Base (Hidden)'!$A$1:$Z$1,0)),"")</f>
        <v/>
      </c>
      <c r="W146" s="65" t="str">
        <f>+IFERROR(INDEX('Restaurant Base (Hidden)'!$A$2:$Z$1048576,MATCH($C146,'Restaurant Base (Hidden)'!$C$2:$C$1048576,0),MATCH(W$6,'Restaurant Base (Hidden)'!$A$1:$Z$1,0)),"")</f>
        <v>72,10 %</v>
      </c>
      <c r="X146" s="1">
        <f>+IFERROR(INDEX('Restaurant Base (Hidden)'!$A$2:$Z$1048576,MATCH($C146,'Restaurant Base (Hidden)'!$C$2:$C$1048576,0),MATCH(X$6,'Restaurant Base (Hidden)'!$A$1:$Z$1,0)),"")</f>
        <v>2</v>
      </c>
      <c r="Y146" s="65" t="str">
        <f>+IFERROR(INDEX('Restaurant Base (Hidden)'!$A$2:$Z$1048576,MATCH($C146,'Restaurant Base (Hidden)'!$C$2:$C$1048576,0),MATCH(Y$6,'Restaurant Base (Hidden)'!$A$1:$Z$1,0)),"")</f>
        <v>75,40 %</v>
      </c>
      <c r="Z146" s="106">
        <f>+IFERROR(INDEX('Restaurant Base (Hidden)'!$A$2:$Z$1048576,MATCH($C146,'Restaurant Base (Hidden)'!$C$2:$C$1048576,0),MATCH(Z$6,'Restaurant Base (Hidden)'!$A$1:$Z$1,0)),"")</f>
        <v>2</v>
      </c>
      <c r="AA146" s="65" t="str">
        <f>+IFERROR(INDEX('Restaurant Base (Hidden)'!$A$2:$Z$1048576,MATCH($C146,'Restaurant Base (Hidden)'!$C$2:$C$1048576,0),MATCH(AA$6,'Restaurant Base (Hidden)'!$A$1:$Z$1,0)),"")</f>
        <v>62,50 %</v>
      </c>
      <c r="AB146" s="1">
        <f>+IFERROR(INDEX('Restaurant Base (Hidden)'!$A$2:$Z$1048576,MATCH($C146,'Restaurant Base (Hidden)'!$C$2:$C$1048576,0),MATCH(AB$6,'Restaurant Base (Hidden)'!$A$1:$Z$1,0)),"")</f>
        <v>2</v>
      </c>
      <c r="AC146" s="20" t="str">
        <f>+IFERROR(INDEX('Restaurant Base (Hidden)'!$A$2:$Z$1048576,MATCH($C146,'Restaurant Base (Hidden)'!$C$2:$C$1048576,0),MATCH(AC$6,'Restaurant Base (Hidden)'!$A$1:$Z$1,0)),"")</f>
        <v/>
      </c>
      <c r="AD146" s="65" t="str">
        <f>+IFERROR(INDEX('Restaurant Base (Hidden)'!$A$2:$Z$1048576,MATCH($C146,'Restaurant Base (Hidden)'!$C$2:$C$1048576,0),MATCH(AD$6,'Restaurant Base (Hidden)'!$A$1:$Z$1,0)),"")</f>
        <v>78,10 %</v>
      </c>
      <c r="AE146" s="1">
        <f>+IFERROR(INDEX('Restaurant Base (Hidden)'!$A$2:$Z$1048576,MATCH($C146,'Restaurant Base (Hidden)'!$C$2:$C$1048576,0),MATCH(AE$6,'Restaurant Base (Hidden)'!$A$1:$Z$1,0)),"")</f>
        <v>2</v>
      </c>
      <c r="AF146" s="65" t="str">
        <f>+IFERROR(INDEX('Restaurant Base (Hidden)'!$A$2:$Z$1048576,MATCH($C146,'Restaurant Base (Hidden)'!$C$2:$C$1048576,0),MATCH(AF$6,'Restaurant Base (Hidden)'!$A$1:$Z$1,0)),"")</f>
        <v>69,50 %</v>
      </c>
      <c r="AG146" s="1">
        <f>+IFERROR(INDEX('Restaurant Base (Hidden)'!$A$2:$Z$1048576,MATCH($C146,'Restaurant Base (Hidden)'!$C$2:$C$1048576,0),MATCH(AG$6,'Restaurant Base (Hidden)'!$A$1:$Z$1,0)),"")</f>
        <v>1</v>
      </c>
    </row>
    <row r="147" spans="1:33" x14ac:dyDescent="0.4">
      <c r="A147" s="163" t="str">
        <f>IF('Restaurant Base (Hidden)'!A314=0,"", 'Restaurant Base (Hidden)'!A314)</f>
        <v>Emerson Greenleigh</v>
      </c>
      <c r="B147" s="163" t="str">
        <f>IF('Restaurant Base (Hidden)'!B314=0,"", 'Restaurant Base (Hidden)'!B314)</f>
        <v>Ridgeway Restaurants</v>
      </c>
      <c r="C147" s="163" t="str">
        <f>IF('Restaurant Base (Hidden)'!C314=0,"", 'Restaurant Base (Hidden)'!C314)</f>
        <v>Redwood Square</v>
      </c>
      <c r="D147" s="104">
        <f t="shared" si="2"/>
        <v>139</v>
      </c>
      <c r="E147" s="105">
        <f>+IFERROR(INDEX('Restaurant Base (Hidden)'!$A$2:$Z$1048576,MATCH($C147,'Restaurant Base (Hidden)'!$C$2:$C$1048576,0),MATCH(E$6,'Restaurant Base (Hidden)'!$A$1:$Z$1,0)),"")</f>
        <v>3.2</v>
      </c>
      <c r="F147" s="2" t="str">
        <f>+IFERROR(INDEX('Restaurant Base (Hidden)'!$A$2:$Z$1048576,MATCH($C147,'Restaurant Base (Hidden)'!$C$2:$C$1048576,0),MATCH(F$6,'Restaurant Base (Hidden)'!$A$1:$Z$1,0)),"")</f>
        <v/>
      </c>
      <c r="G147" s="20" t="str">
        <f>+IFERROR(INDEX('Restaurant Base (Hidden)'!$A$2:$Z$1048576,MATCH($C147,'Restaurant Base (Hidden)'!$C$2:$C$1048576,0),MATCH(G$6,'Restaurant Base (Hidden)'!$A$1:$Z$1,0)),"")</f>
        <v>4,355</v>
      </c>
      <c r="H147" s="50">
        <f>+IFERROR(INDEX('Restaurant Base (Hidden)'!$A$2:$Z$1048576,MATCH($C147,'Restaurant Base (Hidden)'!$C$2:$C$1048576,0),MATCH(H$6,'Restaurant Base (Hidden)'!$A$1:$Z$1,0)),"")</f>
        <v>4</v>
      </c>
      <c r="I147" s="20" t="str">
        <f>+IFERROR(INDEX('Restaurant Base (Hidden)'!$A$2:$Z$1048576,MATCH($C147,'Restaurant Base (Hidden)'!$C$2:$C$1048576,0),MATCH(I$6,'Restaurant Base (Hidden)'!$A$1:$Z$1,0)),"")</f>
        <v>82,90 %</v>
      </c>
      <c r="J147" s="49">
        <f>+IFERROR(INDEX('Restaurant Base (Hidden)'!$A$2:$Z$1048576,MATCH($C147,'Restaurant Base (Hidden)'!$C$2:$C$1048576,0),MATCH(J$6,'Restaurant Base (Hidden)'!$A$1:$Z$1,0)),"")</f>
        <v>2</v>
      </c>
      <c r="K147" s="20" t="str">
        <f>+IFERROR(INDEX('Restaurant Base (Hidden)'!$A$2:$Z$1048576,MATCH($C147,'Restaurant Base (Hidden)'!$C$2:$C$1048576,0),MATCH(K$6,'Restaurant Base (Hidden)'!$A$1:$Z$1,0)),"")</f>
        <v>0,101</v>
      </c>
      <c r="L147" s="51">
        <f>+IFERROR(INDEX('Restaurant Base (Hidden)'!$A$2:$Z$1048576,MATCH($C147,'Restaurant Base (Hidden)'!$C$2:$C$1048576,0),MATCH(L$6,'Restaurant Base (Hidden)'!$A$1:$Z$1,0)),"")</f>
        <v>3</v>
      </c>
      <c r="M147" s="2" t="str">
        <f>+IFERROR(INDEX('Restaurant Base (Hidden)'!$A$2:$Z$1048576,MATCH($C147,'Restaurant Base (Hidden)'!$C$2:$C$1048576,0),MATCH(M$6,'Restaurant Base (Hidden)'!$A$1:$Z$1,0)),"")</f>
        <v/>
      </c>
      <c r="N147" s="234" t="str">
        <f>+IFERROR(INDEX('Restaurant Base (Hidden)'!$A$2:$Z$1048576,MATCH($C147,'Restaurant Base (Hidden)'!$C$2:$C$1048576,0),MATCH(N$6,'Restaurant Base (Hidden)'!$A$1:$Z$1,0)),"")</f>
        <v>57,80 %</v>
      </c>
      <c r="O147" s="1">
        <f>+IFERROR(INDEX('Restaurant Base (Hidden)'!$A$2:$Z$1048576,MATCH($C147,'Restaurant Base (Hidden)'!$C$2:$C$1048576,0),MATCH(O$6,'Restaurant Base (Hidden)'!$A$1:$Z$1,0)),"")</f>
        <v>1</v>
      </c>
      <c r="P147" s="2" t="str">
        <f>+IFERROR(INDEX('Restaurant Base (Hidden)'!$A$2:$Z$1048576,MATCH($C147,'Restaurant Base (Hidden)'!$C$2:$C$1048576,0),MATCH(P$6,'Restaurant Base (Hidden)'!$A$1:$Z$1,0)),"")</f>
        <v/>
      </c>
      <c r="Q147" s="234" t="str">
        <f>+IFERROR(INDEX('Restaurant Base (Hidden)'!$A$2:$Z$1048576,MATCH($C147,'Restaurant Base (Hidden)'!$C$2:$C$1048576,0),MATCH(Q$6,'Restaurant Base (Hidden)'!$A$1:$Z$1,0)),"")</f>
        <v>74,00 %</v>
      </c>
      <c r="R147" s="1">
        <f>+IFERROR(INDEX('Restaurant Base (Hidden)'!$A$2:$Z$1048576,MATCH($C147,'Restaurant Base (Hidden)'!$C$2:$C$1048576,0),MATCH(R$6,'Restaurant Base (Hidden)'!$A$1:$Z$1,0)),"")</f>
        <v>5</v>
      </c>
      <c r="S147" s="2" t="str">
        <f>+IFERROR(INDEX('Restaurant Base (Hidden)'!$A$2:$Z$1048576,MATCH($C147,'Restaurant Base (Hidden)'!$C$2:$C$1048576,0),MATCH(S$6,'Restaurant Base (Hidden)'!$A$1:$Z$1,0)),"")</f>
        <v/>
      </c>
      <c r="T147" s="62">
        <f>+IFERROR(INDEX('Restaurant Base (Hidden)'!$A$2:$Z$1048576,MATCH($C147,'Restaurant Base (Hidden)'!$C$2:$C$1048576,0),MATCH(T$6,'Restaurant Base (Hidden)'!$A$1:$Z$1,0)),"")</f>
        <v>76.5</v>
      </c>
      <c r="U147" s="1">
        <f>+IFERROR(INDEX('Restaurant Base (Hidden)'!$A$2:$Z$1048576,MATCH($C147,'Restaurant Base (Hidden)'!$C$2:$C$1048576,0),MATCH(U$6,'Restaurant Base (Hidden)'!$A$1:$Z$1,0)),"")</f>
        <v>5</v>
      </c>
      <c r="V147" s="2" t="str">
        <f>+IFERROR(INDEX('Restaurant Base (Hidden)'!$A$2:$Z$1048576,MATCH($C147,'Restaurant Base (Hidden)'!$C$2:$C$1048576,0),MATCH(V$6,'Restaurant Base (Hidden)'!$A$1:$Z$1,0)),"")</f>
        <v/>
      </c>
      <c r="W147" s="65" t="str">
        <f>+IFERROR(INDEX('Restaurant Base (Hidden)'!$A$2:$Z$1048576,MATCH($C147,'Restaurant Base (Hidden)'!$C$2:$C$1048576,0),MATCH(W$6,'Restaurant Base (Hidden)'!$A$1:$Z$1,0)),"")</f>
        <v>99,30 %</v>
      </c>
      <c r="X147" s="1">
        <f>+IFERROR(INDEX('Restaurant Base (Hidden)'!$A$2:$Z$1048576,MATCH($C147,'Restaurant Base (Hidden)'!$C$2:$C$1048576,0),MATCH(X$6,'Restaurant Base (Hidden)'!$A$1:$Z$1,0)),"")</f>
        <v>5</v>
      </c>
      <c r="Y147" s="65" t="str">
        <f>+IFERROR(INDEX('Restaurant Base (Hidden)'!$A$2:$Z$1048576,MATCH($C147,'Restaurant Base (Hidden)'!$C$2:$C$1048576,0),MATCH(Y$6,'Restaurant Base (Hidden)'!$A$1:$Z$1,0)),"")</f>
        <v>85,90 %</v>
      </c>
      <c r="Z147" s="106">
        <f>+IFERROR(INDEX('Restaurant Base (Hidden)'!$A$2:$Z$1048576,MATCH($C147,'Restaurant Base (Hidden)'!$C$2:$C$1048576,0),MATCH(Z$6,'Restaurant Base (Hidden)'!$A$1:$Z$1,0)),"")</f>
        <v>3</v>
      </c>
      <c r="AA147" s="65" t="str">
        <f>+IFERROR(INDEX('Restaurant Base (Hidden)'!$A$2:$Z$1048576,MATCH($C147,'Restaurant Base (Hidden)'!$C$2:$C$1048576,0),MATCH(AA$6,'Restaurant Base (Hidden)'!$A$1:$Z$1,0)),"")</f>
        <v>91,60 %</v>
      </c>
      <c r="AB147" s="1">
        <f>+IFERROR(INDEX('Restaurant Base (Hidden)'!$A$2:$Z$1048576,MATCH($C147,'Restaurant Base (Hidden)'!$C$2:$C$1048576,0),MATCH(AB$6,'Restaurant Base (Hidden)'!$A$1:$Z$1,0)),"")</f>
        <v>3</v>
      </c>
      <c r="AC147" s="20" t="str">
        <f>+IFERROR(INDEX('Restaurant Base (Hidden)'!$A$2:$Z$1048576,MATCH($C147,'Restaurant Base (Hidden)'!$C$2:$C$1048576,0),MATCH(AC$6,'Restaurant Base (Hidden)'!$A$1:$Z$1,0)),"")</f>
        <v/>
      </c>
      <c r="AD147" s="65" t="str">
        <f>+IFERROR(INDEX('Restaurant Base (Hidden)'!$A$2:$Z$1048576,MATCH($C147,'Restaurant Base (Hidden)'!$C$2:$C$1048576,0),MATCH(AD$6,'Restaurant Base (Hidden)'!$A$1:$Z$1,0)),"")</f>
        <v>59,50 %</v>
      </c>
      <c r="AE147" s="1">
        <f>+IFERROR(INDEX('Restaurant Base (Hidden)'!$A$2:$Z$1048576,MATCH($C147,'Restaurant Base (Hidden)'!$C$2:$C$1048576,0),MATCH(AE$6,'Restaurant Base (Hidden)'!$A$1:$Z$1,0)),"")</f>
        <v>1</v>
      </c>
      <c r="AF147" s="65" t="str">
        <f>+IFERROR(INDEX('Restaurant Base (Hidden)'!$A$2:$Z$1048576,MATCH($C147,'Restaurant Base (Hidden)'!$C$2:$C$1048576,0),MATCH(AF$6,'Restaurant Base (Hidden)'!$A$1:$Z$1,0)),"")</f>
        <v>97,30 %</v>
      </c>
      <c r="AG147" s="1">
        <f>+IFERROR(INDEX('Restaurant Base (Hidden)'!$A$2:$Z$1048576,MATCH($C147,'Restaurant Base (Hidden)'!$C$2:$C$1048576,0),MATCH(AG$6,'Restaurant Base (Hidden)'!$A$1:$Z$1,0)),"")</f>
        <v>4</v>
      </c>
    </row>
    <row r="148" spans="1:33" x14ac:dyDescent="0.4">
      <c r="A148" s="163" t="str">
        <f>IF('Restaurant Base (Hidden)'!A339=0,"", 'Restaurant Base (Hidden)'!A339)</f>
        <v>Rowan Kingsley</v>
      </c>
      <c r="B148" s="163" t="str">
        <f>IF('Restaurant Base (Hidden)'!B339=0,"", 'Restaurant Base (Hidden)'!B339)</f>
        <v>Fairmont Food Group</v>
      </c>
      <c r="C148" s="163" t="str">
        <f>IF('Restaurant Base (Hidden)'!C339=0,"", 'Restaurant Base (Hidden)'!C339)</f>
        <v>Hilltop View</v>
      </c>
      <c r="D148" s="104">
        <f t="shared" si="2"/>
        <v>139</v>
      </c>
      <c r="E148" s="105">
        <f>+IFERROR(INDEX('Restaurant Base (Hidden)'!$A$2:$Z$1048576,MATCH($C148,'Restaurant Base (Hidden)'!$C$2:$C$1048576,0),MATCH(E$6,'Restaurant Base (Hidden)'!$A$1:$Z$1,0)),"")</f>
        <v>3.2</v>
      </c>
      <c r="F148" s="2" t="str">
        <f>+IFERROR(INDEX('Restaurant Base (Hidden)'!$A$2:$Z$1048576,MATCH($C148,'Restaurant Base (Hidden)'!$C$2:$C$1048576,0),MATCH(F$6,'Restaurant Base (Hidden)'!$A$1:$Z$1,0)),"")</f>
        <v/>
      </c>
      <c r="G148" s="20" t="str">
        <f>+IFERROR(INDEX('Restaurant Base (Hidden)'!$A$2:$Z$1048576,MATCH($C148,'Restaurant Base (Hidden)'!$C$2:$C$1048576,0),MATCH(G$6,'Restaurant Base (Hidden)'!$A$1:$Z$1,0)),"")</f>
        <v>4,089</v>
      </c>
      <c r="H148" s="50">
        <f>+IFERROR(INDEX('Restaurant Base (Hidden)'!$A$2:$Z$1048576,MATCH($C148,'Restaurant Base (Hidden)'!$C$2:$C$1048576,0),MATCH(H$6,'Restaurant Base (Hidden)'!$A$1:$Z$1,0)),"")</f>
        <v>2</v>
      </c>
      <c r="I148" s="20" t="str">
        <f>+IFERROR(INDEX('Restaurant Base (Hidden)'!$A$2:$Z$1048576,MATCH($C148,'Restaurant Base (Hidden)'!$C$2:$C$1048576,0),MATCH(I$6,'Restaurant Base (Hidden)'!$A$1:$Z$1,0)),"")</f>
        <v>90,70 %</v>
      </c>
      <c r="J148" s="49">
        <f>+IFERROR(INDEX('Restaurant Base (Hidden)'!$A$2:$Z$1048576,MATCH($C148,'Restaurant Base (Hidden)'!$C$2:$C$1048576,0),MATCH(J$6,'Restaurant Base (Hidden)'!$A$1:$Z$1,0)),"")</f>
        <v>4</v>
      </c>
      <c r="K148" s="20" t="str">
        <f>+IFERROR(INDEX('Restaurant Base (Hidden)'!$A$2:$Z$1048576,MATCH($C148,'Restaurant Base (Hidden)'!$C$2:$C$1048576,0),MATCH(K$6,'Restaurant Base (Hidden)'!$A$1:$Z$1,0)),"")</f>
        <v>0,089</v>
      </c>
      <c r="L148" s="51">
        <f>+IFERROR(INDEX('Restaurant Base (Hidden)'!$A$2:$Z$1048576,MATCH($C148,'Restaurant Base (Hidden)'!$C$2:$C$1048576,0),MATCH(L$6,'Restaurant Base (Hidden)'!$A$1:$Z$1,0)),"")</f>
        <v>4</v>
      </c>
      <c r="M148" s="2" t="str">
        <f>+IFERROR(INDEX('Restaurant Base (Hidden)'!$A$2:$Z$1048576,MATCH($C148,'Restaurant Base (Hidden)'!$C$2:$C$1048576,0),MATCH(M$6,'Restaurant Base (Hidden)'!$A$1:$Z$1,0)),"")</f>
        <v/>
      </c>
      <c r="N148" s="234" t="str">
        <f>+IFERROR(INDEX('Restaurant Base (Hidden)'!$A$2:$Z$1048576,MATCH($C148,'Restaurant Base (Hidden)'!$C$2:$C$1048576,0),MATCH(N$6,'Restaurant Base (Hidden)'!$A$1:$Z$1,0)),"")</f>
        <v>69,30 %</v>
      </c>
      <c r="O148" s="1">
        <f>+IFERROR(INDEX('Restaurant Base (Hidden)'!$A$2:$Z$1048576,MATCH($C148,'Restaurant Base (Hidden)'!$C$2:$C$1048576,0),MATCH(O$6,'Restaurant Base (Hidden)'!$A$1:$Z$1,0)),"")</f>
        <v>4</v>
      </c>
      <c r="P148" s="2" t="str">
        <f>+IFERROR(INDEX('Restaurant Base (Hidden)'!$A$2:$Z$1048576,MATCH($C148,'Restaurant Base (Hidden)'!$C$2:$C$1048576,0),MATCH(P$6,'Restaurant Base (Hidden)'!$A$1:$Z$1,0)),"")</f>
        <v/>
      </c>
      <c r="Q148" s="234" t="str">
        <f>+IFERROR(INDEX('Restaurant Base (Hidden)'!$A$2:$Z$1048576,MATCH($C148,'Restaurant Base (Hidden)'!$C$2:$C$1048576,0),MATCH(Q$6,'Restaurant Base (Hidden)'!$A$1:$Z$1,0)),"")</f>
        <v>69,80 %</v>
      </c>
      <c r="R148" s="1">
        <f>+IFERROR(INDEX('Restaurant Base (Hidden)'!$A$2:$Z$1048576,MATCH($C148,'Restaurant Base (Hidden)'!$C$2:$C$1048576,0),MATCH(R$6,'Restaurant Base (Hidden)'!$A$1:$Z$1,0)),"")</f>
        <v>4</v>
      </c>
      <c r="S148" s="2" t="str">
        <f>+IFERROR(INDEX('Restaurant Base (Hidden)'!$A$2:$Z$1048576,MATCH($C148,'Restaurant Base (Hidden)'!$C$2:$C$1048576,0),MATCH(S$6,'Restaurant Base (Hidden)'!$A$1:$Z$1,0)),"")</f>
        <v/>
      </c>
      <c r="T148" s="62">
        <f>+IFERROR(INDEX('Restaurant Base (Hidden)'!$A$2:$Z$1048576,MATCH($C148,'Restaurant Base (Hidden)'!$C$2:$C$1048576,0),MATCH(T$6,'Restaurant Base (Hidden)'!$A$1:$Z$1,0)),"")</f>
        <v>73.5</v>
      </c>
      <c r="U148" s="1">
        <f>+IFERROR(INDEX('Restaurant Base (Hidden)'!$A$2:$Z$1048576,MATCH($C148,'Restaurant Base (Hidden)'!$C$2:$C$1048576,0),MATCH(U$6,'Restaurant Base (Hidden)'!$A$1:$Z$1,0)),"")</f>
        <v>5</v>
      </c>
      <c r="V148" s="2" t="str">
        <f>+IFERROR(INDEX('Restaurant Base (Hidden)'!$A$2:$Z$1048576,MATCH($C148,'Restaurant Base (Hidden)'!$C$2:$C$1048576,0),MATCH(V$6,'Restaurant Base (Hidden)'!$A$1:$Z$1,0)),"")</f>
        <v/>
      </c>
      <c r="W148" s="65" t="str">
        <f>+IFERROR(INDEX('Restaurant Base (Hidden)'!$A$2:$Z$1048576,MATCH($C148,'Restaurant Base (Hidden)'!$C$2:$C$1048576,0),MATCH(W$6,'Restaurant Base (Hidden)'!$A$1:$Z$1,0)),"")</f>
        <v>94,30 %</v>
      </c>
      <c r="X148" s="1">
        <f>+IFERROR(INDEX('Restaurant Base (Hidden)'!$A$2:$Z$1048576,MATCH($C148,'Restaurant Base (Hidden)'!$C$2:$C$1048576,0),MATCH(X$6,'Restaurant Base (Hidden)'!$A$1:$Z$1,0)),"")</f>
        <v>4</v>
      </c>
      <c r="Y148" s="65" t="str">
        <f>+IFERROR(INDEX('Restaurant Base (Hidden)'!$A$2:$Z$1048576,MATCH($C148,'Restaurant Base (Hidden)'!$C$2:$C$1048576,0),MATCH(Y$6,'Restaurant Base (Hidden)'!$A$1:$Z$1,0)),"")</f>
        <v>56,90 %</v>
      </c>
      <c r="Z148" s="106">
        <f>+IFERROR(INDEX('Restaurant Base (Hidden)'!$A$2:$Z$1048576,MATCH($C148,'Restaurant Base (Hidden)'!$C$2:$C$1048576,0),MATCH(Z$6,'Restaurant Base (Hidden)'!$A$1:$Z$1,0)),"")</f>
        <v>1</v>
      </c>
      <c r="AA148" s="65" t="str">
        <f>+IFERROR(INDEX('Restaurant Base (Hidden)'!$A$2:$Z$1048576,MATCH($C148,'Restaurant Base (Hidden)'!$C$2:$C$1048576,0),MATCH(AA$6,'Restaurant Base (Hidden)'!$A$1:$Z$1,0)),"")</f>
        <v>76,70 %</v>
      </c>
      <c r="AB148" s="1">
        <f>+IFERROR(INDEX('Restaurant Base (Hidden)'!$A$2:$Z$1048576,MATCH($C148,'Restaurant Base (Hidden)'!$C$2:$C$1048576,0),MATCH(AB$6,'Restaurant Base (Hidden)'!$A$1:$Z$1,0)),"")</f>
        <v>2</v>
      </c>
      <c r="AC148" s="20" t="str">
        <f>+IFERROR(INDEX('Restaurant Base (Hidden)'!$A$2:$Z$1048576,MATCH($C148,'Restaurant Base (Hidden)'!$C$2:$C$1048576,0),MATCH(AC$6,'Restaurant Base (Hidden)'!$A$1:$Z$1,0)),"")</f>
        <v/>
      </c>
      <c r="AD148" s="65" t="str">
        <f>+IFERROR(INDEX('Restaurant Base (Hidden)'!$A$2:$Z$1048576,MATCH($C148,'Restaurant Base (Hidden)'!$C$2:$C$1048576,0),MATCH(AD$6,'Restaurant Base (Hidden)'!$A$1:$Z$1,0)),"")</f>
        <v>72,70 %</v>
      </c>
      <c r="AE148" s="1">
        <f>+IFERROR(INDEX('Restaurant Base (Hidden)'!$A$2:$Z$1048576,MATCH($C148,'Restaurant Base (Hidden)'!$C$2:$C$1048576,0),MATCH(AE$6,'Restaurant Base (Hidden)'!$A$1:$Z$1,0)),"")</f>
        <v>2</v>
      </c>
      <c r="AF148" s="65" t="str">
        <f>+IFERROR(INDEX('Restaurant Base (Hidden)'!$A$2:$Z$1048576,MATCH($C148,'Restaurant Base (Hidden)'!$C$2:$C$1048576,0),MATCH(AF$6,'Restaurant Base (Hidden)'!$A$1:$Z$1,0)),"")</f>
        <v>70,90 %</v>
      </c>
      <c r="AG148" s="1">
        <f>+IFERROR(INDEX('Restaurant Base (Hidden)'!$A$2:$Z$1048576,MATCH($C148,'Restaurant Base (Hidden)'!$C$2:$C$1048576,0),MATCH(AG$6,'Restaurant Base (Hidden)'!$A$1:$Z$1,0)),"")</f>
        <v>1</v>
      </c>
    </row>
    <row r="149" spans="1:33" x14ac:dyDescent="0.4">
      <c r="A149" s="163" t="str">
        <f>IF('Restaurant Base (Hidden)'!A109=0,"", 'Restaurant Base (Hidden)'!A109)</f>
        <v>Taylor Hartwell</v>
      </c>
      <c r="B149" s="163" t="str">
        <f>IF('Restaurant Base (Hidden)'!B109=0,"", 'Restaurant Base (Hidden)'!B109)</f>
        <v>Westfield Food Group</v>
      </c>
      <c r="C149" s="163" t="str">
        <f>IF('Restaurant Base (Hidden)'!C109=0,"", 'Restaurant Base (Hidden)'!C109)</f>
        <v>Pine Gardens</v>
      </c>
      <c r="D149" s="104">
        <f t="shared" si="2"/>
        <v>143</v>
      </c>
      <c r="E149" s="105">
        <f>+IFERROR(INDEX('Restaurant Base (Hidden)'!$A$2:$Z$1048576,MATCH($C149,'Restaurant Base (Hidden)'!$C$2:$C$1048576,0),MATCH(E$6,'Restaurant Base (Hidden)'!$A$1:$Z$1,0)),"")</f>
        <v>3.19</v>
      </c>
      <c r="F149" s="2" t="str">
        <f>+IFERROR(INDEX('Restaurant Base (Hidden)'!$A$2:$Z$1048576,MATCH($C149,'Restaurant Base (Hidden)'!$C$2:$C$1048576,0),MATCH(F$6,'Restaurant Base (Hidden)'!$A$1:$Z$1,0)),"")</f>
        <v/>
      </c>
      <c r="G149" s="20" t="str">
        <f>+IFERROR(INDEX('Restaurant Base (Hidden)'!$A$2:$Z$1048576,MATCH($C149,'Restaurant Base (Hidden)'!$C$2:$C$1048576,0),MATCH(G$6,'Restaurant Base (Hidden)'!$A$1:$Z$1,0)),"")</f>
        <v>4,128</v>
      </c>
      <c r="H149" s="50">
        <f>+IFERROR(INDEX('Restaurant Base (Hidden)'!$A$2:$Z$1048576,MATCH($C149,'Restaurant Base (Hidden)'!$C$2:$C$1048576,0),MATCH(H$6,'Restaurant Base (Hidden)'!$A$1:$Z$1,0)),"")</f>
        <v>2</v>
      </c>
      <c r="I149" s="20" t="str">
        <f>+IFERROR(INDEX('Restaurant Base (Hidden)'!$A$2:$Z$1048576,MATCH($C149,'Restaurant Base (Hidden)'!$C$2:$C$1048576,0),MATCH(I$6,'Restaurant Base (Hidden)'!$A$1:$Z$1,0)),"")</f>
        <v>96,20 %</v>
      </c>
      <c r="J149" s="49">
        <f>+IFERROR(INDEX('Restaurant Base (Hidden)'!$A$2:$Z$1048576,MATCH($C149,'Restaurant Base (Hidden)'!$C$2:$C$1048576,0),MATCH(J$6,'Restaurant Base (Hidden)'!$A$1:$Z$1,0)),"")</f>
        <v>5</v>
      </c>
      <c r="K149" s="20" t="str">
        <f>+IFERROR(INDEX('Restaurant Base (Hidden)'!$A$2:$Z$1048576,MATCH($C149,'Restaurant Base (Hidden)'!$C$2:$C$1048576,0),MATCH(K$6,'Restaurant Base (Hidden)'!$A$1:$Z$1,0)),"")</f>
        <v>0,162</v>
      </c>
      <c r="L149" s="51">
        <f>+IFERROR(INDEX('Restaurant Base (Hidden)'!$A$2:$Z$1048576,MATCH($C149,'Restaurant Base (Hidden)'!$C$2:$C$1048576,0),MATCH(L$6,'Restaurant Base (Hidden)'!$A$1:$Z$1,0)),"")</f>
        <v>2</v>
      </c>
      <c r="M149" s="2" t="str">
        <f>+IFERROR(INDEX('Restaurant Base (Hidden)'!$A$2:$Z$1048576,MATCH($C149,'Restaurant Base (Hidden)'!$C$2:$C$1048576,0),MATCH(M$6,'Restaurant Base (Hidden)'!$A$1:$Z$1,0)),"")</f>
        <v/>
      </c>
      <c r="N149" s="234" t="str">
        <f>+IFERROR(INDEX('Restaurant Base (Hidden)'!$A$2:$Z$1048576,MATCH($C149,'Restaurant Base (Hidden)'!$C$2:$C$1048576,0),MATCH(N$6,'Restaurant Base (Hidden)'!$A$1:$Z$1,0)),"")</f>
        <v>68,10 %</v>
      </c>
      <c r="O149" s="1">
        <f>+IFERROR(INDEX('Restaurant Base (Hidden)'!$A$2:$Z$1048576,MATCH($C149,'Restaurant Base (Hidden)'!$C$2:$C$1048576,0),MATCH(O$6,'Restaurant Base (Hidden)'!$A$1:$Z$1,0)),"")</f>
        <v>4</v>
      </c>
      <c r="P149" s="2" t="str">
        <f>+IFERROR(INDEX('Restaurant Base (Hidden)'!$A$2:$Z$1048576,MATCH($C149,'Restaurant Base (Hidden)'!$C$2:$C$1048576,0),MATCH(P$6,'Restaurant Base (Hidden)'!$A$1:$Z$1,0)),"")</f>
        <v/>
      </c>
      <c r="Q149" s="234" t="str">
        <f>+IFERROR(INDEX('Restaurant Base (Hidden)'!$A$2:$Z$1048576,MATCH($C149,'Restaurant Base (Hidden)'!$C$2:$C$1048576,0),MATCH(Q$6,'Restaurant Base (Hidden)'!$A$1:$Z$1,0)),"")</f>
        <v>89,70 %</v>
      </c>
      <c r="R149" s="1">
        <f>+IFERROR(INDEX('Restaurant Base (Hidden)'!$A$2:$Z$1048576,MATCH($C149,'Restaurant Base (Hidden)'!$C$2:$C$1048576,0),MATCH(R$6,'Restaurant Base (Hidden)'!$A$1:$Z$1,0)),"")</f>
        <v>5</v>
      </c>
      <c r="S149" s="2" t="str">
        <f>+IFERROR(INDEX('Restaurant Base (Hidden)'!$A$2:$Z$1048576,MATCH($C149,'Restaurant Base (Hidden)'!$C$2:$C$1048576,0),MATCH(S$6,'Restaurant Base (Hidden)'!$A$1:$Z$1,0)),"")</f>
        <v/>
      </c>
      <c r="T149" s="62">
        <f>+IFERROR(INDEX('Restaurant Base (Hidden)'!$A$2:$Z$1048576,MATCH($C149,'Restaurant Base (Hidden)'!$C$2:$C$1048576,0),MATCH(T$6,'Restaurant Base (Hidden)'!$A$1:$Z$1,0)),"")</f>
        <v>66.400000000000006</v>
      </c>
      <c r="U149" s="1">
        <f>+IFERROR(INDEX('Restaurant Base (Hidden)'!$A$2:$Z$1048576,MATCH($C149,'Restaurant Base (Hidden)'!$C$2:$C$1048576,0),MATCH(U$6,'Restaurant Base (Hidden)'!$A$1:$Z$1,0)),"")</f>
        <v>4</v>
      </c>
      <c r="V149" s="2" t="str">
        <f>+IFERROR(INDEX('Restaurant Base (Hidden)'!$A$2:$Z$1048576,MATCH($C149,'Restaurant Base (Hidden)'!$C$2:$C$1048576,0),MATCH(V$6,'Restaurant Base (Hidden)'!$A$1:$Z$1,0)),"")</f>
        <v/>
      </c>
      <c r="W149" s="65" t="str">
        <f>+IFERROR(INDEX('Restaurant Base (Hidden)'!$A$2:$Z$1048576,MATCH($C149,'Restaurant Base (Hidden)'!$C$2:$C$1048576,0),MATCH(W$6,'Restaurant Base (Hidden)'!$A$1:$Z$1,0)),"")</f>
        <v>98,60 %</v>
      </c>
      <c r="X149" s="1">
        <f>+IFERROR(INDEX('Restaurant Base (Hidden)'!$A$2:$Z$1048576,MATCH($C149,'Restaurant Base (Hidden)'!$C$2:$C$1048576,0),MATCH(X$6,'Restaurant Base (Hidden)'!$A$1:$Z$1,0)),"")</f>
        <v>5</v>
      </c>
      <c r="Y149" s="65" t="str">
        <f>+IFERROR(INDEX('Restaurant Base (Hidden)'!$A$2:$Z$1048576,MATCH($C149,'Restaurant Base (Hidden)'!$C$2:$C$1048576,0),MATCH(Y$6,'Restaurant Base (Hidden)'!$A$1:$Z$1,0)),"")</f>
        <v>57,50 %</v>
      </c>
      <c r="Z149" s="106">
        <f>+IFERROR(INDEX('Restaurant Base (Hidden)'!$A$2:$Z$1048576,MATCH($C149,'Restaurant Base (Hidden)'!$C$2:$C$1048576,0),MATCH(Z$6,'Restaurant Base (Hidden)'!$A$1:$Z$1,0)),"")</f>
        <v>1</v>
      </c>
      <c r="AA149" s="65" t="str">
        <f>+IFERROR(INDEX('Restaurant Base (Hidden)'!$A$2:$Z$1048576,MATCH($C149,'Restaurant Base (Hidden)'!$C$2:$C$1048576,0),MATCH(AA$6,'Restaurant Base (Hidden)'!$A$1:$Z$1,0)),"")</f>
        <v>75,30 %</v>
      </c>
      <c r="AB149" s="1">
        <f>+IFERROR(INDEX('Restaurant Base (Hidden)'!$A$2:$Z$1048576,MATCH($C149,'Restaurant Base (Hidden)'!$C$2:$C$1048576,0),MATCH(AB$6,'Restaurant Base (Hidden)'!$A$1:$Z$1,0)),"")</f>
        <v>2</v>
      </c>
      <c r="AC149" s="20" t="str">
        <f>+IFERROR(INDEX('Restaurant Base (Hidden)'!$A$2:$Z$1048576,MATCH($C149,'Restaurant Base (Hidden)'!$C$2:$C$1048576,0),MATCH(AC$6,'Restaurant Base (Hidden)'!$A$1:$Z$1,0)),"")</f>
        <v/>
      </c>
      <c r="AD149" s="65" t="str">
        <f>+IFERROR(INDEX('Restaurant Base (Hidden)'!$A$2:$Z$1048576,MATCH($C149,'Restaurant Base (Hidden)'!$C$2:$C$1048576,0),MATCH(AD$6,'Restaurant Base (Hidden)'!$A$1:$Z$1,0)),"")</f>
        <v>62,00 %</v>
      </c>
      <c r="AE149" s="1">
        <f>+IFERROR(INDEX('Restaurant Base (Hidden)'!$A$2:$Z$1048576,MATCH($C149,'Restaurant Base (Hidden)'!$C$2:$C$1048576,0),MATCH(AE$6,'Restaurant Base (Hidden)'!$A$1:$Z$1,0)),"")</f>
        <v>1</v>
      </c>
      <c r="AF149" s="65" t="str">
        <f>+IFERROR(INDEX('Restaurant Base (Hidden)'!$A$2:$Z$1048576,MATCH($C149,'Restaurant Base (Hidden)'!$C$2:$C$1048576,0),MATCH(AF$6,'Restaurant Base (Hidden)'!$A$1:$Z$1,0)),"")</f>
        <v>72,60 %</v>
      </c>
      <c r="AG149" s="1">
        <f>+IFERROR(INDEX('Restaurant Base (Hidden)'!$A$2:$Z$1048576,MATCH($C149,'Restaurant Base (Hidden)'!$C$2:$C$1048576,0),MATCH(AG$6,'Restaurant Base (Hidden)'!$A$1:$Z$1,0)),"")</f>
        <v>1</v>
      </c>
    </row>
    <row r="150" spans="1:33" x14ac:dyDescent="0.4">
      <c r="A150" s="163" t="str">
        <f>IF('Restaurant Base (Hidden)'!A260=0,"", 'Restaurant Base (Hidden)'!A260)</f>
        <v>Sage Rosemont</v>
      </c>
      <c r="B150" s="163" t="str">
        <f>IF('Restaurant Base (Hidden)'!B260=0,"", 'Restaurant Base (Hidden)'!B260)</f>
        <v>Willowcrest Dining</v>
      </c>
      <c r="C150" s="163" t="str">
        <f>IF('Restaurant Base (Hidden)'!C260=0,"", 'Restaurant Base (Hidden)'!C260)</f>
        <v>Oakridge Terrace</v>
      </c>
      <c r="D150" s="104">
        <f t="shared" si="2"/>
        <v>143</v>
      </c>
      <c r="E150" s="105">
        <f>+IFERROR(INDEX('Restaurant Base (Hidden)'!$A$2:$Z$1048576,MATCH($C150,'Restaurant Base (Hidden)'!$C$2:$C$1048576,0),MATCH(E$6,'Restaurant Base (Hidden)'!$A$1:$Z$1,0)),"")</f>
        <v>3.19</v>
      </c>
      <c r="F150" s="2" t="str">
        <f>+IFERROR(INDEX('Restaurant Base (Hidden)'!$A$2:$Z$1048576,MATCH($C150,'Restaurant Base (Hidden)'!$C$2:$C$1048576,0),MATCH(F$6,'Restaurant Base (Hidden)'!$A$1:$Z$1,0)),"")</f>
        <v/>
      </c>
      <c r="G150" s="20" t="str">
        <f>+IFERROR(INDEX('Restaurant Base (Hidden)'!$A$2:$Z$1048576,MATCH($C150,'Restaurant Base (Hidden)'!$C$2:$C$1048576,0),MATCH(G$6,'Restaurant Base (Hidden)'!$A$1:$Z$1,0)),"")</f>
        <v>4,564</v>
      </c>
      <c r="H150" s="50">
        <f>+IFERROR(INDEX('Restaurant Base (Hidden)'!$A$2:$Z$1048576,MATCH($C150,'Restaurant Base (Hidden)'!$C$2:$C$1048576,0),MATCH(H$6,'Restaurant Base (Hidden)'!$A$1:$Z$1,0)),"")</f>
        <v>5</v>
      </c>
      <c r="I150" s="20" t="str">
        <f>+IFERROR(INDEX('Restaurant Base (Hidden)'!$A$2:$Z$1048576,MATCH($C150,'Restaurant Base (Hidden)'!$C$2:$C$1048576,0),MATCH(I$6,'Restaurant Base (Hidden)'!$A$1:$Z$1,0)),"")</f>
        <v>63,80 %</v>
      </c>
      <c r="J150" s="49">
        <f>+IFERROR(INDEX('Restaurant Base (Hidden)'!$A$2:$Z$1048576,MATCH($C150,'Restaurant Base (Hidden)'!$C$2:$C$1048576,0),MATCH(J$6,'Restaurant Base (Hidden)'!$A$1:$Z$1,0)),"")</f>
        <v>1</v>
      </c>
      <c r="K150" s="20" t="str">
        <f>+IFERROR(INDEX('Restaurant Base (Hidden)'!$A$2:$Z$1048576,MATCH($C150,'Restaurant Base (Hidden)'!$C$2:$C$1048576,0),MATCH(K$6,'Restaurant Base (Hidden)'!$A$1:$Z$1,0)),"")</f>
        <v>0,092</v>
      </c>
      <c r="L150" s="51">
        <f>+IFERROR(INDEX('Restaurant Base (Hidden)'!$A$2:$Z$1048576,MATCH($C150,'Restaurant Base (Hidden)'!$C$2:$C$1048576,0),MATCH(L$6,'Restaurant Base (Hidden)'!$A$1:$Z$1,0)),"")</f>
        <v>4</v>
      </c>
      <c r="M150" s="2" t="str">
        <f>+IFERROR(INDEX('Restaurant Base (Hidden)'!$A$2:$Z$1048576,MATCH($C150,'Restaurant Base (Hidden)'!$C$2:$C$1048576,0),MATCH(M$6,'Restaurant Base (Hidden)'!$A$1:$Z$1,0)),"")</f>
        <v/>
      </c>
      <c r="N150" s="234" t="str">
        <f>+IFERROR(INDEX('Restaurant Base (Hidden)'!$A$2:$Z$1048576,MATCH($C150,'Restaurant Base (Hidden)'!$C$2:$C$1048576,0),MATCH(N$6,'Restaurant Base (Hidden)'!$A$1:$Z$1,0)),"")</f>
        <v>77,70 %</v>
      </c>
      <c r="O150" s="1">
        <f>+IFERROR(INDEX('Restaurant Base (Hidden)'!$A$2:$Z$1048576,MATCH($C150,'Restaurant Base (Hidden)'!$C$2:$C$1048576,0),MATCH(O$6,'Restaurant Base (Hidden)'!$A$1:$Z$1,0)),"")</f>
        <v>5</v>
      </c>
      <c r="P150" s="2" t="str">
        <f>+IFERROR(INDEX('Restaurant Base (Hidden)'!$A$2:$Z$1048576,MATCH($C150,'Restaurant Base (Hidden)'!$C$2:$C$1048576,0),MATCH(P$6,'Restaurant Base (Hidden)'!$A$1:$Z$1,0)),"")</f>
        <v/>
      </c>
      <c r="Q150" s="234" t="str">
        <f>+IFERROR(INDEX('Restaurant Base (Hidden)'!$A$2:$Z$1048576,MATCH($C150,'Restaurant Base (Hidden)'!$C$2:$C$1048576,0),MATCH(Q$6,'Restaurant Base (Hidden)'!$A$1:$Z$1,0)),"")</f>
        <v>68,00 %</v>
      </c>
      <c r="R150" s="1">
        <f>+IFERROR(INDEX('Restaurant Base (Hidden)'!$A$2:$Z$1048576,MATCH($C150,'Restaurant Base (Hidden)'!$C$2:$C$1048576,0),MATCH(R$6,'Restaurant Base (Hidden)'!$A$1:$Z$1,0)),"")</f>
        <v>3</v>
      </c>
      <c r="S150" s="2" t="str">
        <f>+IFERROR(INDEX('Restaurant Base (Hidden)'!$A$2:$Z$1048576,MATCH($C150,'Restaurant Base (Hidden)'!$C$2:$C$1048576,0),MATCH(S$6,'Restaurant Base (Hidden)'!$A$1:$Z$1,0)),"")</f>
        <v/>
      </c>
      <c r="T150" s="62">
        <f>+IFERROR(INDEX('Restaurant Base (Hidden)'!$A$2:$Z$1048576,MATCH($C150,'Restaurant Base (Hidden)'!$C$2:$C$1048576,0),MATCH(T$6,'Restaurant Base (Hidden)'!$A$1:$Z$1,0)),"")</f>
        <v>58.8</v>
      </c>
      <c r="U150" s="1">
        <f>+IFERROR(INDEX('Restaurant Base (Hidden)'!$A$2:$Z$1048576,MATCH($C150,'Restaurant Base (Hidden)'!$C$2:$C$1048576,0),MATCH(U$6,'Restaurant Base (Hidden)'!$A$1:$Z$1,0)),"")</f>
        <v>2</v>
      </c>
      <c r="V150" s="2" t="str">
        <f>+IFERROR(INDEX('Restaurant Base (Hidden)'!$A$2:$Z$1048576,MATCH($C150,'Restaurant Base (Hidden)'!$C$2:$C$1048576,0),MATCH(V$6,'Restaurant Base (Hidden)'!$A$1:$Z$1,0)),"")</f>
        <v/>
      </c>
      <c r="W150" s="65" t="str">
        <f>+IFERROR(INDEX('Restaurant Base (Hidden)'!$A$2:$Z$1048576,MATCH($C150,'Restaurant Base (Hidden)'!$C$2:$C$1048576,0),MATCH(W$6,'Restaurant Base (Hidden)'!$A$1:$Z$1,0)),"")</f>
        <v>82,80 %</v>
      </c>
      <c r="X150" s="1">
        <f>+IFERROR(INDEX('Restaurant Base (Hidden)'!$A$2:$Z$1048576,MATCH($C150,'Restaurant Base (Hidden)'!$C$2:$C$1048576,0),MATCH(X$6,'Restaurant Base (Hidden)'!$A$1:$Z$1,0)),"")</f>
        <v>3</v>
      </c>
      <c r="Y150" s="65" t="str">
        <f>+IFERROR(INDEX('Restaurant Base (Hidden)'!$A$2:$Z$1048576,MATCH($C150,'Restaurant Base (Hidden)'!$C$2:$C$1048576,0),MATCH(Y$6,'Restaurant Base (Hidden)'!$A$1:$Z$1,0)),"")</f>
        <v>70,10 %</v>
      </c>
      <c r="Z150" s="106">
        <f>+IFERROR(INDEX('Restaurant Base (Hidden)'!$A$2:$Z$1048576,MATCH($C150,'Restaurant Base (Hidden)'!$C$2:$C$1048576,0),MATCH(Z$6,'Restaurant Base (Hidden)'!$A$1:$Z$1,0)),"")</f>
        <v>2</v>
      </c>
      <c r="AA150" s="65" t="str">
        <f>+IFERROR(INDEX('Restaurant Base (Hidden)'!$A$2:$Z$1048576,MATCH($C150,'Restaurant Base (Hidden)'!$C$2:$C$1048576,0),MATCH(AA$6,'Restaurant Base (Hidden)'!$A$1:$Z$1,0)),"")</f>
        <v>85,40 %</v>
      </c>
      <c r="AB150" s="1">
        <f>+IFERROR(INDEX('Restaurant Base (Hidden)'!$A$2:$Z$1048576,MATCH($C150,'Restaurant Base (Hidden)'!$C$2:$C$1048576,0),MATCH(AB$6,'Restaurant Base (Hidden)'!$A$1:$Z$1,0)),"")</f>
        <v>3</v>
      </c>
      <c r="AC150" s="20" t="str">
        <f>+IFERROR(INDEX('Restaurant Base (Hidden)'!$A$2:$Z$1048576,MATCH($C150,'Restaurant Base (Hidden)'!$C$2:$C$1048576,0),MATCH(AC$6,'Restaurant Base (Hidden)'!$A$1:$Z$1,0)),"")</f>
        <v/>
      </c>
      <c r="AD150" s="65" t="str">
        <f>+IFERROR(INDEX('Restaurant Base (Hidden)'!$A$2:$Z$1048576,MATCH($C150,'Restaurant Base (Hidden)'!$C$2:$C$1048576,0),MATCH(AD$6,'Restaurant Base (Hidden)'!$A$1:$Z$1,0)),"")</f>
        <v>93,70 %</v>
      </c>
      <c r="AE150" s="1">
        <f>+IFERROR(INDEX('Restaurant Base (Hidden)'!$A$2:$Z$1048576,MATCH($C150,'Restaurant Base (Hidden)'!$C$2:$C$1048576,0),MATCH(AE$6,'Restaurant Base (Hidden)'!$A$1:$Z$1,0)),"")</f>
        <v>4</v>
      </c>
      <c r="AF150" s="65" t="str">
        <f>+IFERROR(INDEX('Restaurant Base (Hidden)'!$A$2:$Z$1048576,MATCH($C150,'Restaurant Base (Hidden)'!$C$2:$C$1048576,0),MATCH(AF$6,'Restaurant Base (Hidden)'!$A$1:$Z$1,0)),"")</f>
        <v>92,40 %</v>
      </c>
      <c r="AG150" s="1">
        <f>+IFERROR(INDEX('Restaurant Base (Hidden)'!$A$2:$Z$1048576,MATCH($C150,'Restaurant Base (Hidden)'!$C$2:$C$1048576,0),MATCH(AG$6,'Restaurant Base (Hidden)'!$A$1:$Z$1,0)),"")</f>
        <v>3</v>
      </c>
    </row>
    <row r="151" spans="1:33" x14ac:dyDescent="0.4">
      <c r="A151" s="163" t="str">
        <f>IF('Restaurant Base (Hidden)'!A169=0,"", 'Restaurant Base (Hidden)'!A169)</f>
        <v>Emerson Greenleigh</v>
      </c>
      <c r="B151" s="163" t="str">
        <f>IF('Restaurant Base (Hidden)'!B169=0,"", 'Restaurant Base (Hidden)'!B169)</f>
        <v>Rivermark Food Group</v>
      </c>
      <c r="C151" s="163" t="str">
        <f>IF('Restaurant Base (Hidden)'!C169=0,"", 'Restaurant Base (Hidden)'!C169)</f>
        <v>Lake Gardens</v>
      </c>
      <c r="D151" s="104">
        <f t="shared" si="2"/>
        <v>145</v>
      </c>
      <c r="E151" s="105">
        <f>+IFERROR(INDEX('Restaurant Base (Hidden)'!$A$2:$Z$1048576,MATCH($C151,'Restaurant Base (Hidden)'!$C$2:$C$1048576,0),MATCH(E$6,'Restaurant Base (Hidden)'!$A$1:$Z$1,0)),"")</f>
        <v>3.18</v>
      </c>
      <c r="F151" s="2" t="str">
        <f>+IFERROR(INDEX('Restaurant Base (Hidden)'!$A$2:$Z$1048576,MATCH($C151,'Restaurant Base (Hidden)'!$C$2:$C$1048576,0),MATCH(F$6,'Restaurant Base (Hidden)'!$A$1:$Z$1,0)),"")</f>
        <v/>
      </c>
      <c r="G151" s="20" t="str">
        <f>+IFERROR(INDEX('Restaurant Base (Hidden)'!$A$2:$Z$1048576,MATCH($C151,'Restaurant Base (Hidden)'!$C$2:$C$1048576,0),MATCH(G$6,'Restaurant Base (Hidden)'!$A$1:$Z$1,0)),"")</f>
        <v>4,205</v>
      </c>
      <c r="H151" s="50">
        <f>+IFERROR(INDEX('Restaurant Base (Hidden)'!$A$2:$Z$1048576,MATCH($C151,'Restaurant Base (Hidden)'!$C$2:$C$1048576,0),MATCH(H$6,'Restaurant Base (Hidden)'!$A$1:$Z$1,0)),"")</f>
        <v>3</v>
      </c>
      <c r="I151" s="20" t="str">
        <f>+IFERROR(INDEX('Restaurant Base (Hidden)'!$A$2:$Z$1048576,MATCH($C151,'Restaurant Base (Hidden)'!$C$2:$C$1048576,0),MATCH(I$6,'Restaurant Base (Hidden)'!$A$1:$Z$1,0)),"")</f>
        <v>56,10 %</v>
      </c>
      <c r="J151" s="49">
        <f>+IFERROR(INDEX('Restaurant Base (Hidden)'!$A$2:$Z$1048576,MATCH($C151,'Restaurant Base (Hidden)'!$C$2:$C$1048576,0),MATCH(J$6,'Restaurant Base (Hidden)'!$A$1:$Z$1,0)),"")</f>
        <v>1</v>
      </c>
      <c r="K151" s="20" t="str">
        <f>+IFERROR(INDEX('Restaurant Base (Hidden)'!$A$2:$Z$1048576,MATCH($C151,'Restaurant Base (Hidden)'!$C$2:$C$1048576,0),MATCH(K$6,'Restaurant Base (Hidden)'!$A$1:$Z$1,0)),"")</f>
        <v>0,141</v>
      </c>
      <c r="L151" s="51">
        <f>+IFERROR(INDEX('Restaurant Base (Hidden)'!$A$2:$Z$1048576,MATCH($C151,'Restaurant Base (Hidden)'!$C$2:$C$1048576,0),MATCH(L$6,'Restaurant Base (Hidden)'!$A$1:$Z$1,0)),"")</f>
        <v>2</v>
      </c>
      <c r="M151" s="2" t="str">
        <f>+IFERROR(INDEX('Restaurant Base (Hidden)'!$A$2:$Z$1048576,MATCH($C151,'Restaurant Base (Hidden)'!$C$2:$C$1048576,0),MATCH(M$6,'Restaurant Base (Hidden)'!$A$1:$Z$1,0)),"")</f>
        <v/>
      </c>
      <c r="N151" s="234" t="str">
        <f>+IFERROR(INDEX('Restaurant Base (Hidden)'!$A$2:$Z$1048576,MATCH($C151,'Restaurant Base (Hidden)'!$C$2:$C$1048576,0),MATCH(N$6,'Restaurant Base (Hidden)'!$A$1:$Z$1,0)),"")</f>
        <v>94,20 %</v>
      </c>
      <c r="O151" s="1">
        <f>+IFERROR(INDEX('Restaurant Base (Hidden)'!$A$2:$Z$1048576,MATCH($C151,'Restaurant Base (Hidden)'!$C$2:$C$1048576,0),MATCH(O$6,'Restaurant Base (Hidden)'!$A$1:$Z$1,0)),"")</f>
        <v>5</v>
      </c>
      <c r="P151" s="2" t="str">
        <f>+IFERROR(INDEX('Restaurant Base (Hidden)'!$A$2:$Z$1048576,MATCH($C151,'Restaurant Base (Hidden)'!$C$2:$C$1048576,0),MATCH(P$6,'Restaurant Base (Hidden)'!$A$1:$Z$1,0)),"")</f>
        <v/>
      </c>
      <c r="Q151" s="234" t="str">
        <f>+IFERROR(INDEX('Restaurant Base (Hidden)'!$A$2:$Z$1048576,MATCH($C151,'Restaurant Base (Hidden)'!$C$2:$C$1048576,0),MATCH(Q$6,'Restaurant Base (Hidden)'!$A$1:$Z$1,0)),"")</f>
        <v>90,00 %</v>
      </c>
      <c r="R151" s="1">
        <f>+IFERROR(INDEX('Restaurant Base (Hidden)'!$A$2:$Z$1048576,MATCH($C151,'Restaurant Base (Hidden)'!$C$2:$C$1048576,0),MATCH(R$6,'Restaurant Base (Hidden)'!$A$1:$Z$1,0)),"")</f>
        <v>5</v>
      </c>
      <c r="S151" s="2" t="str">
        <f>+IFERROR(INDEX('Restaurant Base (Hidden)'!$A$2:$Z$1048576,MATCH($C151,'Restaurant Base (Hidden)'!$C$2:$C$1048576,0),MATCH(S$6,'Restaurant Base (Hidden)'!$A$1:$Z$1,0)),"")</f>
        <v/>
      </c>
      <c r="T151" s="62">
        <f>+IFERROR(INDEX('Restaurant Base (Hidden)'!$A$2:$Z$1048576,MATCH($C151,'Restaurant Base (Hidden)'!$C$2:$C$1048576,0),MATCH(T$6,'Restaurant Base (Hidden)'!$A$1:$Z$1,0)),"")</f>
        <v>58.4</v>
      </c>
      <c r="U151" s="1">
        <f>+IFERROR(INDEX('Restaurant Base (Hidden)'!$A$2:$Z$1048576,MATCH($C151,'Restaurant Base (Hidden)'!$C$2:$C$1048576,0),MATCH(U$6,'Restaurant Base (Hidden)'!$A$1:$Z$1,0)),"")</f>
        <v>2</v>
      </c>
      <c r="V151" s="2" t="str">
        <f>+IFERROR(INDEX('Restaurant Base (Hidden)'!$A$2:$Z$1048576,MATCH($C151,'Restaurant Base (Hidden)'!$C$2:$C$1048576,0),MATCH(V$6,'Restaurant Base (Hidden)'!$A$1:$Z$1,0)),"")</f>
        <v/>
      </c>
      <c r="W151" s="65" t="str">
        <f>+IFERROR(INDEX('Restaurant Base (Hidden)'!$A$2:$Z$1048576,MATCH($C151,'Restaurant Base (Hidden)'!$C$2:$C$1048576,0),MATCH(W$6,'Restaurant Base (Hidden)'!$A$1:$Z$1,0)),"")</f>
        <v>95,50 %</v>
      </c>
      <c r="X151" s="1">
        <f>+IFERROR(INDEX('Restaurant Base (Hidden)'!$A$2:$Z$1048576,MATCH($C151,'Restaurant Base (Hidden)'!$C$2:$C$1048576,0),MATCH(X$6,'Restaurant Base (Hidden)'!$A$1:$Z$1,0)),"")</f>
        <v>4</v>
      </c>
      <c r="Y151" s="65" t="str">
        <f>+IFERROR(INDEX('Restaurant Base (Hidden)'!$A$2:$Z$1048576,MATCH($C151,'Restaurant Base (Hidden)'!$C$2:$C$1048576,0),MATCH(Y$6,'Restaurant Base (Hidden)'!$A$1:$Z$1,0)),"")</f>
        <v>83,00 %</v>
      </c>
      <c r="Z151" s="106">
        <f>+IFERROR(INDEX('Restaurant Base (Hidden)'!$A$2:$Z$1048576,MATCH($C151,'Restaurant Base (Hidden)'!$C$2:$C$1048576,0),MATCH(Z$6,'Restaurant Base (Hidden)'!$A$1:$Z$1,0)),"")</f>
        <v>3</v>
      </c>
      <c r="AA151" s="65" t="str">
        <f>+IFERROR(INDEX('Restaurant Base (Hidden)'!$A$2:$Z$1048576,MATCH($C151,'Restaurant Base (Hidden)'!$C$2:$C$1048576,0),MATCH(AA$6,'Restaurant Base (Hidden)'!$A$1:$Z$1,0)),"")</f>
        <v>98,30 %</v>
      </c>
      <c r="AB151" s="1">
        <f>+IFERROR(INDEX('Restaurant Base (Hidden)'!$A$2:$Z$1048576,MATCH($C151,'Restaurant Base (Hidden)'!$C$2:$C$1048576,0),MATCH(AB$6,'Restaurant Base (Hidden)'!$A$1:$Z$1,0)),"")</f>
        <v>4</v>
      </c>
      <c r="AC151" s="20" t="str">
        <f>+IFERROR(INDEX('Restaurant Base (Hidden)'!$A$2:$Z$1048576,MATCH($C151,'Restaurant Base (Hidden)'!$C$2:$C$1048576,0),MATCH(AC$6,'Restaurant Base (Hidden)'!$A$1:$Z$1,0)),"")</f>
        <v/>
      </c>
      <c r="AD151" s="65" t="str">
        <f>+IFERROR(INDEX('Restaurant Base (Hidden)'!$A$2:$Z$1048576,MATCH($C151,'Restaurant Base (Hidden)'!$C$2:$C$1048576,0),MATCH(AD$6,'Restaurant Base (Hidden)'!$A$1:$Z$1,0)),"")</f>
        <v>71,80 %</v>
      </c>
      <c r="AE151" s="1">
        <f>+IFERROR(INDEX('Restaurant Base (Hidden)'!$A$2:$Z$1048576,MATCH($C151,'Restaurant Base (Hidden)'!$C$2:$C$1048576,0),MATCH(AE$6,'Restaurant Base (Hidden)'!$A$1:$Z$1,0)),"")</f>
        <v>1</v>
      </c>
      <c r="AF151" s="65" t="str">
        <f>+IFERROR(INDEX('Restaurant Base (Hidden)'!$A$2:$Z$1048576,MATCH($C151,'Restaurant Base (Hidden)'!$C$2:$C$1048576,0),MATCH(AF$6,'Restaurant Base (Hidden)'!$A$1:$Z$1,0)),"")</f>
        <v>94,30 %</v>
      </c>
      <c r="AG151" s="1">
        <f>+IFERROR(INDEX('Restaurant Base (Hidden)'!$A$2:$Z$1048576,MATCH($C151,'Restaurant Base (Hidden)'!$C$2:$C$1048576,0),MATCH(AG$6,'Restaurant Base (Hidden)'!$A$1:$Z$1,0)),"")</f>
        <v>4</v>
      </c>
    </row>
    <row r="152" spans="1:33" x14ac:dyDescent="0.4">
      <c r="A152" s="163" t="str">
        <f>IF('Restaurant Base (Hidden)'!A320=0,"", 'Restaurant Base (Hidden)'!A320)</f>
        <v>Tatum Westmere</v>
      </c>
      <c r="B152" s="163" t="str">
        <f>IF('Restaurant Base (Hidden)'!B320=0,"", 'Restaurant Base (Hidden)'!B320)</f>
        <v>Elmwood Dining Group</v>
      </c>
      <c r="C152" s="163" t="str">
        <f>IF('Restaurant Base (Hidden)'!C320=0,"", 'Restaurant Base (Hidden)'!C320)</f>
        <v>Brightmoor Bridge</v>
      </c>
      <c r="D152" s="104">
        <f t="shared" si="2"/>
        <v>145</v>
      </c>
      <c r="E152" s="105">
        <f>+IFERROR(INDEX('Restaurant Base (Hidden)'!$A$2:$Z$1048576,MATCH($C152,'Restaurant Base (Hidden)'!$C$2:$C$1048576,0),MATCH(E$6,'Restaurant Base (Hidden)'!$A$1:$Z$1,0)),"")</f>
        <v>3.18</v>
      </c>
      <c r="F152" s="2" t="str">
        <f>+IFERROR(INDEX('Restaurant Base (Hidden)'!$A$2:$Z$1048576,MATCH($C152,'Restaurant Base (Hidden)'!$C$2:$C$1048576,0),MATCH(F$6,'Restaurant Base (Hidden)'!$A$1:$Z$1,0)),"")</f>
        <v/>
      </c>
      <c r="G152" s="20" t="str">
        <f>+IFERROR(INDEX('Restaurant Base (Hidden)'!$A$2:$Z$1048576,MATCH($C152,'Restaurant Base (Hidden)'!$C$2:$C$1048576,0),MATCH(G$6,'Restaurant Base (Hidden)'!$A$1:$Z$1,0)),"")</f>
        <v>4,407</v>
      </c>
      <c r="H152" s="50">
        <f>+IFERROR(INDEX('Restaurant Base (Hidden)'!$A$2:$Z$1048576,MATCH($C152,'Restaurant Base (Hidden)'!$C$2:$C$1048576,0),MATCH(H$6,'Restaurant Base (Hidden)'!$A$1:$Z$1,0)),"")</f>
        <v>4</v>
      </c>
      <c r="I152" s="20" t="str">
        <f>+IFERROR(INDEX('Restaurant Base (Hidden)'!$A$2:$Z$1048576,MATCH($C152,'Restaurant Base (Hidden)'!$C$2:$C$1048576,0),MATCH(I$6,'Restaurant Base (Hidden)'!$A$1:$Z$1,0)),"")</f>
        <v>63,10 %</v>
      </c>
      <c r="J152" s="49">
        <f>+IFERROR(INDEX('Restaurant Base (Hidden)'!$A$2:$Z$1048576,MATCH($C152,'Restaurant Base (Hidden)'!$C$2:$C$1048576,0),MATCH(J$6,'Restaurant Base (Hidden)'!$A$1:$Z$1,0)),"")</f>
        <v>1</v>
      </c>
      <c r="K152" s="20" t="str">
        <f>+IFERROR(INDEX('Restaurant Base (Hidden)'!$A$2:$Z$1048576,MATCH($C152,'Restaurant Base (Hidden)'!$C$2:$C$1048576,0),MATCH(K$6,'Restaurant Base (Hidden)'!$A$1:$Z$1,0)),"")</f>
        <v>0,039</v>
      </c>
      <c r="L152" s="51">
        <f>+IFERROR(INDEX('Restaurant Base (Hidden)'!$A$2:$Z$1048576,MATCH($C152,'Restaurant Base (Hidden)'!$C$2:$C$1048576,0),MATCH(L$6,'Restaurant Base (Hidden)'!$A$1:$Z$1,0)),"")</f>
        <v>5</v>
      </c>
      <c r="M152" s="2" t="str">
        <f>+IFERROR(INDEX('Restaurant Base (Hidden)'!$A$2:$Z$1048576,MATCH($C152,'Restaurant Base (Hidden)'!$C$2:$C$1048576,0),MATCH(M$6,'Restaurant Base (Hidden)'!$A$1:$Z$1,0)),"")</f>
        <v/>
      </c>
      <c r="N152" s="234" t="str">
        <f>+IFERROR(INDEX('Restaurant Base (Hidden)'!$A$2:$Z$1048576,MATCH($C152,'Restaurant Base (Hidden)'!$C$2:$C$1048576,0),MATCH(N$6,'Restaurant Base (Hidden)'!$A$1:$Z$1,0)),"")</f>
        <v>65,30 %</v>
      </c>
      <c r="O152" s="1">
        <f>+IFERROR(INDEX('Restaurant Base (Hidden)'!$A$2:$Z$1048576,MATCH($C152,'Restaurant Base (Hidden)'!$C$2:$C$1048576,0),MATCH(O$6,'Restaurant Base (Hidden)'!$A$1:$Z$1,0)),"")</f>
        <v>3</v>
      </c>
      <c r="P152" s="2" t="str">
        <f>+IFERROR(INDEX('Restaurant Base (Hidden)'!$A$2:$Z$1048576,MATCH($C152,'Restaurant Base (Hidden)'!$C$2:$C$1048576,0),MATCH(P$6,'Restaurant Base (Hidden)'!$A$1:$Z$1,0)),"")</f>
        <v/>
      </c>
      <c r="Q152" s="234" t="str">
        <f>+IFERROR(INDEX('Restaurant Base (Hidden)'!$A$2:$Z$1048576,MATCH($C152,'Restaurant Base (Hidden)'!$C$2:$C$1048576,0),MATCH(Q$6,'Restaurant Base (Hidden)'!$A$1:$Z$1,0)),"")</f>
        <v>91,50 %</v>
      </c>
      <c r="R152" s="1">
        <f>+IFERROR(INDEX('Restaurant Base (Hidden)'!$A$2:$Z$1048576,MATCH($C152,'Restaurant Base (Hidden)'!$C$2:$C$1048576,0),MATCH(R$6,'Restaurant Base (Hidden)'!$A$1:$Z$1,0)),"")</f>
        <v>5</v>
      </c>
      <c r="S152" s="2" t="str">
        <f>+IFERROR(INDEX('Restaurant Base (Hidden)'!$A$2:$Z$1048576,MATCH($C152,'Restaurant Base (Hidden)'!$C$2:$C$1048576,0),MATCH(S$6,'Restaurant Base (Hidden)'!$A$1:$Z$1,0)),"")</f>
        <v/>
      </c>
      <c r="T152" s="62">
        <f>+IFERROR(INDEX('Restaurant Base (Hidden)'!$A$2:$Z$1048576,MATCH($C152,'Restaurant Base (Hidden)'!$C$2:$C$1048576,0),MATCH(T$6,'Restaurant Base (Hidden)'!$A$1:$Z$1,0)),"")</f>
        <v>72.900000000000006</v>
      </c>
      <c r="U152" s="1">
        <f>+IFERROR(INDEX('Restaurant Base (Hidden)'!$A$2:$Z$1048576,MATCH($C152,'Restaurant Base (Hidden)'!$C$2:$C$1048576,0),MATCH(U$6,'Restaurant Base (Hidden)'!$A$1:$Z$1,0)),"")</f>
        <v>5</v>
      </c>
      <c r="V152" s="2" t="str">
        <f>+IFERROR(INDEX('Restaurant Base (Hidden)'!$A$2:$Z$1048576,MATCH($C152,'Restaurant Base (Hidden)'!$C$2:$C$1048576,0),MATCH(V$6,'Restaurant Base (Hidden)'!$A$1:$Z$1,0)),"")</f>
        <v/>
      </c>
      <c r="W152" s="65" t="str">
        <f>+IFERROR(INDEX('Restaurant Base (Hidden)'!$A$2:$Z$1048576,MATCH($C152,'Restaurant Base (Hidden)'!$C$2:$C$1048576,0),MATCH(W$6,'Restaurant Base (Hidden)'!$A$1:$Z$1,0)),"")</f>
        <v>63,80 %</v>
      </c>
      <c r="X152" s="1">
        <f>+IFERROR(INDEX('Restaurant Base (Hidden)'!$A$2:$Z$1048576,MATCH($C152,'Restaurant Base (Hidden)'!$C$2:$C$1048576,0),MATCH(X$6,'Restaurant Base (Hidden)'!$A$1:$Z$1,0)),"")</f>
        <v>2</v>
      </c>
      <c r="Y152" s="65" t="str">
        <f>+IFERROR(INDEX('Restaurant Base (Hidden)'!$A$2:$Z$1048576,MATCH($C152,'Restaurant Base (Hidden)'!$C$2:$C$1048576,0),MATCH(Y$6,'Restaurant Base (Hidden)'!$A$1:$Z$1,0)),"")</f>
        <v>74,40 %</v>
      </c>
      <c r="Z152" s="106">
        <f>+IFERROR(INDEX('Restaurant Base (Hidden)'!$A$2:$Z$1048576,MATCH($C152,'Restaurant Base (Hidden)'!$C$2:$C$1048576,0),MATCH(Z$6,'Restaurant Base (Hidden)'!$A$1:$Z$1,0)),"")</f>
        <v>2</v>
      </c>
      <c r="AA152" s="65" t="str">
        <f>+IFERROR(INDEX('Restaurant Base (Hidden)'!$A$2:$Z$1048576,MATCH($C152,'Restaurant Base (Hidden)'!$C$2:$C$1048576,0),MATCH(AA$6,'Restaurant Base (Hidden)'!$A$1:$Z$1,0)),"")</f>
        <v>88,40 %</v>
      </c>
      <c r="AB152" s="1">
        <f>+IFERROR(INDEX('Restaurant Base (Hidden)'!$A$2:$Z$1048576,MATCH($C152,'Restaurant Base (Hidden)'!$C$2:$C$1048576,0),MATCH(AB$6,'Restaurant Base (Hidden)'!$A$1:$Z$1,0)),"")</f>
        <v>3</v>
      </c>
      <c r="AC152" s="20" t="str">
        <f>+IFERROR(INDEX('Restaurant Base (Hidden)'!$A$2:$Z$1048576,MATCH($C152,'Restaurant Base (Hidden)'!$C$2:$C$1048576,0),MATCH(AC$6,'Restaurant Base (Hidden)'!$A$1:$Z$1,0)),"")</f>
        <v/>
      </c>
      <c r="AD152" s="65" t="str">
        <f>+IFERROR(INDEX('Restaurant Base (Hidden)'!$A$2:$Z$1048576,MATCH($C152,'Restaurant Base (Hidden)'!$C$2:$C$1048576,0),MATCH(AD$6,'Restaurant Base (Hidden)'!$A$1:$Z$1,0)),"")</f>
        <v>55,70 %</v>
      </c>
      <c r="AE152" s="1">
        <f>+IFERROR(INDEX('Restaurant Base (Hidden)'!$A$2:$Z$1048576,MATCH($C152,'Restaurant Base (Hidden)'!$C$2:$C$1048576,0),MATCH(AE$6,'Restaurant Base (Hidden)'!$A$1:$Z$1,0)),"")</f>
        <v>1</v>
      </c>
      <c r="AF152" s="65" t="str">
        <f>+IFERROR(INDEX('Restaurant Base (Hidden)'!$A$2:$Z$1048576,MATCH($C152,'Restaurant Base (Hidden)'!$C$2:$C$1048576,0),MATCH(AF$6,'Restaurant Base (Hidden)'!$A$1:$Z$1,0)),"")</f>
        <v>87,70 %</v>
      </c>
      <c r="AG152" s="1">
        <f>+IFERROR(INDEX('Restaurant Base (Hidden)'!$A$2:$Z$1048576,MATCH($C152,'Restaurant Base (Hidden)'!$C$2:$C$1048576,0),MATCH(AG$6,'Restaurant Base (Hidden)'!$A$1:$Z$1,0)),"")</f>
        <v>3</v>
      </c>
    </row>
    <row r="153" spans="1:33" x14ac:dyDescent="0.4">
      <c r="A153" s="163" t="str">
        <f>IF('Restaurant Base (Hidden)'!A113=0,"", 'Restaurant Base (Hidden)'!A113)</f>
        <v>Dakota Cavendish</v>
      </c>
      <c r="B153" s="163" t="str">
        <f>IF('Restaurant Base (Hidden)'!B113=0,"", 'Restaurant Base (Hidden)'!B113)</f>
        <v>Brightstone Food Group</v>
      </c>
      <c r="C153" s="163" t="str">
        <f>IF('Restaurant Base (Hidden)'!C113=0,"", 'Restaurant Base (Hidden)'!C113)</f>
        <v>Westmere Fields</v>
      </c>
      <c r="D153" s="104">
        <f t="shared" si="2"/>
        <v>147</v>
      </c>
      <c r="E153" s="105">
        <f>+IFERROR(INDEX('Restaurant Base (Hidden)'!$A$2:$Z$1048576,MATCH($C153,'Restaurant Base (Hidden)'!$C$2:$C$1048576,0),MATCH(E$6,'Restaurant Base (Hidden)'!$A$1:$Z$1,0)),"")</f>
        <v>3.17</v>
      </c>
      <c r="F153" s="2" t="str">
        <f>+IFERROR(INDEX('Restaurant Base (Hidden)'!$A$2:$Z$1048576,MATCH($C153,'Restaurant Base (Hidden)'!$C$2:$C$1048576,0),MATCH(F$6,'Restaurant Base (Hidden)'!$A$1:$Z$1,0)),"")</f>
        <v/>
      </c>
      <c r="G153" s="20" t="str">
        <f>+IFERROR(INDEX('Restaurant Base (Hidden)'!$A$2:$Z$1048576,MATCH($C153,'Restaurant Base (Hidden)'!$C$2:$C$1048576,0),MATCH(G$6,'Restaurant Base (Hidden)'!$A$1:$Z$1,0)),"")</f>
        <v>4,066</v>
      </c>
      <c r="H153" s="50">
        <f>+IFERROR(INDEX('Restaurant Base (Hidden)'!$A$2:$Z$1048576,MATCH($C153,'Restaurant Base (Hidden)'!$C$2:$C$1048576,0),MATCH(H$6,'Restaurant Base (Hidden)'!$A$1:$Z$1,0)),"")</f>
        <v>2</v>
      </c>
      <c r="I153" s="20" t="str">
        <f>+IFERROR(INDEX('Restaurant Base (Hidden)'!$A$2:$Z$1048576,MATCH($C153,'Restaurant Base (Hidden)'!$C$2:$C$1048576,0),MATCH(I$6,'Restaurant Base (Hidden)'!$A$1:$Z$1,0)),"")</f>
        <v>96,00 %</v>
      </c>
      <c r="J153" s="49">
        <f>+IFERROR(INDEX('Restaurant Base (Hidden)'!$A$2:$Z$1048576,MATCH($C153,'Restaurant Base (Hidden)'!$C$2:$C$1048576,0),MATCH(J$6,'Restaurant Base (Hidden)'!$A$1:$Z$1,0)),"")</f>
        <v>5</v>
      </c>
      <c r="K153" s="20" t="str">
        <f>+IFERROR(INDEX('Restaurant Base (Hidden)'!$A$2:$Z$1048576,MATCH($C153,'Restaurant Base (Hidden)'!$C$2:$C$1048576,0),MATCH(K$6,'Restaurant Base (Hidden)'!$A$1:$Z$1,0)),"")</f>
        <v>0,189</v>
      </c>
      <c r="L153" s="51">
        <f>+IFERROR(INDEX('Restaurant Base (Hidden)'!$A$2:$Z$1048576,MATCH($C153,'Restaurant Base (Hidden)'!$C$2:$C$1048576,0),MATCH(L$6,'Restaurant Base (Hidden)'!$A$1:$Z$1,0)),"")</f>
        <v>1</v>
      </c>
      <c r="M153" s="2" t="str">
        <f>+IFERROR(INDEX('Restaurant Base (Hidden)'!$A$2:$Z$1048576,MATCH($C153,'Restaurant Base (Hidden)'!$C$2:$C$1048576,0),MATCH(M$6,'Restaurant Base (Hidden)'!$A$1:$Z$1,0)),"")</f>
        <v/>
      </c>
      <c r="N153" s="234" t="str">
        <f>+IFERROR(INDEX('Restaurant Base (Hidden)'!$A$2:$Z$1048576,MATCH($C153,'Restaurant Base (Hidden)'!$C$2:$C$1048576,0),MATCH(N$6,'Restaurant Base (Hidden)'!$A$1:$Z$1,0)),"")</f>
        <v>62,20 %</v>
      </c>
      <c r="O153" s="1">
        <f>+IFERROR(INDEX('Restaurant Base (Hidden)'!$A$2:$Z$1048576,MATCH($C153,'Restaurant Base (Hidden)'!$C$2:$C$1048576,0),MATCH(O$6,'Restaurant Base (Hidden)'!$A$1:$Z$1,0)),"")</f>
        <v>2</v>
      </c>
      <c r="P153" s="2" t="str">
        <f>+IFERROR(INDEX('Restaurant Base (Hidden)'!$A$2:$Z$1048576,MATCH($C153,'Restaurant Base (Hidden)'!$C$2:$C$1048576,0),MATCH(P$6,'Restaurant Base (Hidden)'!$A$1:$Z$1,0)),"")</f>
        <v/>
      </c>
      <c r="Q153" s="234" t="str">
        <f>+IFERROR(INDEX('Restaurant Base (Hidden)'!$A$2:$Z$1048576,MATCH($C153,'Restaurant Base (Hidden)'!$C$2:$C$1048576,0),MATCH(Q$6,'Restaurant Base (Hidden)'!$A$1:$Z$1,0)),"")</f>
        <v>78,00 %</v>
      </c>
      <c r="R153" s="1">
        <f>+IFERROR(INDEX('Restaurant Base (Hidden)'!$A$2:$Z$1048576,MATCH($C153,'Restaurant Base (Hidden)'!$C$2:$C$1048576,0),MATCH(R$6,'Restaurant Base (Hidden)'!$A$1:$Z$1,0)),"")</f>
        <v>5</v>
      </c>
      <c r="S153" s="2" t="str">
        <f>+IFERROR(INDEX('Restaurant Base (Hidden)'!$A$2:$Z$1048576,MATCH($C153,'Restaurant Base (Hidden)'!$C$2:$C$1048576,0),MATCH(S$6,'Restaurant Base (Hidden)'!$A$1:$Z$1,0)),"")</f>
        <v/>
      </c>
      <c r="T153" s="62">
        <f>+IFERROR(INDEX('Restaurant Base (Hidden)'!$A$2:$Z$1048576,MATCH($C153,'Restaurant Base (Hidden)'!$C$2:$C$1048576,0),MATCH(T$6,'Restaurant Base (Hidden)'!$A$1:$Z$1,0)),"")</f>
        <v>65.7</v>
      </c>
      <c r="U153" s="1">
        <f>+IFERROR(INDEX('Restaurant Base (Hidden)'!$A$2:$Z$1048576,MATCH($C153,'Restaurant Base (Hidden)'!$C$2:$C$1048576,0),MATCH(U$6,'Restaurant Base (Hidden)'!$A$1:$Z$1,0)),"")</f>
        <v>4</v>
      </c>
      <c r="V153" s="2" t="str">
        <f>+IFERROR(INDEX('Restaurant Base (Hidden)'!$A$2:$Z$1048576,MATCH($C153,'Restaurant Base (Hidden)'!$C$2:$C$1048576,0),MATCH(V$6,'Restaurant Base (Hidden)'!$A$1:$Z$1,0)),"")</f>
        <v/>
      </c>
      <c r="W153" s="65" t="str">
        <f>+IFERROR(INDEX('Restaurant Base (Hidden)'!$A$2:$Z$1048576,MATCH($C153,'Restaurant Base (Hidden)'!$C$2:$C$1048576,0),MATCH(W$6,'Restaurant Base (Hidden)'!$A$1:$Z$1,0)),"")</f>
        <v>93,70 %</v>
      </c>
      <c r="X153" s="1">
        <f>+IFERROR(INDEX('Restaurant Base (Hidden)'!$A$2:$Z$1048576,MATCH($C153,'Restaurant Base (Hidden)'!$C$2:$C$1048576,0),MATCH(X$6,'Restaurant Base (Hidden)'!$A$1:$Z$1,0)),"")</f>
        <v>4</v>
      </c>
      <c r="Y153" s="65" t="str">
        <f>+IFERROR(INDEX('Restaurant Base (Hidden)'!$A$2:$Z$1048576,MATCH($C153,'Restaurant Base (Hidden)'!$C$2:$C$1048576,0),MATCH(Y$6,'Restaurant Base (Hidden)'!$A$1:$Z$1,0)),"")</f>
        <v>60,20 %</v>
      </c>
      <c r="Z153" s="106">
        <f>+IFERROR(INDEX('Restaurant Base (Hidden)'!$A$2:$Z$1048576,MATCH($C153,'Restaurant Base (Hidden)'!$C$2:$C$1048576,0),MATCH(Z$6,'Restaurant Base (Hidden)'!$A$1:$Z$1,0)),"")</f>
        <v>2</v>
      </c>
      <c r="AA153" s="65" t="str">
        <f>+IFERROR(INDEX('Restaurant Base (Hidden)'!$A$2:$Z$1048576,MATCH($C153,'Restaurant Base (Hidden)'!$C$2:$C$1048576,0),MATCH(AA$6,'Restaurant Base (Hidden)'!$A$1:$Z$1,0)),"")</f>
        <v>59,20 %</v>
      </c>
      <c r="AB153" s="1">
        <f>+IFERROR(INDEX('Restaurant Base (Hidden)'!$A$2:$Z$1048576,MATCH($C153,'Restaurant Base (Hidden)'!$C$2:$C$1048576,0),MATCH(AB$6,'Restaurant Base (Hidden)'!$A$1:$Z$1,0)),"")</f>
        <v>1</v>
      </c>
      <c r="AC153" s="20" t="str">
        <f>+IFERROR(INDEX('Restaurant Base (Hidden)'!$A$2:$Z$1048576,MATCH($C153,'Restaurant Base (Hidden)'!$C$2:$C$1048576,0),MATCH(AC$6,'Restaurant Base (Hidden)'!$A$1:$Z$1,0)),"")</f>
        <v/>
      </c>
      <c r="AD153" s="65" t="str">
        <f>+IFERROR(INDEX('Restaurant Base (Hidden)'!$A$2:$Z$1048576,MATCH($C153,'Restaurant Base (Hidden)'!$C$2:$C$1048576,0),MATCH(AD$6,'Restaurant Base (Hidden)'!$A$1:$Z$1,0)),"")</f>
        <v>82,70 %</v>
      </c>
      <c r="AE153" s="1">
        <f>+IFERROR(INDEX('Restaurant Base (Hidden)'!$A$2:$Z$1048576,MATCH($C153,'Restaurant Base (Hidden)'!$C$2:$C$1048576,0),MATCH(AE$6,'Restaurant Base (Hidden)'!$A$1:$Z$1,0)),"")</f>
        <v>3</v>
      </c>
      <c r="AF153" s="65" t="str">
        <f>+IFERROR(INDEX('Restaurant Base (Hidden)'!$A$2:$Z$1048576,MATCH($C153,'Restaurant Base (Hidden)'!$C$2:$C$1048576,0),MATCH(AF$6,'Restaurant Base (Hidden)'!$A$1:$Z$1,0)),"")</f>
        <v>91,30 %</v>
      </c>
      <c r="AG153" s="1">
        <f>+IFERROR(INDEX('Restaurant Base (Hidden)'!$A$2:$Z$1048576,MATCH($C153,'Restaurant Base (Hidden)'!$C$2:$C$1048576,0),MATCH(AG$6,'Restaurant Base (Hidden)'!$A$1:$Z$1,0)),"")</f>
        <v>3</v>
      </c>
    </row>
    <row r="154" spans="1:33" x14ac:dyDescent="0.4">
      <c r="A154" s="163" t="str">
        <f>IF('Restaurant Base (Hidden)'!A359=0,"", 'Restaurant Base (Hidden)'!A359)</f>
        <v>Jamie Northcott</v>
      </c>
      <c r="B154" s="163" t="str">
        <f>IF('Restaurant Base (Hidden)'!B359=0,"", 'Restaurant Base (Hidden)'!B359)</f>
        <v>Pinecrest Hospitality</v>
      </c>
      <c r="C154" s="163" t="str">
        <f>IF('Restaurant Base (Hidden)'!C359=0,"", 'Restaurant Base (Hidden)'!C359)</f>
        <v>Ash View</v>
      </c>
      <c r="D154" s="104">
        <f t="shared" si="2"/>
        <v>147</v>
      </c>
      <c r="E154" s="105">
        <f>+IFERROR(INDEX('Restaurant Base (Hidden)'!$A$2:$Z$1048576,MATCH($C154,'Restaurant Base (Hidden)'!$C$2:$C$1048576,0),MATCH(E$6,'Restaurant Base (Hidden)'!$A$1:$Z$1,0)),"")</f>
        <v>3.17</v>
      </c>
      <c r="F154" s="2" t="str">
        <f>+IFERROR(INDEX('Restaurant Base (Hidden)'!$A$2:$Z$1048576,MATCH($C154,'Restaurant Base (Hidden)'!$C$2:$C$1048576,0),MATCH(F$6,'Restaurant Base (Hidden)'!$A$1:$Z$1,0)),"")</f>
        <v/>
      </c>
      <c r="G154" s="20" t="str">
        <f>+IFERROR(INDEX('Restaurant Base (Hidden)'!$A$2:$Z$1048576,MATCH($C154,'Restaurant Base (Hidden)'!$C$2:$C$1048576,0),MATCH(G$6,'Restaurant Base (Hidden)'!$A$1:$Z$1,0)),"")</f>
        <v>4,650</v>
      </c>
      <c r="H154" s="50">
        <f>+IFERROR(INDEX('Restaurant Base (Hidden)'!$A$2:$Z$1048576,MATCH($C154,'Restaurant Base (Hidden)'!$C$2:$C$1048576,0),MATCH(H$6,'Restaurant Base (Hidden)'!$A$1:$Z$1,0)),"")</f>
        <v>5</v>
      </c>
      <c r="I154" s="20" t="str">
        <f>+IFERROR(INDEX('Restaurant Base (Hidden)'!$A$2:$Z$1048576,MATCH($C154,'Restaurant Base (Hidden)'!$C$2:$C$1048576,0),MATCH(I$6,'Restaurant Base (Hidden)'!$A$1:$Z$1,0)),"")</f>
        <v>73,60 %</v>
      </c>
      <c r="J154" s="49">
        <f>+IFERROR(INDEX('Restaurant Base (Hidden)'!$A$2:$Z$1048576,MATCH($C154,'Restaurant Base (Hidden)'!$C$2:$C$1048576,0),MATCH(J$6,'Restaurant Base (Hidden)'!$A$1:$Z$1,0)),"")</f>
        <v>1</v>
      </c>
      <c r="K154" s="20" t="str">
        <f>+IFERROR(INDEX('Restaurant Base (Hidden)'!$A$2:$Z$1048576,MATCH($C154,'Restaurant Base (Hidden)'!$C$2:$C$1048576,0),MATCH(K$6,'Restaurant Base (Hidden)'!$A$1:$Z$1,0)),"")</f>
        <v>0,043</v>
      </c>
      <c r="L154" s="51">
        <f>+IFERROR(INDEX('Restaurant Base (Hidden)'!$A$2:$Z$1048576,MATCH($C154,'Restaurant Base (Hidden)'!$C$2:$C$1048576,0),MATCH(L$6,'Restaurant Base (Hidden)'!$A$1:$Z$1,0)),"")</f>
        <v>5</v>
      </c>
      <c r="M154" s="2" t="str">
        <f>+IFERROR(INDEX('Restaurant Base (Hidden)'!$A$2:$Z$1048576,MATCH($C154,'Restaurant Base (Hidden)'!$C$2:$C$1048576,0),MATCH(M$6,'Restaurant Base (Hidden)'!$A$1:$Z$1,0)),"")</f>
        <v/>
      </c>
      <c r="N154" s="234" t="str">
        <f>+IFERROR(INDEX('Restaurant Base (Hidden)'!$A$2:$Z$1048576,MATCH($C154,'Restaurant Base (Hidden)'!$C$2:$C$1048576,0),MATCH(N$6,'Restaurant Base (Hidden)'!$A$1:$Z$1,0)),"")</f>
        <v>67,30 %</v>
      </c>
      <c r="O154" s="1">
        <f>+IFERROR(INDEX('Restaurant Base (Hidden)'!$A$2:$Z$1048576,MATCH($C154,'Restaurant Base (Hidden)'!$C$2:$C$1048576,0),MATCH(O$6,'Restaurant Base (Hidden)'!$A$1:$Z$1,0)),"")</f>
        <v>3</v>
      </c>
      <c r="P154" s="2" t="str">
        <f>+IFERROR(INDEX('Restaurant Base (Hidden)'!$A$2:$Z$1048576,MATCH($C154,'Restaurant Base (Hidden)'!$C$2:$C$1048576,0),MATCH(P$6,'Restaurant Base (Hidden)'!$A$1:$Z$1,0)),"")</f>
        <v/>
      </c>
      <c r="Q154" s="234" t="str">
        <f>+IFERROR(INDEX('Restaurant Base (Hidden)'!$A$2:$Z$1048576,MATCH($C154,'Restaurant Base (Hidden)'!$C$2:$C$1048576,0),MATCH(Q$6,'Restaurant Base (Hidden)'!$A$1:$Z$1,0)),"")</f>
        <v>83,00 %</v>
      </c>
      <c r="R154" s="1">
        <f>+IFERROR(INDEX('Restaurant Base (Hidden)'!$A$2:$Z$1048576,MATCH($C154,'Restaurant Base (Hidden)'!$C$2:$C$1048576,0),MATCH(R$6,'Restaurant Base (Hidden)'!$A$1:$Z$1,0)),"")</f>
        <v>5</v>
      </c>
      <c r="S154" s="2" t="str">
        <f>+IFERROR(INDEX('Restaurant Base (Hidden)'!$A$2:$Z$1048576,MATCH($C154,'Restaurant Base (Hidden)'!$C$2:$C$1048576,0),MATCH(S$6,'Restaurant Base (Hidden)'!$A$1:$Z$1,0)),"")</f>
        <v/>
      </c>
      <c r="T154" s="62">
        <f>+IFERROR(INDEX('Restaurant Base (Hidden)'!$A$2:$Z$1048576,MATCH($C154,'Restaurant Base (Hidden)'!$C$2:$C$1048576,0),MATCH(T$6,'Restaurant Base (Hidden)'!$A$1:$Z$1,0)),"")</f>
        <v>64.5</v>
      </c>
      <c r="U154" s="1">
        <f>+IFERROR(INDEX('Restaurant Base (Hidden)'!$A$2:$Z$1048576,MATCH($C154,'Restaurant Base (Hidden)'!$C$2:$C$1048576,0),MATCH(U$6,'Restaurant Base (Hidden)'!$A$1:$Z$1,0)),"")</f>
        <v>4</v>
      </c>
      <c r="V154" s="2" t="str">
        <f>+IFERROR(INDEX('Restaurant Base (Hidden)'!$A$2:$Z$1048576,MATCH($C154,'Restaurant Base (Hidden)'!$C$2:$C$1048576,0),MATCH(V$6,'Restaurant Base (Hidden)'!$A$1:$Z$1,0)),"")</f>
        <v/>
      </c>
      <c r="W154" s="65" t="str">
        <f>+IFERROR(INDEX('Restaurant Base (Hidden)'!$A$2:$Z$1048576,MATCH($C154,'Restaurant Base (Hidden)'!$C$2:$C$1048576,0),MATCH(W$6,'Restaurant Base (Hidden)'!$A$1:$Z$1,0)),"")</f>
        <v>56,30 %</v>
      </c>
      <c r="X154" s="1">
        <f>+IFERROR(INDEX('Restaurant Base (Hidden)'!$A$2:$Z$1048576,MATCH($C154,'Restaurant Base (Hidden)'!$C$2:$C$1048576,0),MATCH(X$6,'Restaurant Base (Hidden)'!$A$1:$Z$1,0)),"")</f>
        <v>1</v>
      </c>
      <c r="Y154" s="65" t="str">
        <f>+IFERROR(INDEX('Restaurant Base (Hidden)'!$A$2:$Z$1048576,MATCH($C154,'Restaurant Base (Hidden)'!$C$2:$C$1048576,0),MATCH(Y$6,'Restaurant Base (Hidden)'!$A$1:$Z$1,0)),"")</f>
        <v>68,10 %</v>
      </c>
      <c r="Z154" s="106">
        <f>+IFERROR(INDEX('Restaurant Base (Hidden)'!$A$2:$Z$1048576,MATCH($C154,'Restaurant Base (Hidden)'!$C$2:$C$1048576,0),MATCH(Z$6,'Restaurant Base (Hidden)'!$A$1:$Z$1,0)),"")</f>
        <v>2</v>
      </c>
      <c r="AA154" s="65" t="str">
        <f>+IFERROR(INDEX('Restaurant Base (Hidden)'!$A$2:$Z$1048576,MATCH($C154,'Restaurant Base (Hidden)'!$C$2:$C$1048576,0),MATCH(AA$6,'Restaurant Base (Hidden)'!$A$1:$Z$1,0)),"")</f>
        <v>93,80 %</v>
      </c>
      <c r="AB154" s="1">
        <f>+IFERROR(INDEX('Restaurant Base (Hidden)'!$A$2:$Z$1048576,MATCH($C154,'Restaurant Base (Hidden)'!$C$2:$C$1048576,0),MATCH(AB$6,'Restaurant Base (Hidden)'!$A$1:$Z$1,0)),"")</f>
        <v>3</v>
      </c>
      <c r="AC154" s="20" t="str">
        <f>+IFERROR(INDEX('Restaurant Base (Hidden)'!$A$2:$Z$1048576,MATCH($C154,'Restaurant Base (Hidden)'!$C$2:$C$1048576,0),MATCH(AC$6,'Restaurant Base (Hidden)'!$A$1:$Z$1,0)),"")</f>
        <v/>
      </c>
      <c r="AD154" s="65" t="str">
        <f>+IFERROR(INDEX('Restaurant Base (Hidden)'!$A$2:$Z$1048576,MATCH($C154,'Restaurant Base (Hidden)'!$C$2:$C$1048576,0),MATCH(AD$6,'Restaurant Base (Hidden)'!$A$1:$Z$1,0)),"")</f>
        <v>91,30 %</v>
      </c>
      <c r="AE154" s="1">
        <f>+IFERROR(INDEX('Restaurant Base (Hidden)'!$A$2:$Z$1048576,MATCH($C154,'Restaurant Base (Hidden)'!$C$2:$C$1048576,0),MATCH(AE$6,'Restaurant Base (Hidden)'!$A$1:$Z$1,0)),"")</f>
        <v>4</v>
      </c>
      <c r="AF154" s="65" t="str">
        <f>+IFERROR(INDEX('Restaurant Base (Hidden)'!$A$2:$Z$1048576,MATCH($C154,'Restaurant Base (Hidden)'!$C$2:$C$1048576,0),MATCH(AF$6,'Restaurant Base (Hidden)'!$A$1:$Z$1,0)),"")</f>
        <v>65,20 %</v>
      </c>
      <c r="AG154" s="1">
        <f>+IFERROR(INDEX('Restaurant Base (Hidden)'!$A$2:$Z$1048576,MATCH($C154,'Restaurant Base (Hidden)'!$C$2:$C$1048576,0),MATCH(AG$6,'Restaurant Base (Hidden)'!$A$1:$Z$1,0)),"")</f>
        <v>1</v>
      </c>
    </row>
    <row r="155" spans="1:33" x14ac:dyDescent="0.4">
      <c r="A155" s="163" t="str">
        <f>IF('Restaurant Base (Hidden)'!A397=0,"", 'Restaurant Base (Hidden)'!A397)</f>
        <v>Rowan Kingsley</v>
      </c>
      <c r="B155" s="163" t="str">
        <f>IF('Restaurant Base (Hidden)'!B397=0,"", 'Restaurant Base (Hidden)'!B397)</f>
        <v>Riverstone Food Partners</v>
      </c>
      <c r="C155" s="163" t="str">
        <f>IF('Restaurant Base (Hidden)'!C397=0,"", 'Restaurant Base (Hidden)'!C397)</f>
        <v>Silver Junction</v>
      </c>
      <c r="D155" s="104">
        <f t="shared" si="2"/>
        <v>147</v>
      </c>
      <c r="E155" s="105">
        <f>+IFERROR(INDEX('Restaurant Base (Hidden)'!$A$2:$Z$1048576,MATCH($C155,'Restaurant Base (Hidden)'!$C$2:$C$1048576,0),MATCH(E$6,'Restaurant Base (Hidden)'!$A$1:$Z$1,0)),"")</f>
        <v>3.17</v>
      </c>
      <c r="F155" s="2" t="str">
        <f>+IFERROR(INDEX('Restaurant Base (Hidden)'!$A$2:$Z$1048576,MATCH($C155,'Restaurant Base (Hidden)'!$C$2:$C$1048576,0),MATCH(F$6,'Restaurant Base (Hidden)'!$A$1:$Z$1,0)),"")</f>
        <v/>
      </c>
      <c r="G155" s="20" t="str">
        <f>+IFERROR(INDEX('Restaurant Base (Hidden)'!$A$2:$Z$1048576,MATCH($C155,'Restaurant Base (Hidden)'!$C$2:$C$1048576,0),MATCH(G$6,'Restaurant Base (Hidden)'!$A$1:$Z$1,0)),"")</f>
        <v>4,108</v>
      </c>
      <c r="H155" s="50">
        <f>+IFERROR(INDEX('Restaurant Base (Hidden)'!$A$2:$Z$1048576,MATCH($C155,'Restaurant Base (Hidden)'!$C$2:$C$1048576,0),MATCH(H$6,'Restaurant Base (Hidden)'!$A$1:$Z$1,0)),"")</f>
        <v>2</v>
      </c>
      <c r="I155" s="20" t="str">
        <f>+IFERROR(INDEX('Restaurant Base (Hidden)'!$A$2:$Z$1048576,MATCH($C155,'Restaurant Base (Hidden)'!$C$2:$C$1048576,0),MATCH(I$6,'Restaurant Base (Hidden)'!$A$1:$Z$1,0)),"")</f>
        <v>97,70 %</v>
      </c>
      <c r="J155" s="49">
        <f>+IFERROR(INDEX('Restaurant Base (Hidden)'!$A$2:$Z$1048576,MATCH($C155,'Restaurant Base (Hidden)'!$C$2:$C$1048576,0),MATCH(J$6,'Restaurant Base (Hidden)'!$A$1:$Z$1,0)),"")</f>
        <v>5</v>
      </c>
      <c r="K155" s="20" t="str">
        <f>+IFERROR(INDEX('Restaurant Base (Hidden)'!$A$2:$Z$1048576,MATCH($C155,'Restaurant Base (Hidden)'!$C$2:$C$1048576,0),MATCH(K$6,'Restaurant Base (Hidden)'!$A$1:$Z$1,0)),"")</f>
        <v>0,041</v>
      </c>
      <c r="L155" s="51">
        <f>+IFERROR(INDEX('Restaurant Base (Hidden)'!$A$2:$Z$1048576,MATCH($C155,'Restaurant Base (Hidden)'!$C$2:$C$1048576,0),MATCH(L$6,'Restaurant Base (Hidden)'!$A$1:$Z$1,0)),"")</f>
        <v>5</v>
      </c>
      <c r="M155" s="2" t="str">
        <f>+IFERROR(INDEX('Restaurant Base (Hidden)'!$A$2:$Z$1048576,MATCH($C155,'Restaurant Base (Hidden)'!$C$2:$C$1048576,0),MATCH(M$6,'Restaurant Base (Hidden)'!$A$1:$Z$1,0)),"")</f>
        <v/>
      </c>
      <c r="N155" s="234" t="str">
        <f>+IFERROR(INDEX('Restaurant Base (Hidden)'!$A$2:$Z$1048576,MATCH($C155,'Restaurant Base (Hidden)'!$C$2:$C$1048576,0),MATCH(N$6,'Restaurant Base (Hidden)'!$A$1:$Z$1,0)),"")</f>
        <v>95,30 %</v>
      </c>
      <c r="O155" s="1">
        <f>+IFERROR(INDEX('Restaurant Base (Hidden)'!$A$2:$Z$1048576,MATCH($C155,'Restaurant Base (Hidden)'!$C$2:$C$1048576,0),MATCH(O$6,'Restaurant Base (Hidden)'!$A$1:$Z$1,0)),"")</f>
        <v>5</v>
      </c>
      <c r="P155" s="2" t="str">
        <f>+IFERROR(INDEX('Restaurant Base (Hidden)'!$A$2:$Z$1048576,MATCH($C155,'Restaurant Base (Hidden)'!$C$2:$C$1048576,0),MATCH(P$6,'Restaurant Base (Hidden)'!$A$1:$Z$1,0)),"")</f>
        <v/>
      </c>
      <c r="Q155" s="234" t="str">
        <f>+IFERROR(INDEX('Restaurant Base (Hidden)'!$A$2:$Z$1048576,MATCH($C155,'Restaurant Base (Hidden)'!$C$2:$C$1048576,0),MATCH(Q$6,'Restaurant Base (Hidden)'!$A$1:$Z$1,0)),"")</f>
        <v>70,40 %</v>
      </c>
      <c r="R155" s="1">
        <f>+IFERROR(INDEX('Restaurant Base (Hidden)'!$A$2:$Z$1048576,MATCH($C155,'Restaurant Base (Hidden)'!$C$2:$C$1048576,0),MATCH(R$6,'Restaurant Base (Hidden)'!$A$1:$Z$1,0)),"")</f>
        <v>4</v>
      </c>
      <c r="S155" s="2" t="str">
        <f>+IFERROR(INDEX('Restaurant Base (Hidden)'!$A$2:$Z$1048576,MATCH($C155,'Restaurant Base (Hidden)'!$C$2:$C$1048576,0),MATCH(S$6,'Restaurant Base (Hidden)'!$A$1:$Z$1,0)),"")</f>
        <v/>
      </c>
      <c r="T155" s="62">
        <f>+IFERROR(INDEX('Restaurant Base (Hidden)'!$A$2:$Z$1048576,MATCH($C155,'Restaurant Base (Hidden)'!$C$2:$C$1048576,0),MATCH(T$6,'Restaurant Base (Hidden)'!$A$1:$Z$1,0)),"")</f>
        <v>56.8</v>
      </c>
      <c r="U155" s="1">
        <f>+IFERROR(INDEX('Restaurant Base (Hidden)'!$A$2:$Z$1048576,MATCH($C155,'Restaurant Base (Hidden)'!$C$2:$C$1048576,0),MATCH(U$6,'Restaurant Base (Hidden)'!$A$1:$Z$1,0)),"")</f>
        <v>1</v>
      </c>
      <c r="V155" s="2" t="str">
        <f>+IFERROR(INDEX('Restaurant Base (Hidden)'!$A$2:$Z$1048576,MATCH($C155,'Restaurant Base (Hidden)'!$C$2:$C$1048576,0),MATCH(V$6,'Restaurant Base (Hidden)'!$A$1:$Z$1,0)),"")</f>
        <v/>
      </c>
      <c r="W155" s="65" t="str">
        <f>+IFERROR(INDEX('Restaurant Base (Hidden)'!$A$2:$Z$1048576,MATCH($C155,'Restaurant Base (Hidden)'!$C$2:$C$1048576,0),MATCH(W$6,'Restaurant Base (Hidden)'!$A$1:$Z$1,0)),"")</f>
        <v>66,90 %</v>
      </c>
      <c r="X155" s="1">
        <f>+IFERROR(INDEX('Restaurant Base (Hidden)'!$A$2:$Z$1048576,MATCH($C155,'Restaurant Base (Hidden)'!$C$2:$C$1048576,0),MATCH(X$6,'Restaurant Base (Hidden)'!$A$1:$Z$1,0)),"")</f>
        <v>2</v>
      </c>
      <c r="Y155" s="65" t="str">
        <f>+IFERROR(INDEX('Restaurant Base (Hidden)'!$A$2:$Z$1048576,MATCH($C155,'Restaurant Base (Hidden)'!$C$2:$C$1048576,0),MATCH(Y$6,'Restaurant Base (Hidden)'!$A$1:$Z$1,0)),"")</f>
        <v>88,10 %</v>
      </c>
      <c r="Z155" s="106">
        <f>+IFERROR(INDEX('Restaurant Base (Hidden)'!$A$2:$Z$1048576,MATCH($C155,'Restaurant Base (Hidden)'!$C$2:$C$1048576,0),MATCH(Z$6,'Restaurant Base (Hidden)'!$A$1:$Z$1,0)),"")</f>
        <v>3</v>
      </c>
      <c r="AA155" s="65" t="str">
        <f>+IFERROR(INDEX('Restaurant Base (Hidden)'!$A$2:$Z$1048576,MATCH($C155,'Restaurant Base (Hidden)'!$C$2:$C$1048576,0),MATCH(AA$6,'Restaurant Base (Hidden)'!$A$1:$Z$1,0)),"")</f>
        <v>99,00 %</v>
      </c>
      <c r="AB155" s="1">
        <f>+IFERROR(INDEX('Restaurant Base (Hidden)'!$A$2:$Z$1048576,MATCH($C155,'Restaurant Base (Hidden)'!$C$2:$C$1048576,0),MATCH(AB$6,'Restaurant Base (Hidden)'!$A$1:$Z$1,0)),"")</f>
        <v>5</v>
      </c>
      <c r="AC155" s="20" t="str">
        <f>+IFERROR(INDEX('Restaurant Base (Hidden)'!$A$2:$Z$1048576,MATCH($C155,'Restaurant Base (Hidden)'!$C$2:$C$1048576,0),MATCH(AC$6,'Restaurant Base (Hidden)'!$A$1:$Z$1,0)),"")</f>
        <v/>
      </c>
      <c r="AD155" s="65" t="str">
        <f>+IFERROR(INDEX('Restaurant Base (Hidden)'!$A$2:$Z$1048576,MATCH($C155,'Restaurant Base (Hidden)'!$C$2:$C$1048576,0),MATCH(AD$6,'Restaurant Base (Hidden)'!$A$1:$Z$1,0)),"")</f>
        <v>57,50 %</v>
      </c>
      <c r="AE155" s="1">
        <f>+IFERROR(INDEX('Restaurant Base (Hidden)'!$A$2:$Z$1048576,MATCH($C155,'Restaurant Base (Hidden)'!$C$2:$C$1048576,0),MATCH(AE$6,'Restaurant Base (Hidden)'!$A$1:$Z$1,0)),"")</f>
        <v>1</v>
      </c>
      <c r="AF155" s="65" t="str">
        <f>+IFERROR(INDEX('Restaurant Base (Hidden)'!$A$2:$Z$1048576,MATCH($C155,'Restaurant Base (Hidden)'!$C$2:$C$1048576,0),MATCH(AF$6,'Restaurant Base (Hidden)'!$A$1:$Z$1,0)),"")</f>
        <v>73,40 %</v>
      </c>
      <c r="AG155" s="1">
        <f>+IFERROR(INDEX('Restaurant Base (Hidden)'!$A$2:$Z$1048576,MATCH($C155,'Restaurant Base (Hidden)'!$C$2:$C$1048576,0),MATCH(AG$6,'Restaurant Base (Hidden)'!$A$1:$Z$1,0)),"")</f>
        <v>1</v>
      </c>
    </row>
    <row r="156" spans="1:33" x14ac:dyDescent="0.4">
      <c r="A156" s="163" t="str">
        <f>IF('Restaurant Base (Hidden)'!A128=0,"", 'Restaurant Base (Hidden)'!A128)</f>
        <v>Jordan Oakley</v>
      </c>
      <c r="B156" s="163" t="str">
        <f>IF('Restaurant Base (Hidden)'!B128=0,"", 'Restaurant Base (Hidden)'!B128)</f>
        <v>Cedarstone Hospitality</v>
      </c>
      <c r="C156" s="163" t="str">
        <f>IF('Restaurant Base (Hidden)'!C128=0,"", 'Restaurant Base (Hidden)'!C128)</f>
        <v>Northern Gardens</v>
      </c>
      <c r="D156" s="104">
        <f t="shared" si="2"/>
        <v>150</v>
      </c>
      <c r="E156" s="105">
        <f>+IFERROR(INDEX('Restaurant Base (Hidden)'!$A$2:$Z$1048576,MATCH($C156,'Restaurant Base (Hidden)'!$C$2:$C$1048576,0),MATCH(E$6,'Restaurant Base (Hidden)'!$A$1:$Z$1,0)),"")</f>
        <v>3.16</v>
      </c>
      <c r="F156" s="2" t="str">
        <f>+IFERROR(INDEX('Restaurant Base (Hidden)'!$A$2:$Z$1048576,MATCH($C156,'Restaurant Base (Hidden)'!$C$2:$C$1048576,0),MATCH(F$6,'Restaurant Base (Hidden)'!$A$1:$Z$1,0)),"")</f>
        <v/>
      </c>
      <c r="G156" s="20" t="str">
        <f>+IFERROR(INDEX('Restaurant Base (Hidden)'!$A$2:$Z$1048576,MATCH($C156,'Restaurant Base (Hidden)'!$C$2:$C$1048576,0),MATCH(G$6,'Restaurant Base (Hidden)'!$A$1:$Z$1,0)),"")</f>
        <v>4,509</v>
      </c>
      <c r="H156" s="50">
        <f>+IFERROR(INDEX('Restaurant Base (Hidden)'!$A$2:$Z$1048576,MATCH($C156,'Restaurant Base (Hidden)'!$C$2:$C$1048576,0),MATCH(H$6,'Restaurant Base (Hidden)'!$A$1:$Z$1,0)),"")</f>
        <v>5</v>
      </c>
      <c r="I156" s="20" t="str">
        <f>+IFERROR(INDEX('Restaurant Base (Hidden)'!$A$2:$Z$1048576,MATCH($C156,'Restaurant Base (Hidden)'!$C$2:$C$1048576,0),MATCH(I$6,'Restaurant Base (Hidden)'!$A$1:$Z$1,0)),"")</f>
        <v>94,50 %</v>
      </c>
      <c r="J156" s="49">
        <f>+IFERROR(INDEX('Restaurant Base (Hidden)'!$A$2:$Z$1048576,MATCH($C156,'Restaurant Base (Hidden)'!$C$2:$C$1048576,0),MATCH(J$6,'Restaurant Base (Hidden)'!$A$1:$Z$1,0)),"")</f>
        <v>5</v>
      </c>
      <c r="K156" s="20" t="str">
        <f>+IFERROR(INDEX('Restaurant Base (Hidden)'!$A$2:$Z$1048576,MATCH($C156,'Restaurant Base (Hidden)'!$C$2:$C$1048576,0),MATCH(K$6,'Restaurant Base (Hidden)'!$A$1:$Z$1,0)),"")</f>
        <v>0,198</v>
      </c>
      <c r="L156" s="51">
        <f>+IFERROR(INDEX('Restaurant Base (Hidden)'!$A$2:$Z$1048576,MATCH($C156,'Restaurant Base (Hidden)'!$C$2:$C$1048576,0),MATCH(L$6,'Restaurant Base (Hidden)'!$A$1:$Z$1,0)),"")</f>
        <v>1</v>
      </c>
      <c r="M156" s="2" t="str">
        <f>+IFERROR(INDEX('Restaurant Base (Hidden)'!$A$2:$Z$1048576,MATCH($C156,'Restaurant Base (Hidden)'!$C$2:$C$1048576,0),MATCH(M$6,'Restaurant Base (Hidden)'!$A$1:$Z$1,0)),"")</f>
        <v/>
      </c>
      <c r="N156" s="234" t="str">
        <f>+IFERROR(INDEX('Restaurant Base (Hidden)'!$A$2:$Z$1048576,MATCH($C156,'Restaurant Base (Hidden)'!$C$2:$C$1048576,0),MATCH(N$6,'Restaurant Base (Hidden)'!$A$1:$Z$1,0)),"")</f>
        <v>79,30 %</v>
      </c>
      <c r="O156" s="1">
        <f>+IFERROR(INDEX('Restaurant Base (Hidden)'!$A$2:$Z$1048576,MATCH($C156,'Restaurant Base (Hidden)'!$C$2:$C$1048576,0),MATCH(O$6,'Restaurant Base (Hidden)'!$A$1:$Z$1,0)),"")</f>
        <v>5</v>
      </c>
      <c r="P156" s="2" t="str">
        <f>+IFERROR(INDEX('Restaurant Base (Hidden)'!$A$2:$Z$1048576,MATCH($C156,'Restaurant Base (Hidden)'!$C$2:$C$1048576,0),MATCH(P$6,'Restaurant Base (Hidden)'!$A$1:$Z$1,0)),"")</f>
        <v/>
      </c>
      <c r="Q156" s="234" t="str">
        <f>+IFERROR(INDEX('Restaurant Base (Hidden)'!$A$2:$Z$1048576,MATCH($C156,'Restaurant Base (Hidden)'!$C$2:$C$1048576,0),MATCH(Q$6,'Restaurant Base (Hidden)'!$A$1:$Z$1,0)),"")</f>
        <v>56,30 %</v>
      </c>
      <c r="R156" s="1">
        <f>+IFERROR(INDEX('Restaurant Base (Hidden)'!$A$2:$Z$1048576,MATCH($C156,'Restaurant Base (Hidden)'!$C$2:$C$1048576,0),MATCH(R$6,'Restaurant Base (Hidden)'!$A$1:$Z$1,0)),"")</f>
        <v>1</v>
      </c>
      <c r="S156" s="2" t="str">
        <f>+IFERROR(INDEX('Restaurant Base (Hidden)'!$A$2:$Z$1048576,MATCH($C156,'Restaurant Base (Hidden)'!$C$2:$C$1048576,0),MATCH(S$6,'Restaurant Base (Hidden)'!$A$1:$Z$1,0)),"")</f>
        <v/>
      </c>
      <c r="T156" s="62">
        <f>+IFERROR(INDEX('Restaurant Base (Hidden)'!$A$2:$Z$1048576,MATCH($C156,'Restaurant Base (Hidden)'!$C$2:$C$1048576,0),MATCH(T$6,'Restaurant Base (Hidden)'!$A$1:$Z$1,0)),"")</f>
        <v>75.3</v>
      </c>
      <c r="U156" s="1">
        <f>+IFERROR(INDEX('Restaurant Base (Hidden)'!$A$2:$Z$1048576,MATCH($C156,'Restaurant Base (Hidden)'!$C$2:$C$1048576,0),MATCH(U$6,'Restaurant Base (Hidden)'!$A$1:$Z$1,0)),"")</f>
        <v>5</v>
      </c>
      <c r="V156" s="2" t="str">
        <f>+IFERROR(INDEX('Restaurant Base (Hidden)'!$A$2:$Z$1048576,MATCH($C156,'Restaurant Base (Hidden)'!$C$2:$C$1048576,0),MATCH(V$6,'Restaurant Base (Hidden)'!$A$1:$Z$1,0)),"")</f>
        <v/>
      </c>
      <c r="W156" s="65" t="str">
        <f>+IFERROR(INDEX('Restaurant Base (Hidden)'!$A$2:$Z$1048576,MATCH($C156,'Restaurant Base (Hidden)'!$C$2:$C$1048576,0),MATCH(W$6,'Restaurant Base (Hidden)'!$A$1:$Z$1,0)),"")</f>
        <v>95,40 %</v>
      </c>
      <c r="X156" s="1">
        <f>+IFERROR(INDEX('Restaurant Base (Hidden)'!$A$2:$Z$1048576,MATCH($C156,'Restaurant Base (Hidden)'!$C$2:$C$1048576,0),MATCH(X$6,'Restaurant Base (Hidden)'!$A$1:$Z$1,0)),"")</f>
        <v>4</v>
      </c>
      <c r="Y156" s="65" t="str">
        <f>+IFERROR(INDEX('Restaurant Base (Hidden)'!$A$2:$Z$1048576,MATCH($C156,'Restaurant Base (Hidden)'!$C$2:$C$1048576,0),MATCH(Y$6,'Restaurant Base (Hidden)'!$A$1:$Z$1,0)),"")</f>
        <v>96,50 %</v>
      </c>
      <c r="Z156" s="106">
        <f>+IFERROR(INDEX('Restaurant Base (Hidden)'!$A$2:$Z$1048576,MATCH($C156,'Restaurant Base (Hidden)'!$C$2:$C$1048576,0),MATCH(Z$6,'Restaurant Base (Hidden)'!$A$1:$Z$1,0)),"")</f>
        <v>4</v>
      </c>
      <c r="AA156" s="65" t="str">
        <f>+IFERROR(INDEX('Restaurant Base (Hidden)'!$A$2:$Z$1048576,MATCH($C156,'Restaurant Base (Hidden)'!$C$2:$C$1048576,0),MATCH(AA$6,'Restaurant Base (Hidden)'!$A$1:$Z$1,0)),"")</f>
        <v>61,40 %</v>
      </c>
      <c r="AB156" s="1">
        <f>+IFERROR(INDEX('Restaurant Base (Hidden)'!$A$2:$Z$1048576,MATCH($C156,'Restaurant Base (Hidden)'!$C$2:$C$1048576,0),MATCH(AB$6,'Restaurant Base (Hidden)'!$A$1:$Z$1,0)),"")</f>
        <v>2</v>
      </c>
      <c r="AC156" s="20" t="str">
        <f>+IFERROR(INDEX('Restaurant Base (Hidden)'!$A$2:$Z$1048576,MATCH($C156,'Restaurant Base (Hidden)'!$C$2:$C$1048576,0),MATCH(AC$6,'Restaurant Base (Hidden)'!$A$1:$Z$1,0)),"")</f>
        <v/>
      </c>
      <c r="AD156" s="65" t="str">
        <f>+IFERROR(INDEX('Restaurant Base (Hidden)'!$A$2:$Z$1048576,MATCH($C156,'Restaurant Base (Hidden)'!$C$2:$C$1048576,0),MATCH(AD$6,'Restaurant Base (Hidden)'!$A$1:$Z$1,0)),"")</f>
        <v>61,40 %</v>
      </c>
      <c r="AE156" s="1">
        <f>+IFERROR(INDEX('Restaurant Base (Hidden)'!$A$2:$Z$1048576,MATCH($C156,'Restaurant Base (Hidden)'!$C$2:$C$1048576,0),MATCH(AE$6,'Restaurant Base (Hidden)'!$A$1:$Z$1,0)),"")</f>
        <v>1</v>
      </c>
      <c r="AF156" s="65" t="str">
        <f>+IFERROR(INDEX('Restaurant Base (Hidden)'!$A$2:$Z$1048576,MATCH($C156,'Restaurant Base (Hidden)'!$C$2:$C$1048576,0),MATCH(AF$6,'Restaurant Base (Hidden)'!$A$1:$Z$1,0)),"")</f>
        <v>68,80 %</v>
      </c>
      <c r="AG156" s="1">
        <f>+IFERROR(INDEX('Restaurant Base (Hidden)'!$A$2:$Z$1048576,MATCH($C156,'Restaurant Base (Hidden)'!$C$2:$C$1048576,0),MATCH(AG$6,'Restaurant Base (Hidden)'!$A$1:$Z$1,0)),"")</f>
        <v>1</v>
      </c>
    </row>
    <row r="157" spans="1:33" x14ac:dyDescent="0.4">
      <c r="A157" s="163" t="str">
        <f>IF('Restaurant Base (Hidden)'!A231=0,"", 'Restaurant Base (Hidden)'!A231)</f>
        <v>Sage Rosemont</v>
      </c>
      <c r="B157" s="163" t="str">
        <f>IF('Restaurant Base (Hidden)'!B231=0,"", 'Restaurant Base (Hidden)'!B231)</f>
        <v>Rosebridge Hospitality</v>
      </c>
      <c r="C157" s="163" t="str">
        <f>IF('Restaurant Base (Hidden)'!C231=0,"", 'Restaurant Base (Hidden)'!C231)</f>
        <v>Stone Ridge</v>
      </c>
      <c r="D157" s="104">
        <f t="shared" si="2"/>
        <v>150</v>
      </c>
      <c r="E157" s="105">
        <f>+IFERROR(INDEX('Restaurant Base (Hidden)'!$A$2:$Z$1048576,MATCH($C157,'Restaurant Base (Hidden)'!$C$2:$C$1048576,0),MATCH(E$6,'Restaurant Base (Hidden)'!$A$1:$Z$1,0)),"")</f>
        <v>3.16</v>
      </c>
      <c r="F157" s="2" t="str">
        <f>+IFERROR(INDEX('Restaurant Base (Hidden)'!$A$2:$Z$1048576,MATCH($C157,'Restaurant Base (Hidden)'!$C$2:$C$1048576,0),MATCH(F$6,'Restaurant Base (Hidden)'!$A$1:$Z$1,0)),"")</f>
        <v/>
      </c>
      <c r="G157" s="20" t="str">
        <f>+IFERROR(INDEX('Restaurant Base (Hidden)'!$A$2:$Z$1048576,MATCH($C157,'Restaurant Base (Hidden)'!$C$2:$C$1048576,0),MATCH(G$6,'Restaurant Base (Hidden)'!$A$1:$Z$1,0)),"")</f>
        <v>4,647</v>
      </c>
      <c r="H157" s="50">
        <f>+IFERROR(INDEX('Restaurant Base (Hidden)'!$A$2:$Z$1048576,MATCH($C157,'Restaurant Base (Hidden)'!$C$2:$C$1048576,0),MATCH(H$6,'Restaurant Base (Hidden)'!$A$1:$Z$1,0)),"")</f>
        <v>5</v>
      </c>
      <c r="I157" s="20" t="str">
        <f>+IFERROR(INDEX('Restaurant Base (Hidden)'!$A$2:$Z$1048576,MATCH($C157,'Restaurant Base (Hidden)'!$C$2:$C$1048576,0),MATCH(I$6,'Restaurant Base (Hidden)'!$A$1:$Z$1,0)),"")</f>
        <v>90,90 %</v>
      </c>
      <c r="J157" s="49">
        <f>+IFERROR(INDEX('Restaurant Base (Hidden)'!$A$2:$Z$1048576,MATCH($C157,'Restaurant Base (Hidden)'!$C$2:$C$1048576,0),MATCH(J$6,'Restaurant Base (Hidden)'!$A$1:$Z$1,0)),"")</f>
        <v>4</v>
      </c>
      <c r="K157" s="20" t="str">
        <f>+IFERROR(INDEX('Restaurant Base (Hidden)'!$A$2:$Z$1048576,MATCH($C157,'Restaurant Base (Hidden)'!$C$2:$C$1048576,0),MATCH(K$6,'Restaurant Base (Hidden)'!$A$1:$Z$1,0)),"")</f>
        <v>0,192</v>
      </c>
      <c r="L157" s="51">
        <f>+IFERROR(INDEX('Restaurant Base (Hidden)'!$A$2:$Z$1048576,MATCH($C157,'Restaurant Base (Hidden)'!$C$2:$C$1048576,0),MATCH(L$6,'Restaurant Base (Hidden)'!$A$1:$Z$1,0)),"")</f>
        <v>1</v>
      </c>
      <c r="M157" s="2" t="str">
        <f>+IFERROR(INDEX('Restaurant Base (Hidden)'!$A$2:$Z$1048576,MATCH($C157,'Restaurant Base (Hidden)'!$C$2:$C$1048576,0),MATCH(M$6,'Restaurant Base (Hidden)'!$A$1:$Z$1,0)),"")</f>
        <v/>
      </c>
      <c r="N157" s="234" t="str">
        <f>+IFERROR(INDEX('Restaurant Base (Hidden)'!$A$2:$Z$1048576,MATCH($C157,'Restaurant Base (Hidden)'!$C$2:$C$1048576,0),MATCH(N$6,'Restaurant Base (Hidden)'!$A$1:$Z$1,0)),"")</f>
        <v>74,50 %</v>
      </c>
      <c r="O157" s="1">
        <f>+IFERROR(INDEX('Restaurant Base (Hidden)'!$A$2:$Z$1048576,MATCH($C157,'Restaurant Base (Hidden)'!$C$2:$C$1048576,0),MATCH(O$6,'Restaurant Base (Hidden)'!$A$1:$Z$1,0)),"")</f>
        <v>5</v>
      </c>
      <c r="P157" s="2" t="str">
        <f>+IFERROR(INDEX('Restaurant Base (Hidden)'!$A$2:$Z$1048576,MATCH($C157,'Restaurant Base (Hidden)'!$C$2:$C$1048576,0),MATCH(P$6,'Restaurant Base (Hidden)'!$A$1:$Z$1,0)),"")</f>
        <v/>
      </c>
      <c r="Q157" s="234" t="str">
        <f>+IFERROR(INDEX('Restaurant Base (Hidden)'!$A$2:$Z$1048576,MATCH($C157,'Restaurant Base (Hidden)'!$C$2:$C$1048576,0),MATCH(Q$6,'Restaurant Base (Hidden)'!$A$1:$Z$1,0)),"")</f>
        <v>73,30 %</v>
      </c>
      <c r="R157" s="1">
        <f>+IFERROR(INDEX('Restaurant Base (Hidden)'!$A$2:$Z$1048576,MATCH($C157,'Restaurant Base (Hidden)'!$C$2:$C$1048576,0),MATCH(R$6,'Restaurant Base (Hidden)'!$A$1:$Z$1,0)),"")</f>
        <v>5</v>
      </c>
      <c r="S157" s="2" t="str">
        <f>+IFERROR(INDEX('Restaurant Base (Hidden)'!$A$2:$Z$1048576,MATCH($C157,'Restaurant Base (Hidden)'!$C$2:$C$1048576,0),MATCH(S$6,'Restaurant Base (Hidden)'!$A$1:$Z$1,0)),"")</f>
        <v/>
      </c>
      <c r="T157" s="62">
        <f>+IFERROR(INDEX('Restaurant Base (Hidden)'!$A$2:$Z$1048576,MATCH($C157,'Restaurant Base (Hidden)'!$C$2:$C$1048576,0),MATCH(T$6,'Restaurant Base (Hidden)'!$A$1:$Z$1,0)),"")</f>
        <v>60.6</v>
      </c>
      <c r="U157" s="1">
        <f>+IFERROR(INDEX('Restaurant Base (Hidden)'!$A$2:$Z$1048576,MATCH($C157,'Restaurant Base (Hidden)'!$C$2:$C$1048576,0),MATCH(U$6,'Restaurant Base (Hidden)'!$A$1:$Z$1,0)),"")</f>
        <v>2</v>
      </c>
      <c r="V157" s="2" t="str">
        <f>+IFERROR(INDEX('Restaurant Base (Hidden)'!$A$2:$Z$1048576,MATCH($C157,'Restaurant Base (Hidden)'!$C$2:$C$1048576,0),MATCH(V$6,'Restaurant Base (Hidden)'!$A$1:$Z$1,0)),"")</f>
        <v/>
      </c>
      <c r="W157" s="65" t="str">
        <f>+IFERROR(INDEX('Restaurant Base (Hidden)'!$A$2:$Z$1048576,MATCH($C157,'Restaurant Base (Hidden)'!$C$2:$C$1048576,0),MATCH(W$6,'Restaurant Base (Hidden)'!$A$1:$Z$1,0)),"")</f>
        <v>79,10 %</v>
      </c>
      <c r="X157" s="1">
        <f>+IFERROR(INDEX('Restaurant Base (Hidden)'!$A$2:$Z$1048576,MATCH($C157,'Restaurant Base (Hidden)'!$C$2:$C$1048576,0),MATCH(X$6,'Restaurant Base (Hidden)'!$A$1:$Z$1,0)),"")</f>
        <v>2</v>
      </c>
      <c r="Y157" s="65" t="str">
        <f>+IFERROR(INDEX('Restaurant Base (Hidden)'!$A$2:$Z$1048576,MATCH($C157,'Restaurant Base (Hidden)'!$C$2:$C$1048576,0),MATCH(Y$6,'Restaurant Base (Hidden)'!$A$1:$Z$1,0)),"")</f>
        <v>98,70 %</v>
      </c>
      <c r="Z157" s="106">
        <f>+IFERROR(INDEX('Restaurant Base (Hidden)'!$A$2:$Z$1048576,MATCH($C157,'Restaurant Base (Hidden)'!$C$2:$C$1048576,0),MATCH(Z$6,'Restaurant Base (Hidden)'!$A$1:$Z$1,0)),"")</f>
        <v>5</v>
      </c>
      <c r="AA157" s="65" t="str">
        <f>+IFERROR(INDEX('Restaurant Base (Hidden)'!$A$2:$Z$1048576,MATCH($C157,'Restaurant Base (Hidden)'!$C$2:$C$1048576,0),MATCH(AA$6,'Restaurant Base (Hidden)'!$A$1:$Z$1,0)),"")</f>
        <v>59,70 %</v>
      </c>
      <c r="AB157" s="1">
        <f>+IFERROR(INDEX('Restaurant Base (Hidden)'!$A$2:$Z$1048576,MATCH($C157,'Restaurant Base (Hidden)'!$C$2:$C$1048576,0),MATCH(AB$6,'Restaurant Base (Hidden)'!$A$1:$Z$1,0)),"")</f>
        <v>1</v>
      </c>
      <c r="AC157" s="20" t="str">
        <f>+IFERROR(INDEX('Restaurant Base (Hidden)'!$A$2:$Z$1048576,MATCH($C157,'Restaurant Base (Hidden)'!$C$2:$C$1048576,0),MATCH(AC$6,'Restaurant Base (Hidden)'!$A$1:$Z$1,0)),"")</f>
        <v/>
      </c>
      <c r="AD157" s="65" t="str">
        <f>+IFERROR(INDEX('Restaurant Base (Hidden)'!$A$2:$Z$1048576,MATCH($C157,'Restaurant Base (Hidden)'!$C$2:$C$1048576,0),MATCH(AD$6,'Restaurant Base (Hidden)'!$A$1:$Z$1,0)),"")</f>
        <v>70,30 %</v>
      </c>
      <c r="AE157" s="1">
        <f>+IFERROR(INDEX('Restaurant Base (Hidden)'!$A$2:$Z$1048576,MATCH($C157,'Restaurant Base (Hidden)'!$C$2:$C$1048576,0),MATCH(AE$6,'Restaurant Base (Hidden)'!$A$1:$Z$1,0)),"")</f>
        <v>1</v>
      </c>
      <c r="AF157" s="65" t="str">
        <f>+IFERROR(INDEX('Restaurant Base (Hidden)'!$A$2:$Z$1048576,MATCH($C157,'Restaurant Base (Hidden)'!$C$2:$C$1048576,0),MATCH(AF$6,'Restaurant Base (Hidden)'!$A$1:$Z$1,0)),"")</f>
        <v>65,20 %</v>
      </c>
      <c r="AG157" s="1">
        <f>+IFERROR(INDEX('Restaurant Base (Hidden)'!$A$2:$Z$1048576,MATCH($C157,'Restaurant Base (Hidden)'!$C$2:$C$1048576,0),MATCH(AG$6,'Restaurant Base (Hidden)'!$A$1:$Z$1,0)),"")</f>
        <v>1</v>
      </c>
    </row>
    <row r="158" spans="1:33" x14ac:dyDescent="0.4">
      <c r="A158" s="163" t="str">
        <f>IF('Restaurant Base (Hidden)'!A335=0,"", 'Restaurant Base (Hidden)'!A335)</f>
        <v>Parker Sterling</v>
      </c>
      <c r="B158" s="163" t="str">
        <f>IF('Restaurant Base (Hidden)'!B335=0,"", 'Restaurant Base (Hidden)'!B335)</f>
        <v>Clearview Dining Group</v>
      </c>
      <c r="C158" s="163" t="str">
        <f>IF('Restaurant Base (Hidden)'!C335=0,"", 'Restaurant Base (Hidden)'!C335)</f>
        <v>Harbor Crescent</v>
      </c>
      <c r="D158" s="104">
        <f t="shared" si="2"/>
        <v>150</v>
      </c>
      <c r="E158" s="105">
        <f>+IFERROR(INDEX('Restaurant Base (Hidden)'!$A$2:$Z$1048576,MATCH($C158,'Restaurant Base (Hidden)'!$C$2:$C$1048576,0),MATCH(E$6,'Restaurant Base (Hidden)'!$A$1:$Z$1,0)),"")</f>
        <v>3.16</v>
      </c>
      <c r="F158" s="2" t="str">
        <f>+IFERROR(INDEX('Restaurant Base (Hidden)'!$A$2:$Z$1048576,MATCH($C158,'Restaurant Base (Hidden)'!$C$2:$C$1048576,0),MATCH(F$6,'Restaurant Base (Hidden)'!$A$1:$Z$1,0)),"")</f>
        <v/>
      </c>
      <c r="G158" s="20" t="str">
        <f>+IFERROR(INDEX('Restaurant Base (Hidden)'!$A$2:$Z$1048576,MATCH($C158,'Restaurant Base (Hidden)'!$C$2:$C$1048576,0),MATCH(G$6,'Restaurant Base (Hidden)'!$A$1:$Z$1,0)),"")</f>
        <v>4,740</v>
      </c>
      <c r="H158" s="50">
        <f>+IFERROR(INDEX('Restaurant Base (Hidden)'!$A$2:$Z$1048576,MATCH($C158,'Restaurant Base (Hidden)'!$C$2:$C$1048576,0),MATCH(H$6,'Restaurant Base (Hidden)'!$A$1:$Z$1,0)),"")</f>
        <v>5</v>
      </c>
      <c r="I158" s="20" t="str">
        <f>+IFERROR(INDEX('Restaurant Base (Hidden)'!$A$2:$Z$1048576,MATCH($C158,'Restaurant Base (Hidden)'!$C$2:$C$1048576,0),MATCH(I$6,'Restaurant Base (Hidden)'!$A$1:$Z$1,0)),"")</f>
        <v>96,20 %</v>
      </c>
      <c r="J158" s="49">
        <f>+IFERROR(INDEX('Restaurant Base (Hidden)'!$A$2:$Z$1048576,MATCH($C158,'Restaurant Base (Hidden)'!$C$2:$C$1048576,0),MATCH(J$6,'Restaurant Base (Hidden)'!$A$1:$Z$1,0)),"")</f>
        <v>5</v>
      </c>
      <c r="K158" s="20" t="str">
        <f>+IFERROR(INDEX('Restaurant Base (Hidden)'!$A$2:$Z$1048576,MATCH($C158,'Restaurant Base (Hidden)'!$C$2:$C$1048576,0),MATCH(K$6,'Restaurant Base (Hidden)'!$A$1:$Z$1,0)),"")</f>
        <v>0,098</v>
      </c>
      <c r="L158" s="51">
        <f>+IFERROR(INDEX('Restaurant Base (Hidden)'!$A$2:$Z$1048576,MATCH($C158,'Restaurant Base (Hidden)'!$C$2:$C$1048576,0),MATCH(L$6,'Restaurant Base (Hidden)'!$A$1:$Z$1,0)),"")</f>
        <v>4</v>
      </c>
      <c r="M158" s="2" t="str">
        <f>+IFERROR(INDEX('Restaurant Base (Hidden)'!$A$2:$Z$1048576,MATCH($C158,'Restaurant Base (Hidden)'!$C$2:$C$1048576,0),MATCH(M$6,'Restaurant Base (Hidden)'!$A$1:$Z$1,0)),"")</f>
        <v/>
      </c>
      <c r="N158" s="234" t="str">
        <f>+IFERROR(INDEX('Restaurant Base (Hidden)'!$A$2:$Z$1048576,MATCH($C158,'Restaurant Base (Hidden)'!$C$2:$C$1048576,0),MATCH(N$6,'Restaurant Base (Hidden)'!$A$1:$Z$1,0)),"")</f>
        <v>59,10 %</v>
      </c>
      <c r="O158" s="1">
        <f>+IFERROR(INDEX('Restaurant Base (Hidden)'!$A$2:$Z$1048576,MATCH($C158,'Restaurant Base (Hidden)'!$C$2:$C$1048576,0),MATCH(O$6,'Restaurant Base (Hidden)'!$A$1:$Z$1,0)),"")</f>
        <v>1</v>
      </c>
      <c r="P158" s="2" t="str">
        <f>+IFERROR(INDEX('Restaurant Base (Hidden)'!$A$2:$Z$1048576,MATCH($C158,'Restaurant Base (Hidden)'!$C$2:$C$1048576,0),MATCH(P$6,'Restaurant Base (Hidden)'!$A$1:$Z$1,0)),"")</f>
        <v/>
      </c>
      <c r="Q158" s="234" t="str">
        <f>+IFERROR(INDEX('Restaurant Base (Hidden)'!$A$2:$Z$1048576,MATCH($C158,'Restaurant Base (Hidden)'!$C$2:$C$1048576,0),MATCH(Q$6,'Restaurant Base (Hidden)'!$A$1:$Z$1,0)),"")</f>
        <v>82,00 %</v>
      </c>
      <c r="R158" s="1">
        <f>+IFERROR(INDEX('Restaurant Base (Hidden)'!$A$2:$Z$1048576,MATCH($C158,'Restaurant Base (Hidden)'!$C$2:$C$1048576,0),MATCH(R$6,'Restaurant Base (Hidden)'!$A$1:$Z$1,0)),"")</f>
        <v>5</v>
      </c>
      <c r="S158" s="2" t="str">
        <f>+IFERROR(INDEX('Restaurant Base (Hidden)'!$A$2:$Z$1048576,MATCH($C158,'Restaurant Base (Hidden)'!$C$2:$C$1048576,0),MATCH(S$6,'Restaurant Base (Hidden)'!$A$1:$Z$1,0)),"")</f>
        <v/>
      </c>
      <c r="T158" s="62">
        <f>+IFERROR(INDEX('Restaurant Base (Hidden)'!$A$2:$Z$1048576,MATCH($C158,'Restaurant Base (Hidden)'!$C$2:$C$1048576,0),MATCH(T$6,'Restaurant Base (Hidden)'!$A$1:$Z$1,0)),"")</f>
        <v>61.3</v>
      </c>
      <c r="U158" s="1">
        <f>+IFERROR(INDEX('Restaurant Base (Hidden)'!$A$2:$Z$1048576,MATCH($C158,'Restaurant Base (Hidden)'!$C$2:$C$1048576,0),MATCH(U$6,'Restaurant Base (Hidden)'!$A$1:$Z$1,0)),"")</f>
        <v>3</v>
      </c>
      <c r="V158" s="2" t="str">
        <f>+IFERROR(INDEX('Restaurant Base (Hidden)'!$A$2:$Z$1048576,MATCH($C158,'Restaurant Base (Hidden)'!$C$2:$C$1048576,0),MATCH(V$6,'Restaurant Base (Hidden)'!$A$1:$Z$1,0)),"")</f>
        <v/>
      </c>
      <c r="W158" s="65" t="str">
        <f>+IFERROR(INDEX('Restaurant Base (Hidden)'!$A$2:$Z$1048576,MATCH($C158,'Restaurant Base (Hidden)'!$C$2:$C$1048576,0),MATCH(W$6,'Restaurant Base (Hidden)'!$A$1:$Z$1,0)),"")</f>
        <v>77,60 %</v>
      </c>
      <c r="X158" s="1">
        <f>+IFERROR(INDEX('Restaurant Base (Hidden)'!$A$2:$Z$1048576,MATCH($C158,'Restaurant Base (Hidden)'!$C$2:$C$1048576,0),MATCH(X$6,'Restaurant Base (Hidden)'!$A$1:$Z$1,0)),"")</f>
        <v>2</v>
      </c>
      <c r="Y158" s="65" t="str">
        <f>+IFERROR(INDEX('Restaurant Base (Hidden)'!$A$2:$Z$1048576,MATCH($C158,'Restaurant Base (Hidden)'!$C$2:$C$1048576,0),MATCH(Y$6,'Restaurant Base (Hidden)'!$A$1:$Z$1,0)),"")</f>
        <v>57,00 %</v>
      </c>
      <c r="Z158" s="106">
        <f>+IFERROR(INDEX('Restaurant Base (Hidden)'!$A$2:$Z$1048576,MATCH($C158,'Restaurant Base (Hidden)'!$C$2:$C$1048576,0),MATCH(Z$6,'Restaurant Base (Hidden)'!$A$1:$Z$1,0)),"")</f>
        <v>1</v>
      </c>
      <c r="AA158" s="65" t="str">
        <f>+IFERROR(INDEX('Restaurant Base (Hidden)'!$A$2:$Z$1048576,MATCH($C158,'Restaurant Base (Hidden)'!$C$2:$C$1048576,0),MATCH(AA$6,'Restaurant Base (Hidden)'!$A$1:$Z$1,0)),"")</f>
        <v>81,50 %</v>
      </c>
      <c r="AB158" s="1">
        <f>+IFERROR(INDEX('Restaurant Base (Hidden)'!$A$2:$Z$1048576,MATCH($C158,'Restaurant Base (Hidden)'!$C$2:$C$1048576,0),MATCH(AB$6,'Restaurant Base (Hidden)'!$A$1:$Z$1,0)),"")</f>
        <v>2</v>
      </c>
      <c r="AC158" s="20" t="str">
        <f>+IFERROR(INDEX('Restaurant Base (Hidden)'!$A$2:$Z$1048576,MATCH($C158,'Restaurant Base (Hidden)'!$C$2:$C$1048576,0),MATCH(AC$6,'Restaurant Base (Hidden)'!$A$1:$Z$1,0)),"")</f>
        <v/>
      </c>
      <c r="AD158" s="65" t="str">
        <f>+IFERROR(INDEX('Restaurant Base (Hidden)'!$A$2:$Z$1048576,MATCH($C158,'Restaurant Base (Hidden)'!$C$2:$C$1048576,0),MATCH(AD$6,'Restaurant Base (Hidden)'!$A$1:$Z$1,0)),"")</f>
        <v>73,10 %</v>
      </c>
      <c r="AE158" s="1">
        <f>+IFERROR(INDEX('Restaurant Base (Hidden)'!$A$2:$Z$1048576,MATCH($C158,'Restaurant Base (Hidden)'!$C$2:$C$1048576,0),MATCH(AE$6,'Restaurant Base (Hidden)'!$A$1:$Z$1,0)),"")</f>
        <v>2</v>
      </c>
      <c r="AF158" s="65" t="str">
        <f>+IFERROR(INDEX('Restaurant Base (Hidden)'!$A$2:$Z$1048576,MATCH($C158,'Restaurant Base (Hidden)'!$C$2:$C$1048576,0),MATCH(AF$6,'Restaurant Base (Hidden)'!$A$1:$Z$1,0)),"")</f>
        <v>86,00 %</v>
      </c>
      <c r="AG158" s="1">
        <f>+IFERROR(INDEX('Restaurant Base (Hidden)'!$A$2:$Z$1048576,MATCH($C158,'Restaurant Base (Hidden)'!$C$2:$C$1048576,0),MATCH(AG$6,'Restaurant Base (Hidden)'!$A$1:$Z$1,0)),"")</f>
        <v>3</v>
      </c>
    </row>
    <row r="159" spans="1:33" x14ac:dyDescent="0.4">
      <c r="A159" s="163" t="str">
        <f>IF('Restaurant Base (Hidden)'!A399=0,"", 'Restaurant Base (Hidden)'!A399)</f>
        <v>Taylor Hartwell</v>
      </c>
      <c r="B159" s="163" t="str">
        <f>IF('Restaurant Base (Hidden)'!B399=0,"", 'Restaurant Base (Hidden)'!B399)</f>
        <v>Pinecrest Hospitality</v>
      </c>
      <c r="C159" s="163" t="str">
        <f>IF('Restaurant Base (Hidden)'!C399=0,"", 'Restaurant Base (Hidden)'!C399)</f>
        <v>Clearwater Boulevard</v>
      </c>
      <c r="D159" s="104">
        <f t="shared" si="2"/>
        <v>150</v>
      </c>
      <c r="E159" s="105">
        <f>+IFERROR(INDEX('Restaurant Base (Hidden)'!$A$2:$Z$1048576,MATCH($C159,'Restaurant Base (Hidden)'!$C$2:$C$1048576,0),MATCH(E$6,'Restaurant Base (Hidden)'!$A$1:$Z$1,0)),"")</f>
        <v>3.16</v>
      </c>
      <c r="F159" s="2" t="str">
        <f>+IFERROR(INDEX('Restaurant Base (Hidden)'!$A$2:$Z$1048576,MATCH($C159,'Restaurant Base (Hidden)'!$C$2:$C$1048576,0),MATCH(F$6,'Restaurant Base (Hidden)'!$A$1:$Z$1,0)),"")</f>
        <v/>
      </c>
      <c r="G159" s="20" t="str">
        <f>+IFERROR(INDEX('Restaurant Base (Hidden)'!$A$2:$Z$1048576,MATCH($C159,'Restaurant Base (Hidden)'!$C$2:$C$1048576,0),MATCH(G$6,'Restaurant Base (Hidden)'!$A$1:$Z$1,0)),"")</f>
        <v>4,694</v>
      </c>
      <c r="H159" s="50">
        <f>+IFERROR(INDEX('Restaurant Base (Hidden)'!$A$2:$Z$1048576,MATCH($C159,'Restaurant Base (Hidden)'!$C$2:$C$1048576,0),MATCH(H$6,'Restaurant Base (Hidden)'!$A$1:$Z$1,0)),"")</f>
        <v>5</v>
      </c>
      <c r="I159" s="20" t="str">
        <f>+IFERROR(INDEX('Restaurant Base (Hidden)'!$A$2:$Z$1048576,MATCH($C159,'Restaurant Base (Hidden)'!$C$2:$C$1048576,0),MATCH(I$6,'Restaurant Base (Hidden)'!$A$1:$Z$1,0)),"")</f>
        <v>76,50 %</v>
      </c>
      <c r="J159" s="49">
        <f>+IFERROR(INDEX('Restaurant Base (Hidden)'!$A$2:$Z$1048576,MATCH($C159,'Restaurant Base (Hidden)'!$C$2:$C$1048576,0),MATCH(J$6,'Restaurant Base (Hidden)'!$A$1:$Z$1,0)),"")</f>
        <v>1</v>
      </c>
      <c r="K159" s="20" t="str">
        <f>+IFERROR(INDEX('Restaurant Base (Hidden)'!$A$2:$Z$1048576,MATCH($C159,'Restaurant Base (Hidden)'!$C$2:$C$1048576,0),MATCH(K$6,'Restaurant Base (Hidden)'!$A$1:$Z$1,0)),"")</f>
        <v>0,073</v>
      </c>
      <c r="L159" s="51">
        <f>+IFERROR(INDEX('Restaurant Base (Hidden)'!$A$2:$Z$1048576,MATCH($C159,'Restaurant Base (Hidden)'!$C$2:$C$1048576,0),MATCH(L$6,'Restaurant Base (Hidden)'!$A$1:$Z$1,0)),"")</f>
        <v>4</v>
      </c>
      <c r="M159" s="2" t="str">
        <f>+IFERROR(INDEX('Restaurant Base (Hidden)'!$A$2:$Z$1048576,MATCH($C159,'Restaurant Base (Hidden)'!$C$2:$C$1048576,0),MATCH(M$6,'Restaurant Base (Hidden)'!$A$1:$Z$1,0)),"")</f>
        <v/>
      </c>
      <c r="N159" s="234" t="str">
        <f>+IFERROR(INDEX('Restaurant Base (Hidden)'!$A$2:$Z$1048576,MATCH($C159,'Restaurant Base (Hidden)'!$C$2:$C$1048576,0),MATCH(N$6,'Restaurant Base (Hidden)'!$A$1:$Z$1,0)),"")</f>
        <v>73,90 %</v>
      </c>
      <c r="O159" s="1">
        <f>+IFERROR(INDEX('Restaurant Base (Hidden)'!$A$2:$Z$1048576,MATCH($C159,'Restaurant Base (Hidden)'!$C$2:$C$1048576,0),MATCH(O$6,'Restaurant Base (Hidden)'!$A$1:$Z$1,0)),"")</f>
        <v>5</v>
      </c>
      <c r="P159" s="2" t="str">
        <f>+IFERROR(INDEX('Restaurant Base (Hidden)'!$A$2:$Z$1048576,MATCH($C159,'Restaurant Base (Hidden)'!$C$2:$C$1048576,0),MATCH(P$6,'Restaurant Base (Hidden)'!$A$1:$Z$1,0)),"")</f>
        <v/>
      </c>
      <c r="Q159" s="234" t="str">
        <f>+IFERROR(INDEX('Restaurant Base (Hidden)'!$A$2:$Z$1048576,MATCH($C159,'Restaurant Base (Hidden)'!$C$2:$C$1048576,0),MATCH(Q$6,'Restaurant Base (Hidden)'!$A$1:$Z$1,0)),"")</f>
        <v>99,10 %</v>
      </c>
      <c r="R159" s="1">
        <f>+IFERROR(INDEX('Restaurant Base (Hidden)'!$A$2:$Z$1048576,MATCH($C159,'Restaurant Base (Hidden)'!$C$2:$C$1048576,0),MATCH(R$6,'Restaurant Base (Hidden)'!$A$1:$Z$1,0)),"")</f>
        <v>5</v>
      </c>
      <c r="S159" s="2" t="str">
        <f>+IFERROR(INDEX('Restaurant Base (Hidden)'!$A$2:$Z$1048576,MATCH($C159,'Restaurant Base (Hidden)'!$C$2:$C$1048576,0),MATCH(S$6,'Restaurant Base (Hidden)'!$A$1:$Z$1,0)),"")</f>
        <v/>
      </c>
      <c r="T159" s="62">
        <f>+IFERROR(INDEX('Restaurant Base (Hidden)'!$A$2:$Z$1048576,MATCH($C159,'Restaurant Base (Hidden)'!$C$2:$C$1048576,0),MATCH(T$6,'Restaurant Base (Hidden)'!$A$1:$Z$1,0)),"")</f>
        <v>65.5</v>
      </c>
      <c r="U159" s="1">
        <f>+IFERROR(INDEX('Restaurant Base (Hidden)'!$A$2:$Z$1048576,MATCH($C159,'Restaurant Base (Hidden)'!$C$2:$C$1048576,0),MATCH(U$6,'Restaurant Base (Hidden)'!$A$1:$Z$1,0)),"")</f>
        <v>4</v>
      </c>
      <c r="V159" s="2" t="str">
        <f>+IFERROR(INDEX('Restaurant Base (Hidden)'!$A$2:$Z$1048576,MATCH($C159,'Restaurant Base (Hidden)'!$C$2:$C$1048576,0),MATCH(V$6,'Restaurant Base (Hidden)'!$A$1:$Z$1,0)),"")</f>
        <v/>
      </c>
      <c r="W159" s="65" t="str">
        <f>+IFERROR(INDEX('Restaurant Base (Hidden)'!$A$2:$Z$1048576,MATCH($C159,'Restaurant Base (Hidden)'!$C$2:$C$1048576,0),MATCH(W$6,'Restaurant Base (Hidden)'!$A$1:$Z$1,0)),"")</f>
        <v>58,60 %</v>
      </c>
      <c r="X159" s="1">
        <f>+IFERROR(INDEX('Restaurant Base (Hidden)'!$A$2:$Z$1048576,MATCH($C159,'Restaurant Base (Hidden)'!$C$2:$C$1048576,0),MATCH(X$6,'Restaurant Base (Hidden)'!$A$1:$Z$1,0)),"")</f>
        <v>1</v>
      </c>
      <c r="Y159" s="65" t="str">
        <f>+IFERROR(INDEX('Restaurant Base (Hidden)'!$A$2:$Z$1048576,MATCH($C159,'Restaurant Base (Hidden)'!$C$2:$C$1048576,0),MATCH(Y$6,'Restaurant Base (Hidden)'!$A$1:$Z$1,0)),"")</f>
        <v>81,50 %</v>
      </c>
      <c r="Z159" s="106">
        <f>+IFERROR(INDEX('Restaurant Base (Hidden)'!$A$2:$Z$1048576,MATCH($C159,'Restaurant Base (Hidden)'!$C$2:$C$1048576,0),MATCH(Z$6,'Restaurant Base (Hidden)'!$A$1:$Z$1,0)),"")</f>
        <v>2</v>
      </c>
      <c r="AA159" s="65" t="str">
        <f>+IFERROR(INDEX('Restaurant Base (Hidden)'!$A$2:$Z$1048576,MATCH($C159,'Restaurant Base (Hidden)'!$C$2:$C$1048576,0),MATCH(AA$6,'Restaurant Base (Hidden)'!$A$1:$Z$1,0)),"")</f>
        <v>64,60 %</v>
      </c>
      <c r="AB159" s="1">
        <f>+IFERROR(INDEX('Restaurant Base (Hidden)'!$A$2:$Z$1048576,MATCH($C159,'Restaurant Base (Hidden)'!$C$2:$C$1048576,0),MATCH(AB$6,'Restaurant Base (Hidden)'!$A$1:$Z$1,0)),"")</f>
        <v>2</v>
      </c>
      <c r="AC159" s="20" t="str">
        <f>+IFERROR(INDEX('Restaurant Base (Hidden)'!$A$2:$Z$1048576,MATCH($C159,'Restaurant Base (Hidden)'!$C$2:$C$1048576,0),MATCH(AC$6,'Restaurant Base (Hidden)'!$A$1:$Z$1,0)),"")</f>
        <v/>
      </c>
      <c r="AD159" s="65" t="str">
        <f>+IFERROR(INDEX('Restaurant Base (Hidden)'!$A$2:$Z$1048576,MATCH($C159,'Restaurant Base (Hidden)'!$C$2:$C$1048576,0),MATCH(AD$6,'Restaurant Base (Hidden)'!$A$1:$Z$1,0)),"")</f>
        <v>68,40 %</v>
      </c>
      <c r="AE159" s="1">
        <f>+IFERROR(INDEX('Restaurant Base (Hidden)'!$A$2:$Z$1048576,MATCH($C159,'Restaurant Base (Hidden)'!$C$2:$C$1048576,0),MATCH(AE$6,'Restaurant Base (Hidden)'!$A$1:$Z$1,0)),"")</f>
        <v>1</v>
      </c>
      <c r="AF159" s="65" t="str">
        <f>+IFERROR(INDEX('Restaurant Base (Hidden)'!$A$2:$Z$1048576,MATCH($C159,'Restaurant Base (Hidden)'!$C$2:$C$1048576,0),MATCH(AF$6,'Restaurant Base (Hidden)'!$A$1:$Z$1,0)),"")</f>
        <v>77,60 %</v>
      </c>
      <c r="AG159" s="1">
        <f>+IFERROR(INDEX('Restaurant Base (Hidden)'!$A$2:$Z$1048576,MATCH($C159,'Restaurant Base (Hidden)'!$C$2:$C$1048576,0),MATCH(AG$6,'Restaurant Base (Hidden)'!$A$1:$Z$1,0)),"")</f>
        <v>2</v>
      </c>
    </row>
    <row r="160" spans="1:33" x14ac:dyDescent="0.4">
      <c r="A160" s="163" t="str">
        <f>IF('Restaurant Base (Hidden)'!A37=0,"", 'Restaurant Base (Hidden)'!A37)</f>
        <v>Finley Kensington</v>
      </c>
      <c r="B160" s="163" t="str">
        <f>IF('Restaurant Base (Hidden)'!B37=0,"", 'Restaurant Base (Hidden)'!B37)</f>
        <v>Riverstone Food Partners</v>
      </c>
      <c r="C160" s="163" t="str">
        <f>IF('Restaurant Base (Hidden)'!C37=0,"", 'Restaurant Base (Hidden)'!C37)</f>
        <v>Stone Gate</v>
      </c>
      <c r="D160" s="104">
        <f t="shared" si="2"/>
        <v>154</v>
      </c>
      <c r="E160" s="105">
        <f>+IFERROR(INDEX('Restaurant Base (Hidden)'!$A$2:$Z$1048576,MATCH($C160,'Restaurant Base (Hidden)'!$C$2:$C$1048576,0),MATCH(E$6,'Restaurant Base (Hidden)'!$A$1:$Z$1,0)),"")</f>
        <v>3.15</v>
      </c>
      <c r="F160" s="64" t="str">
        <f>+IFERROR(INDEX('Restaurant Base (Hidden)'!$A$2:$Z$1048576,MATCH($C160,'Restaurant Base (Hidden)'!$C$2:$C$1048576,0),MATCH(F$6,'Restaurant Base (Hidden)'!$A$1:$Z$1,0)),"")</f>
        <v/>
      </c>
      <c r="G160" s="20" t="str">
        <f>+IFERROR(INDEX('Restaurant Base (Hidden)'!$A$2:$Z$1048576,MATCH($C160,'Restaurant Base (Hidden)'!$C$2:$C$1048576,0),MATCH(G$6,'Restaurant Base (Hidden)'!$A$1:$Z$1,0)),"")</f>
        <v>4,223</v>
      </c>
      <c r="H160" s="50">
        <f>+IFERROR(INDEX('Restaurant Base (Hidden)'!$A$2:$Z$1048576,MATCH($C160,'Restaurant Base (Hidden)'!$C$2:$C$1048576,0),MATCH(H$6,'Restaurant Base (Hidden)'!$A$1:$Z$1,0)),"")</f>
        <v>3</v>
      </c>
      <c r="I160" s="20" t="str">
        <f>+IFERROR(INDEX('Restaurant Base (Hidden)'!$A$2:$Z$1048576,MATCH($C160,'Restaurant Base (Hidden)'!$C$2:$C$1048576,0),MATCH(I$6,'Restaurant Base (Hidden)'!$A$1:$Z$1,0)),"")</f>
        <v>81,30 %</v>
      </c>
      <c r="J160" s="49">
        <f>+IFERROR(INDEX('Restaurant Base (Hidden)'!$A$2:$Z$1048576,MATCH($C160,'Restaurant Base (Hidden)'!$C$2:$C$1048576,0),MATCH(J$6,'Restaurant Base (Hidden)'!$A$1:$Z$1,0)),"")</f>
        <v>2</v>
      </c>
      <c r="K160" s="20" t="str">
        <f>+IFERROR(INDEX('Restaurant Base (Hidden)'!$A$2:$Z$1048576,MATCH($C160,'Restaurant Base (Hidden)'!$C$2:$C$1048576,0),MATCH(K$6,'Restaurant Base (Hidden)'!$A$1:$Z$1,0)),"")</f>
        <v>0,049</v>
      </c>
      <c r="L160" s="51">
        <f>+IFERROR(INDEX('Restaurant Base (Hidden)'!$A$2:$Z$1048576,MATCH($C160,'Restaurant Base (Hidden)'!$C$2:$C$1048576,0),MATCH(L$6,'Restaurant Base (Hidden)'!$A$1:$Z$1,0)),"")</f>
        <v>5</v>
      </c>
      <c r="M160" s="2" t="str">
        <f>+IFERROR(INDEX('Restaurant Base (Hidden)'!$A$2:$Z$1048576,MATCH($C160,'Restaurant Base (Hidden)'!$C$2:$C$1048576,0),MATCH(M$6,'Restaurant Base (Hidden)'!$A$1:$Z$1,0)),"")</f>
        <v/>
      </c>
      <c r="N160" s="234" t="str">
        <f>+IFERROR(INDEX('Restaurant Base (Hidden)'!$A$2:$Z$1048576,MATCH($C160,'Restaurant Base (Hidden)'!$C$2:$C$1048576,0),MATCH(N$6,'Restaurant Base (Hidden)'!$A$1:$Z$1,0)),"")</f>
        <v>78,00 %</v>
      </c>
      <c r="O160" s="1">
        <f>+IFERROR(INDEX('Restaurant Base (Hidden)'!$A$2:$Z$1048576,MATCH($C160,'Restaurant Base (Hidden)'!$C$2:$C$1048576,0),MATCH(O$6,'Restaurant Base (Hidden)'!$A$1:$Z$1,0)),"")</f>
        <v>5</v>
      </c>
      <c r="P160" s="2" t="str">
        <f>+IFERROR(INDEX('Restaurant Base (Hidden)'!$A$2:$Z$1048576,MATCH($C160,'Restaurant Base (Hidden)'!$C$2:$C$1048576,0),MATCH(P$6,'Restaurant Base (Hidden)'!$A$1:$Z$1,0)),"")</f>
        <v/>
      </c>
      <c r="Q160" s="234" t="str">
        <f>+IFERROR(INDEX('Restaurant Base (Hidden)'!$A$2:$Z$1048576,MATCH($C160,'Restaurant Base (Hidden)'!$C$2:$C$1048576,0),MATCH(Q$6,'Restaurant Base (Hidden)'!$A$1:$Z$1,0)),"")</f>
        <v>96,10 %</v>
      </c>
      <c r="R160" s="1">
        <f>+IFERROR(INDEX('Restaurant Base (Hidden)'!$A$2:$Z$1048576,MATCH($C160,'Restaurant Base (Hidden)'!$C$2:$C$1048576,0),MATCH(R$6,'Restaurant Base (Hidden)'!$A$1:$Z$1,0)),"")</f>
        <v>5</v>
      </c>
      <c r="S160" s="2" t="str">
        <f>+IFERROR(INDEX('Restaurant Base (Hidden)'!$A$2:$Z$1048576,MATCH($C160,'Restaurant Base (Hidden)'!$C$2:$C$1048576,0),MATCH(S$6,'Restaurant Base (Hidden)'!$A$1:$Z$1,0)),"")</f>
        <v/>
      </c>
      <c r="T160" s="62">
        <f>+IFERROR(INDEX('Restaurant Base (Hidden)'!$A$2:$Z$1048576,MATCH($C160,'Restaurant Base (Hidden)'!$C$2:$C$1048576,0),MATCH(T$6,'Restaurant Base (Hidden)'!$A$1:$Z$1,0)),"")</f>
        <v>57.4</v>
      </c>
      <c r="U160" s="1">
        <f>+IFERROR(INDEX('Restaurant Base (Hidden)'!$A$2:$Z$1048576,MATCH($C160,'Restaurant Base (Hidden)'!$C$2:$C$1048576,0),MATCH(U$6,'Restaurant Base (Hidden)'!$A$1:$Z$1,0)),"")</f>
        <v>2</v>
      </c>
      <c r="V160" s="2" t="str">
        <f>+IFERROR(INDEX('Restaurant Base (Hidden)'!$A$2:$Z$1048576,MATCH($C160,'Restaurant Base (Hidden)'!$C$2:$C$1048576,0),MATCH(V$6,'Restaurant Base (Hidden)'!$A$1:$Z$1,0)),"")</f>
        <v/>
      </c>
      <c r="W160" s="65" t="str">
        <f>+IFERROR(INDEX('Restaurant Base (Hidden)'!$A$2:$Z$1048576,MATCH($C160,'Restaurant Base (Hidden)'!$C$2:$C$1048576,0),MATCH(W$6,'Restaurant Base (Hidden)'!$A$1:$Z$1,0)),"")</f>
        <v>75,40 %</v>
      </c>
      <c r="X160" s="1">
        <f>+IFERROR(INDEX('Restaurant Base (Hidden)'!$A$2:$Z$1048576,MATCH($C160,'Restaurant Base (Hidden)'!$C$2:$C$1048576,0),MATCH(X$6,'Restaurant Base (Hidden)'!$A$1:$Z$1,0)),"")</f>
        <v>2</v>
      </c>
      <c r="Y160" s="65" t="str">
        <f>+IFERROR(INDEX('Restaurant Base (Hidden)'!$A$2:$Z$1048576,MATCH($C160,'Restaurant Base (Hidden)'!$C$2:$C$1048576,0),MATCH(Y$6,'Restaurant Base (Hidden)'!$A$1:$Z$1,0)),"")</f>
        <v>75,00 %</v>
      </c>
      <c r="Z160" s="106">
        <f>+IFERROR(INDEX('Restaurant Base (Hidden)'!$A$2:$Z$1048576,MATCH($C160,'Restaurant Base (Hidden)'!$C$2:$C$1048576,0),MATCH(Z$6,'Restaurant Base (Hidden)'!$A$1:$Z$1,0)),"")</f>
        <v>2</v>
      </c>
      <c r="AA160" s="65" t="str">
        <f>+IFERROR(INDEX('Restaurant Base (Hidden)'!$A$2:$Z$1048576,MATCH($C160,'Restaurant Base (Hidden)'!$C$2:$C$1048576,0),MATCH(AA$6,'Restaurant Base (Hidden)'!$A$1:$Z$1,0)),"")</f>
        <v>92,40 %</v>
      </c>
      <c r="AB160" s="1">
        <f>+IFERROR(INDEX('Restaurant Base (Hidden)'!$A$2:$Z$1048576,MATCH($C160,'Restaurant Base (Hidden)'!$C$2:$C$1048576,0),MATCH(AB$6,'Restaurant Base (Hidden)'!$A$1:$Z$1,0)),"")</f>
        <v>3</v>
      </c>
      <c r="AC160" s="20" t="str">
        <f>+IFERROR(INDEX('Restaurant Base (Hidden)'!$A$2:$Z$1048576,MATCH($C160,'Restaurant Base (Hidden)'!$C$2:$C$1048576,0),MATCH(AC$6,'Restaurant Base (Hidden)'!$A$1:$Z$1,0)),"")</f>
        <v/>
      </c>
      <c r="AD160" s="65" t="str">
        <f>+IFERROR(INDEX('Restaurant Base (Hidden)'!$A$2:$Z$1048576,MATCH($C160,'Restaurant Base (Hidden)'!$C$2:$C$1048576,0),MATCH(AD$6,'Restaurant Base (Hidden)'!$A$1:$Z$1,0)),"")</f>
        <v>88,00 %</v>
      </c>
      <c r="AE160" s="1">
        <f>+IFERROR(INDEX('Restaurant Base (Hidden)'!$A$2:$Z$1048576,MATCH($C160,'Restaurant Base (Hidden)'!$C$2:$C$1048576,0),MATCH(AE$6,'Restaurant Base (Hidden)'!$A$1:$Z$1,0)),"")</f>
        <v>3</v>
      </c>
      <c r="AF160" s="65" t="str">
        <f>+IFERROR(INDEX('Restaurant Base (Hidden)'!$A$2:$Z$1048576,MATCH($C160,'Restaurant Base (Hidden)'!$C$2:$C$1048576,0),MATCH(AF$6,'Restaurant Base (Hidden)'!$A$1:$Z$1,0)),"")</f>
        <v>71,50 %</v>
      </c>
      <c r="AG160" s="1">
        <f>+IFERROR(INDEX('Restaurant Base (Hidden)'!$A$2:$Z$1048576,MATCH($C160,'Restaurant Base (Hidden)'!$C$2:$C$1048576,0),MATCH(AG$6,'Restaurant Base (Hidden)'!$A$1:$Z$1,0)),"")</f>
        <v>1</v>
      </c>
    </row>
    <row r="161" spans="1:33" x14ac:dyDescent="0.4">
      <c r="A161" s="163" t="str">
        <f>IF('Restaurant Base (Hidden)'!A266=0,"", 'Restaurant Base (Hidden)'!A266)</f>
        <v>Cameron Creston</v>
      </c>
      <c r="B161" s="163" t="str">
        <f>IF('Restaurant Base (Hidden)'!B266=0,"", 'Restaurant Base (Hidden)'!B266)</f>
        <v>Highland Crest Restaurants</v>
      </c>
      <c r="C161" s="163" t="str">
        <f>IF('Restaurant Base (Hidden)'!C266=0,"", 'Restaurant Base (Hidden)'!C266)</f>
        <v>Glen Pines</v>
      </c>
      <c r="D161" s="104">
        <f t="shared" si="2"/>
        <v>154</v>
      </c>
      <c r="E161" s="105">
        <f>+IFERROR(INDEX('Restaurant Base (Hidden)'!$A$2:$Z$1048576,MATCH($C161,'Restaurant Base (Hidden)'!$C$2:$C$1048576,0),MATCH(E$6,'Restaurant Base (Hidden)'!$A$1:$Z$1,0)),"")</f>
        <v>3.15</v>
      </c>
      <c r="F161" s="2" t="str">
        <f>+IFERROR(INDEX('Restaurant Base (Hidden)'!$A$2:$Z$1048576,MATCH($C161,'Restaurant Base (Hidden)'!$C$2:$C$1048576,0),MATCH(F$6,'Restaurant Base (Hidden)'!$A$1:$Z$1,0)),"")</f>
        <v/>
      </c>
      <c r="G161" s="20" t="str">
        <f>+IFERROR(INDEX('Restaurant Base (Hidden)'!$A$2:$Z$1048576,MATCH($C161,'Restaurant Base (Hidden)'!$C$2:$C$1048576,0),MATCH(G$6,'Restaurant Base (Hidden)'!$A$1:$Z$1,0)),"")</f>
        <v>4,397</v>
      </c>
      <c r="H161" s="50">
        <f>+IFERROR(INDEX('Restaurant Base (Hidden)'!$A$2:$Z$1048576,MATCH($C161,'Restaurant Base (Hidden)'!$C$2:$C$1048576,0),MATCH(H$6,'Restaurant Base (Hidden)'!$A$1:$Z$1,0)),"")</f>
        <v>4</v>
      </c>
      <c r="I161" s="20" t="str">
        <f>+IFERROR(INDEX('Restaurant Base (Hidden)'!$A$2:$Z$1048576,MATCH($C161,'Restaurant Base (Hidden)'!$C$2:$C$1048576,0),MATCH(I$6,'Restaurant Base (Hidden)'!$A$1:$Z$1,0)),"")</f>
        <v>95,60 %</v>
      </c>
      <c r="J161" s="49">
        <f>+IFERROR(INDEX('Restaurant Base (Hidden)'!$A$2:$Z$1048576,MATCH($C161,'Restaurant Base (Hidden)'!$C$2:$C$1048576,0),MATCH(J$6,'Restaurant Base (Hidden)'!$A$1:$Z$1,0)),"")</f>
        <v>5</v>
      </c>
      <c r="K161" s="20" t="str">
        <f>+IFERROR(INDEX('Restaurant Base (Hidden)'!$A$2:$Z$1048576,MATCH($C161,'Restaurant Base (Hidden)'!$C$2:$C$1048576,0),MATCH(K$6,'Restaurant Base (Hidden)'!$A$1:$Z$1,0)),"")</f>
        <v>0,197</v>
      </c>
      <c r="L161" s="51">
        <f>+IFERROR(INDEX('Restaurant Base (Hidden)'!$A$2:$Z$1048576,MATCH($C161,'Restaurant Base (Hidden)'!$C$2:$C$1048576,0),MATCH(L$6,'Restaurant Base (Hidden)'!$A$1:$Z$1,0)),"")</f>
        <v>1</v>
      </c>
      <c r="M161" s="2" t="str">
        <f>+IFERROR(INDEX('Restaurant Base (Hidden)'!$A$2:$Z$1048576,MATCH($C161,'Restaurant Base (Hidden)'!$C$2:$C$1048576,0),MATCH(M$6,'Restaurant Base (Hidden)'!$A$1:$Z$1,0)),"")</f>
        <v/>
      </c>
      <c r="N161" s="234" t="str">
        <f>+IFERROR(INDEX('Restaurant Base (Hidden)'!$A$2:$Z$1048576,MATCH($C161,'Restaurant Base (Hidden)'!$C$2:$C$1048576,0),MATCH(N$6,'Restaurant Base (Hidden)'!$A$1:$Z$1,0)),"")</f>
        <v>70,80 %</v>
      </c>
      <c r="O161" s="1">
        <f>+IFERROR(INDEX('Restaurant Base (Hidden)'!$A$2:$Z$1048576,MATCH($C161,'Restaurant Base (Hidden)'!$C$2:$C$1048576,0),MATCH(O$6,'Restaurant Base (Hidden)'!$A$1:$Z$1,0)),"")</f>
        <v>4</v>
      </c>
      <c r="P161" s="2" t="str">
        <f>+IFERROR(INDEX('Restaurant Base (Hidden)'!$A$2:$Z$1048576,MATCH($C161,'Restaurant Base (Hidden)'!$C$2:$C$1048576,0),MATCH(P$6,'Restaurant Base (Hidden)'!$A$1:$Z$1,0)),"")</f>
        <v/>
      </c>
      <c r="Q161" s="234" t="str">
        <f>+IFERROR(INDEX('Restaurant Base (Hidden)'!$A$2:$Z$1048576,MATCH($C161,'Restaurant Base (Hidden)'!$C$2:$C$1048576,0),MATCH(Q$6,'Restaurant Base (Hidden)'!$A$1:$Z$1,0)),"")</f>
        <v>61,60 %</v>
      </c>
      <c r="R161" s="1">
        <f>+IFERROR(INDEX('Restaurant Base (Hidden)'!$A$2:$Z$1048576,MATCH($C161,'Restaurant Base (Hidden)'!$C$2:$C$1048576,0),MATCH(R$6,'Restaurant Base (Hidden)'!$A$1:$Z$1,0)),"")</f>
        <v>2</v>
      </c>
      <c r="S161" s="2" t="str">
        <f>+IFERROR(INDEX('Restaurant Base (Hidden)'!$A$2:$Z$1048576,MATCH($C161,'Restaurant Base (Hidden)'!$C$2:$C$1048576,0),MATCH(S$6,'Restaurant Base (Hidden)'!$A$1:$Z$1,0)),"")</f>
        <v/>
      </c>
      <c r="T161" s="62">
        <f>+IFERROR(INDEX('Restaurant Base (Hidden)'!$A$2:$Z$1048576,MATCH($C161,'Restaurant Base (Hidden)'!$C$2:$C$1048576,0),MATCH(T$6,'Restaurant Base (Hidden)'!$A$1:$Z$1,0)),"")</f>
        <v>73.7</v>
      </c>
      <c r="U161" s="1">
        <f>+IFERROR(INDEX('Restaurant Base (Hidden)'!$A$2:$Z$1048576,MATCH($C161,'Restaurant Base (Hidden)'!$C$2:$C$1048576,0),MATCH(U$6,'Restaurant Base (Hidden)'!$A$1:$Z$1,0)),"")</f>
        <v>5</v>
      </c>
      <c r="V161" s="2" t="str">
        <f>+IFERROR(INDEX('Restaurant Base (Hidden)'!$A$2:$Z$1048576,MATCH($C161,'Restaurant Base (Hidden)'!$C$2:$C$1048576,0),MATCH(V$6,'Restaurant Base (Hidden)'!$A$1:$Z$1,0)),"")</f>
        <v/>
      </c>
      <c r="W161" s="65" t="str">
        <f>+IFERROR(INDEX('Restaurant Base (Hidden)'!$A$2:$Z$1048576,MATCH($C161,'Restaurant Base (Hidden)'!$C$2:$C$1048576,0),MATCH(W$6,'Restaurant Base (Hidden)'!$A$1:$Z$1,0)),"")</f>
        <v>69,60 %</v>
      </c>
      <c r="X161" s="1">
        <f>+IFERROR(INDEX('Restaurant Base (Hidden)'!$A$2:$Z$1048576,MATCH($C161,'Restaurant Base (Hidden)'!$C$2:$C$1048576,0),MATCH(X$6,'Restaurant Base (Hidden)'!$A$1:$Z$1,0)),"")</f>
        <v>2</v>
      </c>
      <c r="Y161" s="65" t="str">
        <f>+IFERROR(INDEX('Restaurant Base (Hidden)'!$A$2:$Z$1048576,MATCH($C161,'Restaurant Base (Hidden)'!$C$2:$C$1048576,0),MATCH(Y$6,'Restaurant Base (Hidden)'!$A$1:$Z$1,0)),"")</f>
        <v>67,00 %</v>
      </c>
      <c r="Z161" s="106">
        <f>+IFERROR(INDEX('Restaurant Base (Hidden)'!$A$2:$Z$1048576,MATCH($C161,'Restaurant Base (Hidden)'!$C$2:$C$1048576,0),MATCH(Z$6,'Restaurant Base (Hidden)'!$A$1:$Z$1,0)),"")</f>
        <v>2</v>
      </c>
      <c r="AA161" s="65" t="str">
        <f>+IFERROR(INDEX('Restaurant Base (Hidden)'!$A$2:$Z$1048576,MATCH($C161,'Restaurant Base (Hidden)'!$C$2:$C$1048576,0),MATCH(AA$6,'Restaurant Base (Hidden)'!$A$1:$Z$1,0)),"")</f>
        <v>77,30 %</v>
      </c>
      <c r="AB161" s="1">
        <f>+IFERROR(INDEX('Restaurant Base (Hidden)'!$A$2:$Z$1048576,MATCH($C161,'Restaurant Base (Hidden)'!$C$2:$C$1048576,0),MATCH(AB$6,'Restaurant Base (Hidden)'!$A$1:$Z$1,0)),"")</f>
        <v>2</v>
      </c>
      <c r="AC161" s="20" t="str">
        <f>+IFERROR(INDEX('Restaurant Base (Hidden)'!$A$2:$Z$1048576,MATCH($C161,'Restaurant Base (Hidden)'!$C$2:$C$1048576,0),MATCH(AC$6,'Restaurant Base (Hidden)'!$A$1:$Z$1,0)),"")</f>
        <v/>
      </c>
      <c r="AD161" s="65" t="str">
        <f>+IFERROR(INDEX('Restaurant Base (Hidden)'!$A$2:$Z$1048576,MATCH($C161,'Restaurant Base (Hidden)'!$C$2:$C$1048576,0),MATCH(AD$6,'Restaurant Base (Hidden)'!$A$1:$Z$1,0)),"")</f>
        <v>94,00 %</v>
      </c>
      <c r="AE161" s="1">
        <f>+IFERROR(INDEX('Restaurant Base (Hidden)'!$A$2:$Z$1048576,MATCH($C161,'Restaurant Base (Hidden)'!$C$2:$C$1048576,0),MATCH(AE$6,'Restaurant Base (Hidden)'!$A$1:$Z$1,0)),"")</f>
        <v>4</v>
      </c>
      <c r="AF161" s="65" t="str">
        <f>+IFERROR(INDEX('Restaurant Base (Hidden)'!$A$2:$Z$1048576,MATCH($C161,'Restaurant Base (Hidden)'!$C$2:$C$1048576,0),MATCH(AF$6,'Restaurant Base (Hidden)'!$A$1:$Z$1,0)),"")</f>
        <v>57,50 %</v>
      </c>
      <c r="AG161" s="1">
        <f>+IFERROR(INDEX('Restaurant Base (Hidden)'!$A$2:$Z$1048576,MATCH($C161,'Restaurant Base (Hidden)'!$C$2:$C$1048576,0),MATCH(AG$6,'Restaurant Base (Hidden)'!$A$1:$Z$1,0)),"")</f>
        <v>1</v>
      </c>
    </row>
    <row r="162" spans="1:33" x14ac:dyDescent="0.4">
      <c r="A162" s="163" t="str">
        <f>IF('Restaurant Base (Hidden)'!A288=0,"", 'Restaurant Base (Hidden)'!A288)</f>
        <v>Marlowe Ellington</v>
      </c>
      <c r="B162" s="163" t="str">
        <f>IF('Restaurant Base (Hidden)'!B288=0,"", 'Restaurant Base (Hidden)'!B288)</f>
        <v>Cedarstone Hospitality</v>
      </c>
      <c r="C162" s="163" t="str">
        <f>IF('Restaurant Base (Hidden)'!C288=0,"", 'Restaurant Base (Hidden)'!C288)</f>
        <v>Highland Gardens</v>
      </c>
      <c r="D162" s="104">
        <f t="shared" si="2"/>
        <v>154</v>
      </c>
      <c r="E162" s="105">
        <f>+IFERROR(INDEX('Restaurant Base (Hidden)'!$A$2:$Z$1048576,MATCH($C162,'Restaurant Base (Hidden)'!$C$2:$C$1048576,0),MATCH(E$6,'Restaurant Base (Hidden)'!$A$1:$Z$1,0)),"")</f>
        <v>3.15</v>
      </c>
      <c r="F162" s="2" t="str">
        <f>+IFERROR(INDEX('Restaurant Base (Hidden)'!$A$2:$Z$1048576,MATCH($C162,'Restaurant Base (Hidden)'!$C$2:$C$1048576,0),MATCH(F$6,'Restaurant Base (Hidden)'!$A$1:$Z$1,0)),"")</f>
        <v/>
      </c>
      <c r="G162" s="20" t="str">
        <f>+IFERROR(INDEX('Restaurant Base (Hidden)'!$A$2:$Z$1048576,MATCH($C162,'Restaurant Base (Hidden)'!$C$2:$C$1048576,0),MATCH(G$6,'Restaurant Base (Hidden)'!$A$1:$Z$1,0)),"")</f>
        <v>4,722</v>
      </c>
      <c r="H162" s="50">
        <f>+IFERROR(INDEX('Restaurant Base (Hidden)'!$A$2:$Z$1048576,MATCH($C162,'Restaurant Base (Hidden)'!$C$2:$C$1048576,0),MATCH(H$6,'Restaurant Base (Hidden)'!$A$1:$Z$1,0)),"")</f>
        <v>5</v>
      </c>
      <c r="I162" s="20" t="str">
        <f>+IFERROR(INDEX('Restaurant Base (Hidden)'!$A$2:$Z$1048576,MATCH($C162,'Restaurant Base (Hidden)'!$C$2:$C$1048576,0),MATCH(I$6,'Restaurant Base (Hidden)'!$A$1:$Z$1,0)),"")</f>
        <v>65,30 %</v>
      </c>
      <c r="J162" s="49">
        <f>+IFERROR(INDEX('Restaurant Base (Hidden)'!$A$2:$Z$1048576,MATCH($C162,'Restaurant Base (Hidden)'!$C$2:$C$1048576,0),MATCH(J$6,'Restaurant Base (Hidden)'!$A$1:$Z$1,0)),"")</f>
        <v>1</v>
      </c>
      <c r="K162" s="20" t="str">
        <f>+IFERROR(INDEX('Restaurant Base (Hidden)'!$A$2:$Z$1048576,MATCH($C162,'Restaurant Base (Hidden)'!$C$2:$C$1048576,0),MATCH(K$6,'Restaurant Base (Hidden)'!$A$1:$Z$1,0)),"")</f>
        <v>0,055</v>
      </c>
      <c r="L162" s="51">
        <f>+IFERROR(INDEX('Restaurant Base (Hidden)'!$A$2:$Z$1048576,MATCH($C162,'Restaurant Base (Hidden)'!$C$2:$C$1048576,0),MATCH(L$6,'Restaurant Base (Hidden)'!$A$1:$Z$1,0)),"")</f>
        <v>5</v>
      </c>
      <c r="M162" s="2" t="str">
        <f>+IFERROR(INDEX('Restaurant Base (Hidden)'!$A$2:$Z$1048576,MATCH($C162,'Restaurant Base (Hidden)'!$C$2:$C$1048576,0),MATCH(M$6,'Restaurant Base (Hidden)'!$A$1:$Z$1,0)),"")</f>
        <v/>
      </c>
      <c r="N162" s="234" t="str">
        <f>+IFERROR(INDEX('Restaurant Base (Hidden)'!$A$2:$Z$1048576,MATCH($C162,'Restaurant Base (Hidden)'!$C$2:$C$1048576,0),MATCH(N$6,'Restaurant Base (Hidden)'!$A$1:$Z$1,0)),"")</f>
        <v>97,50 %</v>
      </c>
      <c r="O162" s="1">
        <f>+IFERROR(INDEX('Restaurant Base (Hidden)'!$A$2:$Z$1048576,MATCH($C162,'Restaurant Base (Hidden)'!$C$2:$C$1048576,0),MATCH(O$6,'Restaurant Base (Hidden)'!$A$1:$Z$1,0)),"")</f>
        <v>5</v>
      </c>
      <c r="P162" s="2" t="str">
        <f>+IFERROR(INDEX('Restaurant Base (Hidden)'!$A$2:$Z$1048576,MATCH($C162,'Restaurant Base (Hidden)'!$C$2:$C$1048576,0),MATCH(P$6,'Restaurant Base (Hidden)'!$A$1:$Z$1,0)),"")</f>
        <v/>
      </c>
      <c r="Q162" s="234" t="str">
        <f>+IFERROR(INDEX('Restaurant Base (Hidden)'!$A$2:$Z$1048576,MATCH($C162,'Restaurant Base (Hidden)'!$C$2:$C$1048576,0),MATCH(Q$6,'Restaurant Base (Hidden)'!$A$1:$Z$1,0)),"")</f>
        <v>71,90 %</v>
      </c>
      <c r="R162" s="1">
        <f>+IFERROR(INDEX('Restaurant Base (Hidden)'!$A$2:$Z$1048576,MATCH($C162,'Restaurant Base (Hidden)'!$C$2:$C$1048576,0),MATCH(R$6,'Restaurant Base (Hidden)'!$A$1:$Z$1,0)),"")</f>
        <v>4</v>
      </c>
      <c r="S162" s="2" t="str">
        <f>+IFERROR(INDEX('Restaurant Base (Hidden)'!$A$2:$Z$1048576,MATCH($C162,'Restaurant Base (Hidden)'!$C$2:$C$1048576,0),MATCH(S$6,'Restaurant Base (Hidden)'!$A$1:$Z$1,0)),"")</f>
        <v/>
      </c>
      <c r="T162" s="62">
        <f>+IFERROR(INDEX('Restaurant Base (Hidden)'!$A$2:$Z$1048576,MATCH($C162,'Restaurant Base (Hidden)'!$C$2:$C$1048576,0),MATCH(T$6,'Restaurant Base (Hidden)'!$A$1:$Z$1,0)),"")</f>
        <v>68.400000000000006</v>
      </c>
      <c r="U162" s="1">
        <f>+IFERROR(INDEX('Restaurant Base (Hidden)'!$A$2:$Z$1048576,MATCH($C162,'Restaurant Base (Hidden)'!$C$2:$C$1048576,0),MATCH(U$6,'Restaurant Base (Hidden)'!$A$1:$Z$1,0)),"")</f>
        <v>4</v>
      </c>
      <c r="V162" s="2" t="str">
        <f>+IFERROR(INDEX('Restaurant Base (Hidden)'!$A$2:$Z$1048576,MATCH($C162,'Restaurant Base (Hidden)'!$C$2:$C$1048576,0),MATCH(V$6,'Restaurant Base (Hidden)'!$A$1:$Z$1,0)),"")</f>
        <v/>
      </c>
      <c r="W162" s="65" t="str">
        <f>+IFERROR(INDEX('Restaurant Base (Hidden)'!$A$2:$Z$1048576,MATCH($C162,'Restaurant Base (Hidden)'!$C$2:$C$1048576,0),MATCH(W$6,'Restaurant Base (Hidden)'!$A$1:$Z$1,0)),"")</f>
        <v>65,50 %</v>
      </c>
      <c r="X162" s="1">
        <f>+IFERROR(INDEX('Restaurant Base (Hidden)'!$A$2:$Z$1048576,MATCH($C162,'Restaurant Base (Hidden)'!$C$2:$C$1048576,0),MATCH(X$6,'Restaurant Base (Hidden)'!$A$1:$Z$1,0)),"")</f>
        <v>2</v>
      </c>
      <c r="Y162" s="65" t="str">
        <f>+IFERROR(INDEX('Restaurant Base (Hidden)'!$A$2:$Z$1048576,MATCH($C162,'Restaurant Base (Hidden)'!$C$2:$C$1048576,0),MATCH(Y$6,'Restaurant Base (Hidden)'!$A$1:$Z$1,0)),"")</f>
        <v>64,00 %</v>
      </c>
      <c r="Z162" s="106">
        <f>+IFERROR(INDEX('Restaurant Base (Hidden)'!$A$2:$Z$1048576,MATCH($C162,'Restaurant Base (Hidden)'!$C$2:$C$1048576,0),MATCH(Z$6,'Restaurant Base (Hidden)'!$A$1:$Z$1,0)),"")</f>
        <v>2</v>
      </c>
      <c r="AA162" s="65" t="str">
        <f>+IFERROR(INDEX('Restaurant Base (Hidden)'!$A$2:$Z$1048576,MATCH($C162,'Restaurant Base (Hidden)'!$C$2:$C$1048576,0),MATCH(AA$6,'Restaurant Base (Hidden)'!$A$1:$Z$1,0)),"")</f>
        <v>59,70 %</v>
      </c>
      <c r="AB162" s="1">
        <f>+IFERROR(INDEX('Restaurant Base (Hidden)'!$A$2:$Z$1048576,MATCH($C162,'Restaurant Base (Hidden)'!$C$2:$C$1048576,0),MATCH(AB$6,'Restaurant Base (Hidden)'!$A$1:$Z$1,0)),"")</f>
        <v>1</v>
      </c>
      <c r="AC162" s="20" t="str">
        <f>+IFERROR(INDEX('Restaurant Base (Hidden)'!$A$2:$Z$1048576,MATCH($C162,'Restaurant Base (Hidden)'!$C$2:$C$1048576,0),MATCH(AC$6,'Restaurant Base (Hidden)'!$A$1:$Z$1,0)),"")</f>
        <v/>
      </c>
      <c r="AD162" s="65" t="str">
        <f>+IFERROR(INDEX('Restaurant Base (Hidden)'!$A$2:$Z$1048576,MATCH($C162,'Restaurant Base (Hidden)'!$C$2:$C$1048576,0),MATCH(AD$6,'Restaurant Base (Hidden)'!$A$1:$Z$1,0)),"")</f>
        <v>88,10 %</v>
      </c>
      <c r="AE162" s="1">
        <f>+IFERROR(INDEX('Restaurant Base (Hidden)'!$A$2:$Z$1048576,MATCH($C162,'Restaurant Base (Hidden)'!$C$2:$C$1048576,0),MATCH(AE$6,'Restaurant Base (Hidden)'!$A$1:$Z$1,0)),"")</f>
        <v>3</v>
      </c>
      <c r="AF162" s="65" t="str">
        <f>+IFERROR(INDEX('Restaurant Base (Hidden)'!$A$2:$Z$1048576,MATCH($C162,'Restaurant Base (Hidden)'!$C$2:$C$1048576,0),MATCH(AF$6,'Restaurant Base (Hidden)'!$A$1:$Z$1,0)),"")</f>
        <v>63,60 %</v>
      </c>
      <c r="AG162" s="1">
        <f>+IFERROR(INDEX('Restaurant Base (Hidden)'!$A$2:$Z$1048576,MATCH($C162,'Restaurant Base (Hidden)'!$C$2:$C$1048576,0),MATCH(AG$6,'Restaurant Base (Hidden)'!$A$1:$Z$1,0)),"")</f>
        <v>1</v>
      </c>
    </row>
    <row r="163" spans="1:33" x14ac:dyDescent="0.4">
      <c r="A163" s="163" t="str">
        <f>IF('Restaurant Base (Hidden)'!A349=0,"", 'Restaurant Base (Hidden)'!A349)</f>
        <v>Tatum Westmere</v>
      </c>
      <c r="B163" s="163" t="str">
        <f>IF('Restaurant Base (Hidden)'!B349=0,"", 'Restaurant Base (Hidden)'!B349)</f>
        <v>Westfield Food Group</v>
      </c>
      <c r="C163" s="163" t="str">
        <f>IF('Restaurant Base (Hidden)'!C349=0,"", 'Restaurant Base (Hidden)'!C349)</f>
        <v>Parkside Court</v>
      </c>
      <c r="D163" s="104">
        <f t="shared" si="2"/>
        <v>154</v>
      </c>
      <c r="E163" s="105">
        <f>+IFERROR(INDEX('Restaurant Base (Hidden)'!$A$2:$Z$1048576,MATCH($C163,'Restaurant Base (Hidden)'!$C$2:$C$1048576,0),MATCH(E$6,'Restaurant Base (Hidden)'!$A$1:$Z$1,0)),"")</f>
        <v>3.15</v>
      </c>
      <c r="F163" s="2" t="str">
        <f>+IFERROR(INDEX('Restaurant Base (Hidden)'!$A$2:$Z$1048576,MATCH($C163,'Restaurant Base (Hidden)'!$C$2:$C$1048576,0),MATCH(F$6,'Restaurant Base (Hidden)'!$A$1:$Z$1,0)),"")</f>
        <v/>
      </c>
      <c r="G163" s="20" t="str">
        <f>+IFERROR(INDEX('Restaurant Base (Hidden)'!$A$2:$Z$1048576,MATCH($C163,'Restaurant Base (Hidden)'!$C$2:$C$1048576,0),MATCH(G$6,'Restaurant Base (Hidden)'!$A$1:$Z$1,0)),"")</f>
        <v>4,431</v>
      </c>
      <c r="H163" s="50">
        <f>+IFERROR(INDEX('Restaurant Base (Hidden)'!$A$2:$Z$1048576,MATCH($C163,'Restaurant Base (Hidden)'!$C$2:$C$1048576,0),MATCH(H$6,'Restaurant Base (Hidden)'!$A$1:$Z$1,0)),"")</f>
        <v>4</v>
      </c>
      <c r="I163" s="20" t="str">
        <f>+IFERROR(INDEX('Restaurant Base (Hidden)'!$A$2:$Z$1048576,MATCH($C163,'Restaurant Base (Hidden)'!$C$2:$C$1048576,0),MATCH(I$6,'Restaurant Base (Hidden)'!$A$1:$Z$1,0)),"")</f>
        <v>91,00 %</v>
      </c>
      <c r="J163" s="49">
        <f>+IFERROR(INDEX('Restaurant Base (Hidden)'!$A$2:$Z$1048576,MATCH($C163,'Restaurant Base (Hidden)'!$C$2:$C$1048576,0),MATCH(J$6,'Restaurant Base (Hidden)'!$A$1:$Z$1,0)),"")</f>
        <v>4</v>
      </c>
      <c r="K163" s="20" t="str">
        <f>+IFERROR(INDEX('Restaurant Base (Hidden)'!$A$2:$Z$1048576,MATCH($C163,'Restaurant Base (Hidden)'!$C$2:$C$1048576,0),MATCH(K$6,'Restaurant Base (Hidden)'!$A$1:$Z$1,0)),"")</f>
        <v>0,049</v>
      </c>
      <c r="L163" s="51">
        <f>+IFERROR(INDEX('Restaurant Base (Hidden)'!$A$2:$Z$1048576,MATCH($C163,'Restaurant Base (Hidden)'!$C$2:$C$1048576,0),MATCH(L$6,'Restaurant Base (Hidden)'!$A$1:$Z$1,0)),"")</f>
        <v>5</v>
      </c>
      <c r="M163" s="2" t="str">
        <f>+IFERROR(INDEX('Restaurant Base (Hidden)'!$A$2:$Z$1048576,MATCH($C163,'Restaurant Base (Hidden)'!$C$2:$C$1048576,0),MATCH(M$6,'Restaurant Base (Hidden)'!$A$1:$Z$1,0)),"")</f>
        <v/>
      </c>
      <c r="N163" s="234" t="str">
        <f>+IFERROR(INDEX('Restaurant Base (Hidden)'!$A$2:$Z$1048576,MATCH($C163,'Restaurant Base (Hidden)'!$C$2:$C$1048576,0),MATCH(N$6,'Restaurant Base (Hidden)'!$A$1:$Z$1,0)),"")</f>
        <v>96,30 %</v>
      </c>
      <c r="O163" s="1">
        <f>+IFERROR(INDEX('Restaurant Base (Hidden)'!$A$2:$Z$1048576,MATCH($C163,'Restaurant Base (Hidden)'!$C$2:$C$1048576,0),MATCH(O$6,'Restaurant Base (Hidden)'!$A$1:$Z$1,0)),"")</f>
        <v>5</v>
      </c>
      <c r="P163" s="2" t="str">
        <f>+IFERROR(INDEX('Restaurant Base (Hidden)'!$A$2:$Z$1048576,MATCH($C163,'Restaurant Base (Hidden)'!$C$2:$C$1048576,0),MATCH(P$6,'Restaurant Base (Hidden)'!$A$1:$Z$1,0)),"")</f>
        <v/>
      </c>
      <c r="Q163" s="234" t="str">
        <f>+IFERROR(INDEX('Restaurant Base (Hidden)'!$A$2:$Z$1048576,MATCH($C163,'Restaurant Base (Hidden)'!$C$2:$C$1048576,0),MATCH(Q$6,'Restaurant Base (Hidden)'!$A$1:$Z$1,0)),"")</f>
        <v>66,20 %</v>
      </c>
      <c r="R163" s="1">
        <f>+IFERROR(INDEX('Restaurant Base (Hidden)'!$A$2:$Z$1048576,MATCH($C163,'Restaurant Base (Hidden)'!$C$2:$C$1048576,0),MATCH(R$6,'Restaurant Base (Hidden)'!$A$1:$Z$1,0)),"")</f>
        <v>3</v>
      </c>
      <c r="S163" s="2" t="str">
        <f>+IFERROR(INDEX('Restaurant Base (Hidden)'!$A$2:$Z$1048576,MATCH($C163,'Restaurant Base (Hidden)'!$C$2:$C$1048576,0),MATCH(S$6,'Restaurant Base (Hidden)'!$A$1:$Z$1,0)),"")</f>
        <v/>
      </c>
      <c r="T163" s="62">
        <f>+IFERROR(INDEX('Restaurant Base (Hidden)'!$A$2:$Z$1048576,MATCH($C163,'Restaurant Base (Hidden)'!$C$2:$C$1048576,0),MATCH(T$6,'Restaurant Base (Hidden)'!$A$1:$Z$1,0)),"")</f>
        <v>54.7</v>
      </c>
      <c r="U163" s="1">
        <f>+IFERROR(INDEX('Restaurant Base (Hidden)'!$A$2:$Z$1048576,MATCH($C163,'Restaurant Base (Hidden)'!$C$2:$C$1048576,0),MATCH(U$6,'Restaurant Base (Hidden)'!$A$1:$Z$1,0)),"")</f>
        <v>1</v>
      </c>
      <c r="V163" s="2" t="str">
        <f>+IFERROR(INDEX('Restaurant Base (Hidden)'!$A$2:$Z$1048576,MATCH($C163,'Restaurant Base (Hidden)'!$C$2:$C$1048576,0),MATCH(V$6,'Restaurant Base (Hidden)'!$A$1:$Z$1,0)),"")</f>
        <v/>
      </c>
      <c r="W163" s="65" t="str">
        <f>+IFERROR(INDEX('Restaurant Base (Hidden)'!$A$2:$Z$1048576,MATCH($C163,'Restaurant Base (Hidden)'!$C$2:$C$1048576,0),MATCH(W$6,'Restaurant Base (Hidden)'!$A$1:$Z$1,0)),"")</f>
        <v>61,10 %</v>
      </c>
      <c r="X163" s="1">
        <f>+IFERROR(INDEX('Restaurant Base (Hidden)'!$A$2:$Z$1048576,MATCH($C163,'Restaurant Base (Hidden)'!$C$2:$C$1048576,0),MATCH(X$6,'Restaurant Base (Hidden)'!$A$1:$Z$1,0)),"")</f>
        <v>2</v>
      </c>
      <c r="Y163" s="65" t="str">
        <f>+IFERROR(INDEX('Restaurant Base (Hidden)'!$A$2:$Z$1048576,MATCH($C163,'Restaurant Base (Hidden)'!$C$2:$C$1048576,0),MATCH(Y$6,'Restaurant Base (Hidden)'!$A$1:$Z$1,0)),"")</f>
        <v>89,10 %</v>
      </c>
      <c r="Z163" s="106">
        <f>+IFERROR(INDEX('Restaurant Base (Hidden)'!$A$2:$Z$1048576,MATCH($C163,'Restaurant Base (Hidden)'!$C$2:$C$1048576,0),MATCH(Z$6,'Restaurant Base (Hidden)'!$A$1:$Z$1,0)),"")</f>
        <v>3</v>
      </c>
      <c r="AA163" s="65" t="str">
        <f>+IFERROR(INDEX('Restaurant Base (Hidden)'!$A$2:$Z$1048576,MATCH($C163,'Restaurant Base (Hidden)'!$C$2:$C$1048576,0),MATCH(AA$6,'Restaurant Base (Hidden)'!$A$1:$Z$1,0)),"")</f>
        <v>89,20 %</v>
      </c>
      <c r="AB163" s="1">
        <f>+IFERROR(INDEX('Restaurant Base (Hidden)'!$A$2:$Z$1048576,MATCH($C163,'Restaurant Base (Hidden)'!$C$2:$C$1048576,0),MATCH(AB$6,'Restaurant Base (Hidden)'!$A$1:$Z$1,0)),"")</f>
        <v>3</v>
      </c>
      <c r="AC163" s="20" t="str">
        <f>+IFERROR(INDEX('Restaurant Base (Hidden)'!$A$2:$Z$1048576,MATCH($C163,'Restaurant Base (Hidden)'!$C$2:$C$1048576,0),MATCH(AC$6,'Restaurant Base (Hidden)'!$A$1:$Z$1,0)),"")</f>
        <v/>
      </c>
      <c r="AD163" s="65" t="str">
        <f>+IFERROR(INDEX('Restaurant Base (Hidden)'!$A$2:$Z$1048576,MATCH($C163,'Restaurant Base (Hidden)'!$C$2:$C$1048576,0),MATCH(AD$6,'Restaurant Base (Hidden)'!$A$1:$Z$1,0)),"")</f>
        <v>69,10 %</v>
      </c>
      <c r="AE163" s="1">
        <f>+IFERROR(INDEX('Restaurant Base (Hidden)'!$A$2:$Z$1048576,MATCH($C163,'Restaurant Base (Hidden)'!$C$2:$C$1048576,0),MATCH(AE$6,'Restaurant Base (Hidden)'!$A$1:$Z$1,0)),"")</f>
        <v>1</v>
      </c>
      <c r="AF163" s="65" t="str">
        <f>+IFERROR(INDEX('Restaurant Base (Hidden)'!$A$2:$Z$1048576,MATCH($C163,'Restaurant Base (Hidden)'!$C$2:$C$1048576,0),MATCH(AF$6,'Restaurant Base (Hidden)'!$A$1:$Z$1,0)),"")</f>
        <v>92,50 %</v>
      </c>
      <c r="AG163" s="1">
        <f>+IFERROR(INDEX('Restaurant Base (Hidden)'!$A$2:$Z$1048576,MATCH($C163,'Restaurant Base (Hidden)'!$C$2:$C$1048576,0),MATCH(AG$6,'Restaurant Base (Hidden)'!$A$1:$Z$1,0)),"")</f>
        <v>3</v>
      </c>
    </row>
    <row r="164" spans="1:33" x14ac:dyDescent="0.4">
      <c r="A164" s="163" t="str">
        <f>IF('Restaurant Base (Hidden)'!A52=0,"", 'Restaurant Base (Hidden)'!A52)</f>
        <v>Arden Brookstone</v>
      </c>
      <c r="B164" s="163" t="str">
        <f>IF('Restaurant Base (Hidden)'!B52=0,"", 'Restaurant Base (Hidden)'!B52)</f>
        <v>Kingswell Food Partners</v>
      </c>
      <c r="C164" s="163" t="str">
        <f>IF('Restaurant Base (Hidden)'!C52=0,"", 'Restaurant Base (Hidden)'!C52)</f>
        <v>Highland Heath</v>
      </c>
      <c r="D164" s="104">
        <f t="shared" si="2"/>
        <v>158</v>
      </c>
      <c r="E164" s="105">
        <f>+IFERROR(INDEX('Restaurant Base (Hidden)'!$A$2:$Z$1048576,MATCH($C164,'Restaurant Base (Hidden)'!$C$2:$C$1048576,0),MATCH(E$6,'Restaurant Base (Hidden)'!$A$1:$Z$1,0)),"")</f>
        <v>3.14</v>
      </c>
      <c r="F164" s="64" t="str">
        <f>+IFERROR(INDEX('Restaurant Base (Hidden)'!$A$2:$Z$1048576,MATCH($C164,'Restaurant Base (Hidden)'!$C$2:$C$1048576,0),MATCH(F$6,'Restaurant Base (Hidden)'!$A$1:$Z$1,0)),"")</f>
        <v/>
      </c>
      <c r="G164" s="20" t="str">
        <f>+IFERROR(INDEX('Restaurant Base (Hidden)'!$A$2:$Z$1048576,MATCH($C164,'Restaurant Base (Hidden)'!$C$2:$C$1048576,0),MATCH(G$6,'Restaurant Base (Hidden)'!$A$1:$Z$1,0)),"")</f>
        <v>4,548</v>
      </c>
      <c r="H164" s="50">
        <f>+IFERROR(INDEX('Restaurant Base (Hidden)'!$A$2:$Z$1048576,MATCH($C164,'Restaurant Base (Hidden)'!$C$2:$C$1048576,0),MATCH(H$6,'Restaurant Base (Hidden)'!$A$1:$Z$1,0)),"")</f>
        <v>5</v>
      </c>
      <c r="I164" s="20" t="str">
        <f>+IFERROR(INDEX('Restaurant Base (Hidden)'!$A$2:$Z$1048576,MATCH($C164,'Restaurant Base (Hidden)'!$C$2:$C$1048576,0),MATCH(I$6,'Restaurant Base (Hidden)'!$A$1:$Z$1,0)),"")</f>
        <v>57,00 %</v>
      </c>
      <c r="J164" s="49">
        <f>+IFERROR(INDEX('Restaurant Base (Hidden)'!$A$2:$Z$1048576,MATCH($C164,'Restaurant Base (Hidden)'!$C$2:$C$1048576,0),MATCH(J$6,'Restaurant Base (Hidden)'!$A$1:$Z$1,0)),"")</f>
        <v>1</v>
      </c>
      <c r="K164" s="20" t="str">
        <f>+IFERROR(INDEX('Restaurant Base (Hidden)'!$A$2:$Z$1048576,MATCH($C164,'Restaurant Base (Hidden)'!$C$2:$C$1048576,0),MATCH(K$6,'Restaurant Base (Hidden)'!$A$1:$Z$1,0)),"")</f>
        <v>0,120</v>
      </c>
      <c r="L164" s="51">
        <f>+IFERROR(INDEX('Restaurant Base (Hidden)'!$A$2:$Z$1048576,MATCH($C164,'Restaurant Base (Hidden)'!$C$2:$C$1048576,0),MATCH(L$6,'Restaurant Base (Hidden)'!$A$1:$Z$1,0)),"")</f>
        <v>3</v>
      </c>
      <c r="M164" s="2" t="str">
        <f>+IFERROR(INDEX('Restaurant Base (Hidden)'!$A$2:$Z$1048576,MATCH($C164,'Restaurant Base (Hidden)'!$C$2:$C$1048576,0),MATCH(M$6,'Restaurant Base (Hidden)'!$A$1:$Z$1,0)),"")</f>
        <v/>
      </c>
      <c r="N164" s="234" t="str">
        <f>+IFERROR(INDEX('Restaurant Base (Hidden)'!$A$2:$Z$1048576,MATCH($C164,'Restaurant Base (Hidden)'!$C$2:$C$1048576,0),MATCH(N$6,'Restaurant Base (Hidden)'!$A$1:$Z$1,0)),"")</f>
        <v>78,20 %</v>
      </c>
      <c r="O164" s="1">
        <f>+IFERROR(INDEX('Restaurant Base (Hidden)'!$A$2:$Z$1048576,MATCH($C164,'Restaurant Base (Hidden)'!$C$2:$C$1048576,0),MATCH(O$6,'Restaurant Base (Hidden)'!$A$1:$Z$1,0)),"")</f>
        <v>5</v>
      </c>
      <c r="P164" s="2" t="str">
        <f>+IFERROR(INDEX('Restaurant Base (Hidden)'!$A$2:$Z$1048576,MATCH($C164,'Restaurant Base (Hidden)'!$C$2:$C$1048576,0),MATCH(P$6,'Restaurant Base (Hidden)'!$A$1:$Z$1,0)),"")</f>
        <v/>
      </c>
      <c r="Q164" s="234" t="str">
        <f>+IFERROR(INDEX('Restaurant Base (Hidden)'!$A$2:$Z$1048576,MATCH($C164,'Restaurant Base (Hidden)'!$C$2:$C$1048576,0),MATCH(Q$6,'Restaurant Base (Hidden)'!$A$1:$Z$1,0)),"")</f>
        <v>81,40 %</v>
      </c>
      <c r="R164" s="1">
        <f>+IFERROR(INDEX('Restaurant Base (Hidden)'!$A$2:$Z$1048576,MATCH($C164,'Restaurant Base (Hidden)'!$C$2:$C$1048576,0),MATCH(R$6,'Restaurant Base (Hidden)'!$A$1:$Z$1,0)),"")</f>
        <v>5</v>
      </c>
      <c r="S164" s="2" t="str">
        <f>+IFERROR(INDEX('Restaurant Base (Hidden)'!$A$2:$Z$1048576,MATCH($C164,'Restaurant Base (Hidden)'!$C$2:$C$1048576,0),MATCH(S$6,'Restaurant Base (Hidden)'!$A$1:$Z$1,0)),"")</f>
        <v/>
      </c>
      <c r="T164" s="62">
        <f>+IFERROR(INDEX('Restaurant Base (Hidden)'!$A$2:$Z$1048576,MATCH($C164,'Restaurant Base (Hidden)'!$C$2:$C$1048576,0),MATCH(T$6,'Restaurant Base (Hidden)'!$A$1:$Z$1,0)),"")</f>
        <v>68.099999999999994</v>
      </c>
      <c r="U164" s="1">
        <f>+IFERROR(INDEX('Restaurant Base (Hidden)'!$A$2:$Z$1048576,MATCH($C164,'Restaurant Base (Hidden)'!$C$2:$C$1048576,0),MATCH(U$6,'Restaurant Base (Hidden)'!$A$1:$Z$1,0)),"")</f>
        <v>4</v>
      </c>
      <c r="V164" s="2" t="str">
        <f>+IFERROR(INDEX('Restaurant Base (Hidden)'!$A$2:$Z$1048576,MATCH($C164,'Restaurant Base (Hidden)'!$C$2:$C$1048576,0),MATCH(V$6,'Restaurant Base (Hidden)'!$A$1:$Z$1,0)),"")</f>
        <v/>
      </c>
      <c r="W164" s="65" t="str">
        <f>+IFERROR(INDEX('Restaurant Base (Hidden)'!$A$2:$Z$1048576,MATCH($C164,'Restaurant Base (Hidden)'!$C$2:$C$1048576,0),MATCH(W$6,'Restaurant Base (Hidden)'!$A$1:$Z$1,0)),"")</f>
        <v>85,10 %</v>
      </c>
      <c r="X164" s="1">
        <f>+IFERROR(INDEX('Restaurant Base (Hidden)'!$A$2:$Z$1048576,MATCH($C164,'Restaurant Base (Hidden)'!$C$2:$C$1048576,0),MATCH(X$6,'Restaurant Base (Hidden)'!$A$1:$Z$1,0)),"")</f>
        <v>3</v>
      </c>
      <c r="Y164" s="65" t="str">
        <f>+IFERROR(INDEX('Restaurant Base (Hidden)'!$A$2:$Z$1048576,MATCH($C164,'Restaurant Base (Hidden)'!$C$2:$C$1048576,0),MATCH(Y$6,'Restaurant Base (Hidden)'!$A$1:$Z$1,0)),"")</f>
        <v>55,90 %</v>
      </c>
      <c r="Z164" s="106">
        <f>+IFERROR(INDEX('Restaurant Base (Hidden)'!$A$2:$Z$1048576,MATCH($C164,'Restaurant Base (Hidden)'!$C$2:$C$1048576,0),MATCH(Z$6,'Restaurant Base (Hidden)'!$A$1:$Z$1,0)),"")</f>
        <v>1</v>
      </c>
      <c r="AA164" s="65" t="str">
        <f>+IFERROR(INDEX('Restaurant Base (Hidden)'!$A$2:$Z$1048576,MATCH($C164,'Restaurant Base (Hidden)'!$C$2:$C$1048576,0),MATCH(AA$6,'Restaurant Base (Hidden)'!$A$1:$Z$1,0)),"")</f>
        <v>81,40 %</v>
      </c>
      <c r="AB164" s="1">
        <f>+IFERROR(INDEX('Restaurant Base (Hidden)'!$A$2:$Z$1048576,MATCH($C164,'Restaurant Base (Hidden)'!$C$2:$C$1048576,0),MATCH(AB$6,'Restaurant Base (Hidden)'!$A$1:$Z$1,0)),"")</f>
        <v>2</v>
      </c>
      <c r="AC164" s="20" t="str">
        <f>+IFERROR(INDEX('Restaurant Base (Hidden)'!$A$2:$Z$1048576,MATCH($C164,'Restaurant Base (Hidden)'!$C$2:$C$1048576,0),MATCH(AC$6,'Restaurant Base (Hidden)'!$A$1:$Z$1,0)),"")</f>
        <v/>
      </c>
      <c r="AD164" s="65" t="str">
        <f>+IFERROR(INDEX('Restaurant Base (Hidden)'!$A$2:$Z$1048576,MATCH($C164,'Restaurant Base (Hidden)'!$C$2:$C$1048576,0),MATCH(AD$6,'Restaurant Base (Hidden)'!$A$1:$Z$1,0)),"")</f>
        <v>73,90 %</v>
      </c>
      <c r="AE164" s="1">
        <f>+IFERROR(INDEX('Restaurant Base (Hidden)'!$A$2:$Z$1048576,MATCH($C164,'Restaurant Base (Hidden)'!$C$2:$C$1048576,0),MATCH(AE$6,'Restaurant Base (Hidden)'!$A$1:$Z$1,0)),"")</f>
        <v>2</v>
      </c>
      <c r="AF164" s="65" t="str">
        <f>+IFERROR(INDEX('Restaurant Base (Hidden)'!$A$2:$Z$1048576,MATCH($C164,'Restaurant Base (Hidden)'!$C$2:$C$1048576,0),MATCH(AF$6,'Restaurant Base (Hidden)'!$A$1:$Z$1,0)),"")</f>
        <v>56,30 %</v>
      </c>
      <c r="AG164" s="1">
        <f>+IFERROR(INDEX('Restaurant Base (Hidden)'!$A$2:$Z$1048576,MATCH($C164,'Restaurant Base (Hidden)'!$C$2:$C$1048576,0),MATCH(AG$6,'Restaurant Base (Hidden)'!$A$1:$Z$1,0)),"")</f>
        <v>1</v>
      </c>
    </row>
    <row r="165" spans="1:33" x14ac:dyDescent="0.4">
      <c r="A165" s="163" t="str">
        <f>IF('Restaurant Base (Hidden)'!A250=0,"", 'Restaurant Base (Hidden)'!A250)</f>
        <v>Reese Whitmore</v>
      </c>
      <c r="B165" s="163" t="str">
        <f>IF('Restaurant Base (Hidden)'!B250=0,"", 'Restaurant Base (Hidden)'!B250)</f>
        <v>Evercrest Restaurants</v>
      </c>
      <c r="C165" s="163" t="str">
        <f>IF('Restaurant Base (Hidden)'!C250=0,"", 'Restaurant Base (Hidden)'!C250)</f>
        <v>Silverbrook Fields</v>
      </c>
      <c r="D165" s="104">
        <f t="shared" si="2"/>
        <v>158</v>
      </c>
      <c r="E165" s="105">
        <f>+IFERROR(INDEX('Restaurant Base (Hidden)'!$A$2:$Z$1048576,MATCH($C165,'Restaurant Base (Hidden)'!$C$2:$C$1048576,0),MATCH(E$6,'Restaurant Base (Hidden)'!$A$1:$Z$1,0)),"")</f>
        <v>3.14</v>
      </c>
      <c r="F165" s="2" t="str">
        <f>+IFERROR(INDEX('Restaurant Base (Hidden)'!$A$2:$Z$1048576,MATCH($C165,'Restaurant Base (Hidden)'!$C$2:$C$1048576,0),MATCH(F$6,'Restaurant Base (Hidden)'!$A$1:$Z$1,0)),"")</f>
        <v/>
      </c>
      <c r="G165" s="20" t="str">
        <f>+IFERROR(INDEX('Restaurant Base (Hidden)'!$A$2:$Z$1048576,MATCH($C165,'Restaurant Base (Hidden)'!$C$2:$C$1048576,0),MATCH(G$6,'Restaurant Base (Hidden)'!$A$1:$Z$1,0)),"")</f>
        <v>4,351</v>
      </c>
      <c r="H165" s="50">
        <f>+IFERROR(INDEX('Restaurant Base (Hidden)'!$A$2:$Z$1048576,MATCH($C165,'Restaurant Base (Hidden)'!$C$2:$C$1048576,0),MATCH(H$6,'Restaurant Base (Hidden)'!$A$1:$Z$1,0)),"")</f>
        <v>4</v>
      </c>
      <c r="I165" s="20" t="str">
        <f>+IFERROR(INDEX('Restaurant Base (Hidden)'!$A$2:$Z$1048576,MATCH($C165,'Restaurant Base (Hidden)'!$C$2:$C$1048576,0),MATCH(I$6,'Restaurant Base (Hidden)'!$A$1:$Z$1,0)),"")</f>
        <v>91,10 %</v>
      </c>
      <c r="J165" s="49">
        <f>+IFERROR(INDEX('Restaurant Base (Hidden)'!$A$2:$Z$1048576,MATCH($C165,'Restaurant Base (Hidden)'!$C$2:$C$1048576,0),MATCH(J$6,'Restaurant Base (Hidden)'!$A$1:$Z$1,0)),"")</f>
        <v>4</v>
      </c>
      <c r="K165" s="20" t="str">
        <f>+IFERROR(INDEX('Restaurant Base (Hidden)'!$A$2:$Z$1048576,MATCH($C165,'Restaurant Base (Hidden)'!$C$2:$C$1048576,0),MATCH(K$6,'Restaurant Base (Hidden)'!$A$1:$Z$1,0)),"")</f>
        <v>0,199</v>
      </c>
      <c r="L165" s="51">
        <f>+IFERROR(INDEX('Restaurant Base (Hidden)'!$A$2:$Z$1048576,MATCH($C165,'Restaurant Base (Hidden)'!$C$2:$C$1048576,0),MATCH(L$6,'Restaurant Base (Hidden)'!$A$1:$Z$1,0)),"")</f>
        <v>1</v>
      </c>
      <c r="M165" s="2" t="str">
        <f>+IFERROR(INDEX('Restaurant Base (Hidden)'!$A$2:$Z$1048576,MATCH($C165,'Restaurant Base (Hidden)'!$C$2:$C$1048576,0),MATCH(M$6,'Restaurant Base (Hidden)'!$A$1:$Z$1,0)),"")</f>
        <v/>
      </c>
      <c r="N165" s="234" t="str">
        <f>+IFERROR(INDEX('Restaurant Base (Hidden)'!$A$2:$Z$1048576,MATCH($C165,'Restaurant Base (Hidden)'!$C$2:$C$1048576,0),MATCH(N$6,'Restaurant Base (Hidden)'!$A$1:$Z$1,0)),"")</f>
        <v>94,80 %</v>
      </c>
      <c r="O165" s="1">
        <f>+IFERROR(INDEX('Restaurant Base (Hidden)'!$A$2:$Z$1048576,MATCH($C165,'Restaurant Base (Hidden)'!$C$2:$C$1048576,0),MATCH(O$6,'Restaurant Base (Hidden)'!$A$1:$Z$1,0)),"")</f>
        <v>5</v>
      </c>
      <c r="P165" s="2" t="str">
        <f>+IFERROR(INDEX('Restaurant Base (Hidden)'!$A$2:$Z$1048576,MATCH($C165,'Restaurant Base (Hidden)'!$C$2:$C$1048576,0),MATCH(P$6,'Restaurant Base (Hidden)'!$A$1:$Z$1,0)),"")</f>
        <v/>
      </c>
      <c r="Q165" s="234" t="str">
        <f>+IFERROR(INDEX('Restaurant Base (Hidden)'!$A$2:$Z$1048576,MATCH($C165,'Restaurant Base (Hidden)'!$C$2:$C$1048576,0),MATCH(Q$6,'Restaurant Base (Hidden)'!$A$1:$Z$1,0)),"")</f>
        <v>71,90 %</v>
      </c>
      <c r="R165" s="1">
        <f>+IFERROR(INDEX('Restaurant Base (Hidden)'!$A$2:$Z$1048576,MATCH($C165,'Restaurant Base (Hidden)'!$C$2:$C$1048576,0),MATCH(R$6,'Restaurant Base (Hidden)'!$A$1:$Z$1,0)),"")</f>
        <v>4</v>
      </c>
      <c r="S165" s="2" t="str">
        <f>+IFERROR(INDEX('Restaurant Base (Hidden)'!$A$2:$Z$1048576,MATCH($C165,'Restaurant Base (Hidden)'!$C$2:$C$1048576,0),MATCH(S$6,'Restaurant Base (Hidden)'!$A$1:$Z$1,0)),"")</f>
        <v/>
      </c>
      <c r="T165" s="62">
        <f>+IFERROR(INDEX('Restaurant Base (Hidden)'!$A$2:$Z$1048576,MATCH($C165,'Restaurant Base (Hidden)'!$C$2:$C$1048576,0),MATCH(T$6,'Restaurant Base (Hidden)'!$A$1:$Z$1,0)),"")</f>
        <v>53.4</v>
      </c>
      <c r="U165" s="1">
        <f>+IFERROR(INDEX('Restaurant Base (Hidden)'!$A$2:$Z$1048576,MATCH($C165,'Restaurant Base (Hidden)'!$C$2:$C$1048576,0),MATCH(U$6,'Restaurant Base (Hidden)'!$A$1:$Z$1,0)),"")</f>
        <v>1</v>
      </c>
      <c r="V165" s="2" t="str">
        <f>+IFERROR(INDEX('Restaurant Base (Hidden)'!$A$2:$Z$1048576,MATCH($C165,'Restaurant Base (Hidden)'!$C$2:$C$1048576,0),MATCH(V$6,'Restaurant Base (Hidden)'!$A$1:$Z$1,0)),"")</f>
        <v/>
      </c>
      <c r="W165" s="65" t="str">
        <f>+IFERROR(INDEX('Restaurant Base (Hidden)'!$A$2:$Z$1048576,MATCH($C165,'Restaurant Base (Hidden)'!$C$2:$C$1048576,0),MATCH(W$6,'Restaurant Base (Hidden)'!$A$1:$Z$1,0)),"")</f>
        <v>58,20 %</v>
      </c>
      <c r="X165" s="1">
        <f>+IFERROR(INDEX('Restaurant Base (Hidden)'!$A$2:$Z$1048576,MATCH($C165,'Restaurant Base (Hidden)'!$C$2:$C$1048576,0),MATCH(X$6,'Restaurant Base (Hidden)'!$A$1:$Z$1,0)),"")</f>
        <v>1</v>
      </c>
      <c r="Y165" s="65" t="str">
        <f>+IFERROR(INDEX('Restaurant Base (Hidden)'!$A$2:$Z$1048576,MATCH($C165,'Restaurant Base (Hidden)'!$C$2:$C$1048576,0),MATCH(Y$6,'Restaurant Base (Hidden)'!$A$1:$Z$1,0)),"")</f>
        <v>60,80 %</v>
      </c>
      <c r="Z165" s="106">
        <f>+IFERROR(INDEX('Restaurant Base (Hidden)'!$A$2:$Z$1048576,MATCH($C165,'Restaurant Base (Hidden)'!$C$2:$C$1048576,0),MATCH(Z$6,'Restaurant Base (Hidden)'!$A$1:$Z$1,0)),"")</f>
        <v>2</v>
      </c>
      <c r="AA165" s="65" t="str">
        <f>+IFERROR(INDEX('Restaurant Base (Hidden)'!$A$2:$Z$1048576,MATCH($C165,'Restaurant Base (Hidden)'!$C$2:$C$1048576,0),MATCH(AA$6,'Restaurant Base (Hidden)'!$A$1:$Z$1,0)),"")</f>
        <v>86,40 %</v>
      </c>
      <c r="AB165" s="1">
        <f>+IFERROR(INDEX('Restaurant Base (Hidden)'!$A$2:$Z$1048576,MATCH($C165,'Restaurant Base (Hidden)'!$C$2:$C$1048576,0),MATCH(AB$6,'Restaurant Base (Hidden)'!$A$1:$Z$1,0)),"")</f>
        <v>3</v>
      </c>
      <c r="AC165" s="20" t="str">
        <f>+IFERROR(INDEX('Restaurant Base (Hidden)'!$A$2:$Z$1048576,MATCH($C165,'Restaurant Base (Hidden)'!$C$2:$C$1048576,0),MATCH(AC$6,'Restaurant Base (Hidden)'!$A$1:$Z$1,0)),"")</f>
        <v/>
      </c>
      <c r="AD165" s="65" t="str">
        <f>+IFERROR(INDEX('Restaurant Base (Hidden)'!$A$2:$Z$1048576,MATCH($C165,'Restaurant Base (Hidden)'!$C$2:$C$1048576,0),MATCH(AD$6,'Restaurant Base (Hidden)'!$A$1:$Z$1,0)),"")</f>
        <v>74,90 %</v>
      </c>
      <c r="AE165" s="1">
        <f>+IFERROR(INDEX('Restaurant Base (Hidden)'!$A$2:$Z$1048576,MATCH($C165,'Restaurant Base (Hidden)'!$C$2:$C$1048576,0),MATCH(AE$6,'Restaurant Base (Hidden)'!$A$1:$Z$1,0)),"")</f>
        <v>2</v>
      </c>
      <c r="AF165" s="65" t="str">
        <f>+IFERROR(INDEX('Restaurant Base (Hidden)'!$A$2:$Z$1048576,MATCH($C165,'Restaurant Base (Hidden)'!$C$2:$C$1048576,0),MATCH(AF$6,'Restaurant Base (Hidden)'!$A$1:$Z$1,0)),"")</f>
        <v>94,90 %</v>
      </c>
      <c r="AG165" s="1">
        <f>+IFERROR(INDEX('Restaurant Base (Hidden)'!$A$2:$Z$1048576,MATCH($C165,'Restaurant Base (Hidden)'!$C$2:$C$1048576,0),MATCH(AG$6,'Restaurant Base (Hidden)'!$A$1:$Z$1,0)),"")</f>
        <v>4</v>
      </c>
    </row>
    <row r="166" spans="1:33" x14ac:dyDescent="0.4">
      <c r="A166" s="163" t="str">
        <f>IF('Restaurant Base (Hidden)'!A325=0,"", 'Restaurant Base (Hidden)'!A325)</f>
        <v>Drew Fairbourne</v>
      </c>
      <c r="B166" s="163" t="str">
        <f>IF('Restaurant Base (Hidden)'!B325=0,"", 'Restaurant Base (Hidden)'!B325)</f>
        <v>Oakbridge Restaurant Group</v>
      </c>
      <c r="C166" s="163" t="str">
        <f>IF('Restaurant Base (Hidden)'!C325=0,"", 'Restaurant Base (Hidden)'!C325)</f>
        <v>Golden Heights</v>
      </c>
      <c r="D166" s="104">
        <f t="shared" si="2"/>
        <v>158</v>
      </c>
      <c r="E166" s="105">
        <f>+IFERROR(INDEX('Restaurant Base (Hidden)'!$A$2:$Z$1048576,MATCH($C166,'Restaurant Base (Hidden)'!$C$2:$C$1048576,0),MATCH(E$6,'Restaurant Base (Hidden)'!$A$1:$Z$1,0)),"")</f>
        <v>3.14</v>
      </c>
      <c r="F166" s="2" t="str">
        <f>+IFERROR(INDEX('Restaurant Base (Hidden)'!$A$2:$Z$1048576,MATCH($C166,'Restaurant Base (Hidden)'!$C$2:$C$1048576,0),MATCH(F$6,'Restaurant Base (Hidden)'!$A$1:$Z$1,0)),"")</f>
        <v/>
      </c>
      <c r="G166" s="20" t="str">
        <f>+IFERROR(INDEX('Restaurant Base (Hidden)'!$A$2:$Z$1048576,MATCH($C166,'Restaurant Base (Hidden)'!$C$2:$C$1048576,0),MATCH(G$6,'Restaurant Base (Hidden)'!$A$1:$Z$1,0)),"")</f>
        <v>4,045</v>
      </c>
      <c r="H166" s="50">
        <f>+IFERROR(INDEX('Restaurant Base (Hidden)'!$A$2:$Z$1048576,MATCH($C166,'Restaurant Base (Hidden)'!$C$2:$C$1048576,0),MATCH(H$6,'Restaurant Base (Hidden)'!$A$1:$Z$1,0)),"")</f>
        <v>1</v>
      </c>
      <c r="I166" s="20" t="str">
        <f>+IFERROR(INDEX('Restaurant Base (Hidden)'!$A$2:$Z$1048576,MATCH($C166,'Restaurant Base (Hidden)'!$C$2:$C$1048576,0),MATCH(I$6,'Restaurant Base (Hidden)'!$A$1:$Z$1,0)),"")</f>
        <v>84,80 %</v>
      </c>
      <c r="J166" s="49">
        <f>+IFERROR(INDEX('Restaurant Base (Hidden)'!$A$2:$Z$1048576,MATCH($C166,'Restaurant Base (Hidden)'!$C$2:$C$1048576,0),MATCH(J$6,'Restaurant Base (Hidden)'!$A$1:$Z$1,0)),"")</f>
        <v>3</v>
      </c>
      <c r="K166" s="20" t="str">
        <f>+IFERROR(INDEX('Restaurant Base (Hidden)'!$A$2:$Z$1048576,MATCH($C166,'Restaurant Base (Hidden)'!$C$2:$C$1048576,0),MATCH(K$6,'Restaurant Base (Hidden)'!$A$1:$Z$1,0)),"")</f>
        <v>0,148</v>
      </c>
      <c r="L166" s="51">
        <f>+IFERROR(INDEX('Restaurant Base (Hidden)'!$A$2:$Z$1048576,MATCH($C166,'Restaurant Base (Hidden)'!$C$2:$C$1048576,0),MATCH(L$6,'Restaurant Base (Hidden)'!$A$1:$Z$1,0)),"")</f>
        <v>2</v>
      </c>
      <c r="M166" s="2" t="str">
        <f>+IFERROR(INDEX('Restaurant Base (Hidden)'!$A$2:$Z$1048576,MATCH($C166,'Restaurant Base (Hidden)'!$C$2:$C$1048576,0),MATCH(M$6,'Restaurant Base (Hidden)'!$A$1:$Z$1,0)),"")</f>
        <v/>
      </c>
      <c r="N166" s="234" t="str">
        <f>+IFERROR(INDEX('Restaurant Base (Hidden)'!$A$2:$Z$1048576,MATCH($C166,'Restaurant Base (Hidden)'!$C$2:$C$1048576,0),MATCH(N$6,'Restaurant Base (Hidden)'!$A$1:$Z$1,0)),"")</f>
        <v>65,00 %</v>
      </c>
      <c r="O166" s="1">
        <f>+IFERROR(INDEX('Restaurant Base (Hidden)'!$A$2:$Z$1048576,MATCH($C166,'Restaurant Base (Hidden)'!$C$2:$C$1048576,0),MATCH(O$6,'Restaurant Base (Hidden)'!$A$1:$Z$1,0)),"")</f>
        <v>3</v>
      </c>
      <c r="P166" s="2" t="str">
        <f>+IFERROR(INDEX('Restaurant Base (Hidden)'!$A$2:$Z$1048576,MATCH($C166,'Restaurant Base (Hidden)'!$C$2:$C$1048576,0),MATCH(P$6,'Restaurant Base (Hidden)'!$A$1:$Z$1,0)),"")</f>
        <v/>
      </c>
      <c r="Q166" s="234" t="str">
        <f>+IFERROR(INDEX('Restaurant Base (Hidden)'!$A$2:$Z$1048576,MATCH($C166,'Restaurant Base (Hidden)'!$C$2:$C$1048576,0),MATCH(Q$6,'Restaurant Base (Hidden)'!$A$1:$Z$1,0)),"")</f>
        <v>76,00 %</v>
      </c>
      <c r="R166" s="1">
        <f>+IFERROR(INDEX('Restaurant Base (Hidden)'!$A$2:$Z$1048576,MATCH($C166,'Restaurant Base (Hidden)'!$C$2:$C$1048576,0),MATCH(R$6,'Restaurant Base (Hidden)'!$A$1:$Z$1,0)),"")</f>
        <v>5</v>
      </c>
      <c r="S166" s="2" t="str">
        <f>+IFERROR(INDEX('Restaurant Base (Hidden)'!$A$2:$Z$1048576,MATCH($C166,'Restaurant Base (Hidden)'!$C$2:$C$1048576,0),MATCH(S$6,'Restaurant Base (Hidden)'!$A$1:$Z$1,0)),"")</f>
        <v/>
      </c>
      <c r="T166" s="62">
        <f>+IFERROR(INDEX('Restaurant Base (Hidden)'!$A$2:$Z$1048576,MATCH($C166,'Restaurant Base (Hidden)'!$C$2:$C$1048576,0),MATCH(T$6,'Restaurant Base (Hidden)'!$A$1:$Z$1,0)),"")</f>
        <v>74</v>
      </c>
      <c r="U166" s="1">
        <f>+IFERROR(INDEX('Restaurant Base (Hidden)'!$A$2:$Z$1048576,MATCH($C166,'Restaurant Base (Hidden)'!$C$2:$C$1048576,0),MATCH(U$6,'Restaurant Base (Hidden)'!$A$1:$Z$1,0)),"")</f>
        <v>5</v>
      </c>
      <c r="V166" s="2" t="str">
        <f>+IFERROR(INDEX('Restaurant Base (Hidden)'!$A$2:$Z$1048576,MATCH($C166,'Restaurant Base (Hidden)'!$C$2:$C$1048576,0),MATCH(V$6,'Restaurant Base (Hidden)'!$A$1:$Z$1,0)),"")</f>
        <v/>
      </c>
      <c r="W166" s="65" t="str">
        <f>+IFERROR(INDEX('Restaurant Base (Hidden)'!$A$2:$Z$1048576,MATCH($C166,'Restaurant Base (Hidden)'!$C$2:$C$1048576,0),MATCH(W$6,'Restaurant Base (Hidden)'!$A$1:$Z$1,0)),"")</f>
        <v>95,90 %</v>
      </c>
      <c r="X166" s="1">
        <f>+IFERROR(INDEX('Restaurant Base (Hidden)'!$A$2:$Z$1048576,MATCH($C166,'Restaurant Base (Hidden)'!$C$2:$C$1048576,0),MATCH(X$6,'Restaurant Base (Hidden)'!$A$1:$Z$1,0)),"")</f>
        <v>4</v>
      </c>
      <c r="Y166" s="65" t="str">
        <f>+IFERROR(INDEX('Restaurant Base (Hidden)'!$A$2:$Z$1048576,MATCH($C166,'Restaurant Base (Hidden)'!$C$2:$C$1048576,0),MATCH(Y$6,'Restaurant Base (Hidden)'!$A$1:$Z$1,0)),"")</f>
        <v>67,60 %</v>
      </c>
      <c r="Z166" s="106">
        <f>+IFERROR(INDEX('Restaurant Base (Hidden)'!$A$2:$Z$1048576,MATCH($C166,'Restaurant Base (Hidden)'!$C$2:$C$1048576,0),MATCH(Z$6,'Restaurant Base (Hidden)'!$A$1:$Z$1,0)),"")</f>
        <v>2</v>
      </c>
      <c r="AA166" s="65" t="str">
        <f>+IFERROR(INDEX('Restaurant Base (Hidden)'!$A$2:$Z$1048576,MATCH($C166,'Restaurant Base (Hidden)'!$C$2:$C$1048576,0),MATCH(AA$6,'Restaurant Base (Hidden)'!$A$1:$Z$1,0)),"")</f>
        <v>60,20 %</v>
      </c>
      <c r="AB166" s="1">
        <f>+IFERROR(INDEX('Restaurant Base (Hidden)'!$A$2:$Z$1048576,MATCH($C166,'Restaurant Base (Hidden)'!$C$2:$C$1048576,0),MATCH(AB$6,'Restaurant Base (Hidden)'!$A$1:$Z$1,0)),"")</f>
        <v>2</v>
      </c>
      <c r="AC166" s="20" t="str">
        <f>+IFERROR(INDEX('Restaurant Base (Hidden)'!$A$2:$Z$1048576,MATCH($C166,'Restaurant Base (Hidden)'!$C$2:$C$1048576,0),MATCH(AC$6,'Restaurant Base (Hidden)'!$A$1:$Z$1,0)),"")</f>
        <v/>
      </c>
      <c r="AD166" s="65" t="str">
        <f>+IFERROR(INDEX('Restaurant Base (Hidden)'!$A$2:$Z$1048576,MATCH($C166,'Restaurant Base (Hidden)'!$C$2:$C$1048576,0),MATCH(AD$6,'Restaurant Base (Hidden)'!$A$1:$Z$1,0)),"")</f>
        <v>60,60 %</v>
      </c>
      <c r="AE166" s="1">
        <f>+IFERROR(INDEX('Restaurant Base (Hidden)'!$A$2:$Z$1048576,MATCH($C166,'Restaurant Base (Hidden)'!$C$2:$C$1048576,0),MATCH(AE$6,'Restaurant Base (Hidden)'!$A$1:$Z$1,0)),"")</f>
        <v>1</v>
      </c>
      <c r="AF166" s="65" t="str">
        <f>+IFERROR(INDEX('Restaurant Base (Hidden)'!$A$2:$Z$1048576,MATCH($C166,'Restaurant Base (Hidden)'!$C$2:$C$1048576,0),MATCH(AF$6,'Restaurant Base (Hidden)'!$A$1:$Z$1,0)),"")</f>
        <v>94,30 %</v>
      </c>
      <c r="AG166" s="1">
        <f>+IFERROR(INDEX('Restaurant Base (Hidden)'!$A$2:$Z$1048576,MATCH($C166,'Restaurant Base (Hidden)'!$C$2:$C$1048576,0),MATCH(AG$6,'Restaurant Base (Hidden)'!$A$1:$Z$1,0)),"")</f>
        <v>4</v>
      </c>
    </row>
    <row r="167" spans="1:33" x14ac:dyDescent="0.4">
      <c r="A167" s="163" t="str">
        <f>IF('Restaurant Base (Hidden)'!A7=0,"", 'Restaurant Base (Hidden)'!A7)</f>
        <v>Elliot Hawthorne</v>
      </c>
      <c r="B167" s="163" t="str">
        <f>IF('Restaurant Base (Hidden)'!B7=0,"", 'Restaurant Base (Hidden)'!B7)</f>
        <v>Brightfield Dining</v>
      </c>
      <c r="C167" s="163" t="str">
        <f>IF('Restaurant Base (Hidden)'!C7=0,"", 'Restaurant Base (Hidden)'!C7)</f>
        <v>Eastwood Hollow</v>
      </c>
      <c r="D167" s="104">
        <f t="shared" si="2"/>
        <v>161</v>
      </c>
      <c r="E167" s="105">
        <f>+IFERROR(INDEX('Restaurant Base (Hidden)'!$A$2:$Z$1048576,MATCH($C167,'Restaurant Base (Hidden)'!$C$2:$C$1048576,0),MATCH(E$6,'Restaurant Base (Hidden)'!$A$1:$Z$1,0)),"")</f>
        <v>3.13</v>
      </c>
      <c r="F167" s="64" t="str">
        <f>+IFERROR(INDEX('Restaurant Base (Hidden)'!$A$2:$Z$1048576,MATCH($C167,'Restaurant Base (Hidden)'!$C$2:$C$1048576,0),MATCH(F$6,'Restaurant Base (Hidden)'!$A$1:$Z$1,0)),"")</f>
        <v/>
      </c>
      <c r="G167" s="20" t="str">
        <f>+IFERROR(INDEX('Restaurant Base (Hidden)'!$A$2:$Z$1048576,MATCH($C167,'Restaurant Base (Hidden)'!$C$2:$C$1048576,0),MATCH(G$6,'Restaurant Base (Hidden)'!$A$1:$Z$1,0)),"")</f>
        <v>4,674</v>
      </c>
      <c r="H167" s="50">
        <f>+IFERROR(INDEX('Restaurant Base (Hidden)'!$A$2:$Z$1048576,MATCH($C167,'Restaurant Base (Hidden)'!$C$2:$C$1048576,0),MATCH(H$6,'Restaurant Base (Hidden)'!$A$1:$Z$1,0)),"")</f>
        <v>5</v>
      </c>
      <c r="I167" s="20" t="str">
        <f>+IFERROR(INDEX('Restaurant Base (Hidden)'!$A$2:$Z$1048576,MATCH($C167,'Restaurant Base (Hidden)'!$C$2:$C$1048576,0),MATCH(I$6,'Restaurant Base (Hidden)'!$A$1:$Z$1,0)),"")</f>
        <v>82,50 %</v>
      </c>
      <c r="J167" s="49">
        <f>+IFERROR(INDEX('Restaurant Base (Hidden)'!$A$2:$Z$1048576,MATCH($C167,'Restaurant Base (Hidden)'!$C$2:$C$1048576,0),MATCH(J$6,'Restaurant Base (Hidden)'!$A$1:$Z$1,0)),"")</f>
        <v>2</v>
      </c>
      <c r="K167" s="20" t="str">
        <f>+IFERROR(INDEX('Restaurant Base (Hidden)'!$A$2:$Z$1048576,MATCH($C167,'Restaurant Base (Hidden)'!$C$2:$C$1048576,0),MATCH(K$6,'Restaurant Base (Hidden)'!$A$1:$Z$1,0)),"")</f>
        <v>0,181</v>
      </c>
      <c r="L167" s="51">
        <f>+IFERROR(INDEX('Restaurant Base (Hidden)'!$A$2:$Z$1048576,MATCH($C167,'Restaurant Base (Hidden)'!$C$2:$C$1048576,0),MATCH(L$6,'Restaurant Base (Hidden)'!$A$1:$Z$1,0)),"")</f>
        <v>1</v>
      </c>
      <c r="M167" s="2" t="str">
        <f>+IFERROR(INDEX('Restaurant Base (Hidden)'!$A$2:$Z$1048576,MATCH($C167,'Restaurant Base (Hidden)'!$C$2:$C$1048576,0),MATCH(M$6,'Restaurant Base (Hidden)'!$A$1:$Z$1,0)),"")</f>
        <v/>
      </c>
      <c r="N167" s="234" t="str">
        <f>+IFERROR(INDEX('Restaurant Base (Hidden)'!$A$2:$Z$1048576,MATCH($C167,'Restaurant Base (Hidden)'!$C$2:$C$1048576,0),MATCH(N$6,'Restaurant Base (Hidden)'!$A$1:$Z$1,0)),"")</f>
        <v>81,20 %</v>
      </c>
      <c r="O167" s="1">
        <f>+IFERROR(INDEX('Restaurant Base (Hidden)'!$A$2:$Z$1048576,MATCH($C167,'Restaurant Base (Hidden)'!$C$2:$C$1048576,0),MATCH(O$6,'Restaurant Base (Hidden)'!$A$1:$Z$1,0)),"")</f>
        <v>5</v>
      </c>
      <c r="P167" s="2" t="str">
        <f>+IFERROR(INDEX('Restaurant Base (Hidden)'!$A$2:$Z$1048576,MATCH($C167,'Restaurant Base (Hidden)'!$C$2:$C$1048576,0),MATCH(P$6,'Restaurant Base (Hidden)'!$A$1:$Z$1,0)),"")</f>
        <v/>
      </c>
      <c r="Q167" s="234" t="str">
        <f>+IFERROR(INDEX('Restaurant Base (Hidden)'!$A$2:$Z$1048576,MATCH($C167,'Restaurant Base (Hidden)'!$C$2:$C$1048576,0),MATCH(Q$6,'Restaurant Base (Hidden)'!$A$1:$Z$1,0)),"")</f>
        <v>69,10 %</v>
      </c>
      <c r="R167" s="1">
        <f>+IFERROR(INDEX('Restaurant Base (Hidden)'!$A$2:$Z$1048576,MATCH($C167,'Restaurant Base (Hidden)'!$C$2:$C$1048576,0),MATCH(R$6,'Restaurant Base (Hidden)'!$A$1:$Z$1,0)),"")</f>
        <v>4</v>
      </c>
      <c r="S167" s="2" t="str">
        <f>+IFERROR(INDEX('Restaurant Base (Hidden)'!$A$2:$Z$1048576,MATCH($C167,'Restaurant Base (Hidden)'!$C$2:$C$1048576,0),MATCH(S$6,'Restaurant Base (Hidden)'!$A$1:$Z$1,0)),"")</f>
        <v/>
      </c>
      <c r="T167" s="62">
        <f>+IFERROR(INDEX('Restaurant Base (Hidden)'!$A$2:$Z$1048576,MATCH($C167,'Restaurant Base (Hidden)'!$C$2:$C$1048576,0),MATCH(T$6,'Restaurant Base (Hidden)'!$A$1:$Z$1,0)),"")</f>
        <v>63.1</v>
      </c>
      <c r="U167" s="1">
        <f>+IFERROR(INDEX('Restaurant Base (Hidden)'!$A$2:$Z$1048576,MATCH($C167,'Restaurant Base (Hidden)'!$C$2:$C$1048576,0),MATCH(U$6,'Restaurant Base (Hidden)'!$A$1:$Z$1,0)),"")</f>
        <v>3</v>
      </c>
      <c r="V167" s="2" t="str">
        <f>+IFERROR(INDEX('Restaurant Base (Hidden)'!$A$2:$Z$1048576,MATCH($C167,'Restaurant Base (Hidden)'!$C$2:$C$1048576,0),MATCH(V$6,'Restaurant Base (Hidden)'!$A$1:$Z$1,0)),"")</f>
        <v/>
      </c>
      <c r="W167" s="65" t="str">
        <f>+IFERROR(INDEX('Restaurant Base (Hidden)'!$A$2:$Z$1048576,MATCH($C167,'Restaurant Base (Hidden)'!$C$2:$C$1048576,0),MATCH(W$6,'Restaurant Base (Hidden)'!$A$1:$Z$1,0)),"")</f>
        <v>63,80 %</v>
      </c>
      <c r="X167" s="1">
        <f>+IFERROR(INDEX('Restaurant Base (Hidden)'!$A$2:$Z$1048576,MATCH($C167,'Restaurant Base (Hidden)'!$C$2:$C$1048576,0),MATCH(X$6,'Restaurant Base (Hidden)'!$A$1:$Z$1,0)),"")</f>
        <v>2</v>
      </c>
      <c r="Y167" s="65" t="str">
        <f>+IFERROR(INDEX('Restaurant Base (Hidden)'!$A$2:$Z$1048576,MATCH($C167,'Restaurant Base (Hidden)'!$C$2:$C$1048576,0),MATCH(Y$6,'Restaurant Base (Hidden)'!$A$1:$Z$1,0)),"")</f>
        <v>89,80 %</v>
      </c>
      <c r="Z167" s="106">
        <f>+IFERROR(INDEX('Restaurant Base (Hidden)'!$A$2:$Z$1048576,MATCH($C167,'Restaurant Base (Hidden)'!$C$2:$C$1048576,0),MATCH(Z$6,'Restaurant Base (Hidden)'!$A$1:$Z$1,0)),"")</f>
        <v>3</v>
      </c>
      <c r="AA167" s="65" t="str">
        <f>+IFERROR(INDEX('Restaurant Base (Hidden)'!$A$2:$Z$1048576,MATCH($C167,'Restaurant Base (Hidden)'!$C$2:$C$1048576,0),MATCH(AA$6,'Restaurant Base (Hidden)'!$A$1:$Z$1,0)),"")</f>
        <v>61,80 %</v>
      </c>
      <c r="AB167" s="1">
        <f>+IFERROR(INDEX('Restaurant Base (Hidden)'!$A$2:$Z$1048576,MATCH($C167,'Restaurant Base (Hidden)'!$C$2:$C$1048576,0),MATCH(AB$6,'Restaurant Base (Hidden)'!$A$1:$Z$1,0)),"")</f>
        <v>2</v>
      </c>
      <c r="AC167" s="20" t="str">
        <f>+IFERROR(INDEX('Restaurant Base (Hidden)'!$A$2:$Z$1048576,MATCH($C167,'Restaurant Base (Hidden)'!$C$2:$C$1048576,0),MATCH(AC$6,'Restaurant Base (Hidden)'!$A$1:$Z$1,0)),"")</f>
        <v/>
      </c>
      <c r="AD167" s="65" t="str">
        <f>+IFERROR(INDEX('Restaurant Base (Hidden)'!$A$2:$Z$1048576,MATCH($C167,'Restaurant Base (Hidden)'!$C$2:$C$1048576,0),MATCH(AD$6,'Restaurant Base (Hidden)'!$A$1:$Z$1,0)),"")</f>
        <v>88,60 %</v>
      </c>
      <c r="AE167" s="1">
        <f>+IFERROR(INDEX('Restaurant Base (Hidden)'!$A$2:$Z$1048576,MATCH($C167,'Restaurant Base (Hidden)'!$C$2:$C$1048576,0),MATCH(AE$6,'Restaurant Base (Hidden)'!$A$1:$Z$1,0)),"")</f>
        <v>3</v>
      </c>
      <c r="AF167" s="65" t="str">
        <f>+IFERROR(INDEX('Restaurant Base (Hidden)'!$A$2:$Z$1048576,MATCH($C167,'Restaurant Base (Hidden)'!$C$2:$C$1048576,0),MATCH(AF$6,'Restaurant Base (Hidden)'!$A$1:$Z$1,0)),"")</f>
        <v>83,10 %</v>
      </c>
      <c r="AG167" s="1">
        <f>+IFERROR(INDEX('Restaurant Base (Hidden)'!$A$2:$Z$1048576,MATCH($C167,'Restaurant Base (Hidden)'!$C$2:$C$1048576,0),MATCH(AG$6,'Restaurant Base (Hidden)'!$A$1:$Z$1,0)),"")</f>
        <v>2</v>
      </c>
    </row>
    <row r="168" spans="1:33" x14ac:dyDescent="0.4">
      <c r="A168" s="163" t="str">
        <f>IF('Restaurant Base (Hidden)'!A353=0,"", 'Restaurant Base (Hidden)'!A353)</f>
        <v>Cameron Creston</v>
      </c>
      <c r="B168" s="163" t="str">
        <f>IF('Restaurant Base (Hidden)'!B353=0,"", 'Restaurant Base (Hidden)'!B353)</f>
        <v>Brightstone Food Group</v>
      </c>
      <c r="C168" s="163" t="str">
        <f>IF('Restaurant Base (Hidden)'!C353=0,"", 'Restaurant Base (Hidden)'!C353)</f>
        <v>Redwood Corner</v>
      </c>
      <c r="D168" s="104">
        <f t="shared" si="2"/>
        <v>161</v>
      </c>
      <c r="E168" s="105">
        <f>+IFERROR(INDEX('Restaurant Base (Hidden)'!$A$2:$Z$1048576,MATCH($C168,'Restaurant Base (Hidden)'!$C$2:$C$1048576,0),MATCH(E$6,'Restaurant Base (Hidden)'!$A$1:$Z$1,0)),"")</f>
        <v>3.13</v>
      </c>
      <c r="F168" s="2" t="str">
        <f>+IFERROR(INDEX('Restaurant Base (Hidden)'!$A$2:$Z$1048576,MATCH($C168,'Restaurant Base (Hidden)'!$C$2:$C$1048576,0),MATCH(F$6,'Restaurant Base (Hidden)'!$A$1:$Z$1,0)),"")</f>
        <v/>
      </c>
      <c r="G168" s="20" t="str">
        <f>+IFERROR(INDEX('Restaurant Base (Hidden)'!$A$2:$Z$1048576,MATCH($C168,'Restaurant Base (Hidden)'!$C$2:$C$1048576,0),MATCH(G$6,'Restaurant Base (Hidden)'!$A$1:$Z$1,0)),"")</f>
        <v>4,177</v>
      </c>
      <c r="H168" s="50">
        <f>+IFERROR(INDEX('Restaurant Base (Hidden)'!$A$2:$Z$1048576,MATCH($C168,'Restaurant Base (Hidden)'!$C$2:$C$1048576,0),MATCH(H$6,'Restaurant Base (Hidden)'!$A$1:$Z$1,0)),"")</f>
        <v>2</v>
      </c>
      <c r="I168" s="20" t="str">
        <f>+IFERROR(INDEX('Restaurant Base (Hidden)'!$A$2:$Z$1048576,MATCH($C168,'Restaurant Base (Hidden)'!$C$2:$C$1048576,0),MATCH(I$6,'Restaurant Base (Hidden)'!$A$1:$Z$1,0)),"")</f>
        <v>66,20 %</v>
      </c>
      <c r="J168" s="49">
        <f>+IFERROR(INDEX('Restaurant Base (Hidden)'!$A$2:$Z$1048576,MATCH($C168,'Restaurant Base (Hidden)'!$C$2:$C$1048576,0),MATCH(J$6,'Restaurant Base (Hidden)'!$A$1:$Z$1,0)),"")</f>
        <v>1</v>
      </c>
      <c r="K168" s="20" t="str">
        <f>+IFERROR(INDEX('Restaurant Base (Hidden)'!$A$2:$Z$1048576,MATCH($C168,'Restaurant Base (Hidden)'!$C$2:$C$1048576,0),MATCH(K$6,'Restaurant Base (Hidden)'!$A$1:$Z$1,0)),"")</f>
        <v>0,038</v>
      </c>
      <c r="L168" s="51">
        <f>+IFERROR(INDEX('Restaurant Base (Hidden)'!$A$2:$Z$1048576,MATCH($C168,'Restaurant Base (Hidden)'!$C$2:$C$1048576,0),MATCH(L$6,'Restaurant Base (Hidden)'!$A$1:$Z$1,0)),"")</f>
        <v>5</v>
      </c>
      <c r="M168" s="2" t="str">
        <f>+IFERROR(INDEX('Restaurant Base (Hidden)'!$A$2:$Z$1048576,MATCH($C168,'Restaurant Base (Hidden)'!$C$2:$C$1048576,0),MATCH(M$6,'Restaurant Base (Hidden)'!$A$1:$Z$1,0)),"")</f>
        <v/>
      </c>
      <c r="N168" s="234" t="str">
        <f>+IFERROR(INDEX('Restaurant Base (Hidden)'!$A$2:$Z$1048576,MATCH($C168,'Restaurant Base (Hidden)'!$C$2:$C$1048576,0),MATCH(N$6,'Restaurant Base (Hidden)'!$A$1:$Z$1,0)),"")</f>
        <v>78,80 %</v>
      </c>
      <c r="O168" s="1">
        <f>+IFERROR(INDEX('Restaurant Base (Hidden)'!$A$2:$Z$1048576,MATCH($C168,'Restaurant Base (Hidden)'!$C$2:$C$1048576,0),MATCH(O$6,'Restaurant Base (Hidden)'!$A$1:$Z$1,0)),"")</f>
        <v>5</v>
      </c>
      <c r="P168" s="2" t="str">
        <f>+IFERROR(INDEX('Restaurant Base (Hidden)'!$A$2:$Z$1048576,MATCH($C168,'Restaurant Base (Hidden)'!$C$2:$C$1048576,0),MATCH(P$6,'Restaurant Base (Hidden)'!$A$1:$Z$1,0)),"")</f>
        <v/>
      </c>
      <c r="Q168" s="234" t="str">
        <f>+IFERROR(INDEX('Restaurant Base (Hidden)'!$A$2:$Z$1048576,MATCH($C168,'Restaurant Base (Hidden)'!$C$2:$C$1048576,0),MATCH(Q$6,'Restaurant Base (Hidden)'!$A$1:$Z$1,0)),"")</f>
        <v>63,80 %</v>
      </c>
      <c r="R168" s="1">
        <f>+IFERROR(INDEX('Restaurant Base (Hidden)'!$A$2:$Z$1048576,MATCH($C168,'Restaurant Base (Hidden)'!$C$2:$C$1048576,0),MATCH(R$6,'Restaurant Base (Hidden)'!$A$1:$Z$1,0)),"")</f>
        <v>2</v>
      </c>
      <c r="S168" s="2" t="str">
        <f>+IFERROR(INDEX('Restaurant Base (Hidden)'!$A$2:$Z$1048576,MATCH($C168,'Restaurant Base (Hidden)'!$C$2:$C$1048576,0),MATCH(S$6,'Restaurant Base (Hidden)'!$A$1:$Z$1,0)),"")</f>
        <v/>
      </c>
      <c r="T168" s="62">
        <f>+IFERROR(INDEX('Restaurant Base (Hidden)'!$A$2:$Z$1048576,MATCH($C168,'Restaurant Base (Hidden)'!$C$2:$C$1048576,0),MATCH(T$6,'Restaurant Base (Hidden)'!$A$1:$Z$1,0)),"")</f>
        <v>66.5</v>
      </c>
      <c r="U168" s="1">
        <f>+IFERROR(INDEX('Restaurant Base (Hidden)'!$A$2:$Z$1048576,MATCH($C168,'Restaurant Base (Hidden)'!$C$2:$C$1048576,0),MATCH(U$6,'Restaurant Base (Hidden)'!$A$1:$Z$1,0)),"")</f>
        <v>4</v>
      </c>
      <c r="V168" s="2" t="str">
        <f>+IFERROR(INDEX('Restaurant Base (Hidden)'!$A$2:$Z$1048576,MATCH($C168,'Restaurant Base (Hidden)'!$C$2:$C$1048576,0),MATCH(V$6,'Restaurant Base (Hidden)'!$A$1:$Z$1,0)),"")</f>
        <v/>
      </c>
      <c r="W168" s="65" t="str">
        <f>+IFERROR(INDEX('Restaurant Base (Hidden)'!$A$2:$Z$1048576,MATCH($C168,'Restaurant Base (Hidden)'!$C$2:$C$1048576,0),MATCH(W$6,'Restaurant Base (Hidden)'!$A$1:$Z$1,0)),"")</f>
        <v>76,20 %</v>
      </c>
      <c r="X168" s="1">
        <f>+IFERROR(INDEX('Restaurant Base (Hidden)'!$A$2:$Z$1048576,MATCH($C168,'Restaurant Base (Hidden)'!$C$2:$C$1048576,0),MATCH(X$6,'Restaurant Base (Hidden)'!$A$1:$Z$1,0)),"")</f>
        <v>2</v>
      </c>
      <c r="Y168" s="65" t="str">
        <f>+IFERROR(INDEX('Restaurant Base (Hidden)'!$A$2:$Z$1048576,MATCH($C168,'Restaurant Base (Hidden)'!$C$2:$C$1048576,0),MATCH(Y$6,'Restaurant Base (Hidden)'!$A$1:$Z$1,0)),"")</f>
        <v>95,60 %</v>
      </c>
      <c r="Z168" s="106">
        <f>+IFERROR(INDEX('Restaurant Base (Hidden)'!$A$2:$Z$1048576,MATCH($C168,'Restaurant Base (Hidden)'!$C$2:$C$1048576,0),MATCH(Z$6,'Restaurant Base (Hidden)'!$A$1:$Z$1,0)),"")</f>
        <v>4</v>
      </c>
      <c r="AA168" s="65" t="str">
        <f>+IFERROR(INDEX('Restaurant Base (Hidden)'!$A$2:$Z$1048576,MATCH($C168,'Restaurant Base (Hidden)'!$C$2:$C$1048576,0),MATCH(AA$6,'Restaurant Base (Hidden)'!$A$1:$Z$1,0)),"")</f>
        <v>97,90 %</v>
      </c>
      <c r="AB168" s="1">
        <f>+IFERROR(INDEX('Restaurant Base (Hidden)'!$A$2:$Z$1048576,MATCH($C168,'Restaurant Base (Hidden)'!$C$2:$C$1048576,0),MATCH(AB$6,'Restaurant Base (Hidden)'!$A$1:$Z$1,0)),"")</f>
        <v>4</v>
      </c>
      <c r="AC168" s="20" t="str">
        <f>+IFERROR(INDEX('Restaurant Base (Hidden)'!$A$2:$Z$1048576,MATCH($C168,'Restaurant Base (Hidden)'!$C$2:$C$1048576,0),MATCH(AC$6,'Restaurant Base (Hidden)'!$A$1:$Z$1,0)),"")</f>
        <v/>
      </c>
      <c r="AD168" s="65" t="str">
        <f>+IFERROR(INDEX('Restaurant Base (Hidden)'!$A$2:$Z$1048576,MATCH($C168,'Restaurant Base (Hidden)'!$C$2:$C$1048576,0),MATCH(AD$6,'Restaurant Base (Hidden)'!$A$1:$Z$1,0)),"")</f>
        <v>55,20 %</v>
      </c>
      <c r="AE168" s="1">
        <f>+IFERROR(INDEX('Restaurant Base (Hidden)'!$A$2:$Z$1048576,MATCH($C168,'Restaurant Base (Hidden)'!$C$2:$C$1048576,0),MATCH(AE$6,'Restaurant Base (Hidden)'!$A$1:$Z$1,0)),"")</f>
        <v>1</v>
      </c>
      <c r="AF168" s="65" t="str">
        <f>+IFERROR(INDEX('Restaurant Base (Hidden)'!$A$2:$Z$1048576,MATCH($C168,'Restaurant Base (Hidden)'!$C$2:$C$1048576,0),MATCH(AF$6,'Restaurant Base (Hidden)'!$A$1:$Z$1,0)),"")</f>
        <v>98,30 %</v>
      </c>
      <c r="AG168" s="1">
        <f>+IFERROR(INDEX('Restaurant Base (Hidden)'!$A$2:$Z$1048576,MATCH($C168,'Restaurant Base (Hidden)'!$C$2:$C$1048576,0),MATCH(AG$6,'Restaurant Base (Hidden)'!$A$1:$Z$1,0)),"")</f>
        <v>5</v>
      </c>
    </row>
    <row r="169" spans="1:33" x14ac:dyDescent="0.4">
      <c r="A169" s="163" t="str">
        <f>IF('Restaurant Base (Hidden)'!A319=0,"", 'Restaurant Base (Hidden)'!A319)</f>
        <v>Sawyer Thornfield</v>
      </c>
      <c r="B169" s="163" t="str">
        <f>IF('Restaurant Base (Hidden)'!B319=0,"", 'Restaurant Base (Hidden)'!B319)</f>
        <v>Pinecrest Hospitality</v>
      </c>
      <c r="C169" s="163" t="str">
        <f>IF('Restaurant Base (Hidden)'!C319=0,"", 'Restaurant Base (Hidden)'!C319)</f>
        <v>Clearwater Landing</v>
      </c>
      <c r="D169" s="104">
        <f t="shared" si="2"/>
        <v>163</v>
      </c>
      <c r="E169" s="105">
        <f>+IFERROR(INDEX('Restaurant Base (Hidden)'!$A$2:$Z$1048576,MATCH($C169,'Restaurant Base (Hidden)'!$C$2:$C$1048576,0),MATCH(E$6,'Restaurant Base (Hidden)'!$A$1:$Z$1,0)),"")</f>
        <v>3.12</v>
      </c>
      <c r="F169" s="2" t="str">
        <f>+IFERROR(INDEX('Restaurant Base (Hidden)'!$A$2:$Z$1048576,MATCH($C169,'Restaurant Base (Hidden)'!$C$2:$C$1048576,0),MATCH(F$6,'Restaurant Base (Hidden)'!$A$1:$Z$1,0)),"")</f>
        <v/>
      </c>
      <c r="G169" s="20" t="str">
        <f>+IFERROR(INDEX('Restaurant Base (Hidden)'!$A$2:$Z$1048576,MATCH($C169,'Restaurant Base (Hidden)'!$C$2:$C$1048576,0),MATCH(G$6,'Restaurant Base (Hidden)'!$A$1:$Z$1,0)),"")</f>
        <v>4,412</v>
      </c>
      <c r="H169" s="50">
        <f>+IFERROR(INDEX('Restaurant Base (Hidden)'!$A$2:$Z$1048576,MATCH($C169,'Restaurant Base (Hidden)'!$C$2:$C$1048576,0),MATCH(H$6,'Restaurant Base (Hidden)'!$A$1:$Z$1,0)),"")</f>
        <v>4</v>
      </c>
      <c r="I169" s="20" t="str">
        <f>+IFERROR(INDEX('Restaurant Base (Hidden)'!$A$2:$Z$1048576,MATCH($C169,'Restaurant Base (Hidden)'!$C$2:$C$1048576,0),MATCH(I$6,'Restaurant Base (Hidden)'!$A$1:$Z$1,0)),"")</f>
        <v>82,90 %</v>
      </c>
      <c r="J169" s="49">
        <f>+IFERROR(INDEX('Restaurant Base (Hidden)'!$A$2:$Z$1048576,MATCH($C169,'Restaurant Base (Hidden)'!$C$2:$C$1048576,0),MATCH(J$6,'Restaurant Base (Hidden)'!$A$1:$Z$1,0)),"")</f>
        <v>2</v>
      </c>
      <c r="K169" s="20" t="str">
        <f>+IFERROR(INDEX('Restaurant Base (Hidden)'!$A$2:$Z$1048576,MATCH($C169,'Restaurant Base (Hidden)'!$C$2:$C$1048576,0),MATCH(K$6,'Restaurant Base (Hidden)'!$A$1:$Z$1,0)),"")</f>
        <v>0,058</v>
      </c>
      <c r="L169" s="51">
        <f>+IFERROR(INDEX('Restaurant Base (Hidden)'!$A$2:$Z$1048576,MATCH($C169,'Restaurant Base (Hidden)'!$C$2:$C$1048576,0),MATCH(L$6,'Restaurant Base (Hidden)'!$A$1:$Z$1,0)),"")</f>
        <v>5</v>
      </c>
      <c r="M169" s="2" t="str">
        <f>+IFERROR(INDEX('Restaurant Base (Hidden)'!$A$2:$Z$1048576,MATCH($C169,'Restaurant Base (Hidden)'!$C$2:$C$1048576,0),MATCH(M$6,'Restaurant Base (Hidden)'!$A$1:$Z$1,0)),"")</f>
        <v/>
      </c>
      <c r="N169" s="234" t="str">
        <f>+IFERROR(INDEX('Restaurant Base (Hidden)'!$A$2:$Z$1048576,MATCH($C169,'Restaurant Base (Hidden)'!$C$2:$C$1048576,0),MATCH(N$6,'Restaurant Base (Hidden)'!$A$1:$Z$1,0)),"")</f>
        <v>79,30 %</v>
      </c>
      <c r="O169" s="1">
        <f>+IFERROR(INDEX('Restaurant Base (Hidden)'!$A$2:$Z$1048576,MATCH($C169,'Restaurant Base (Hidden)'!$C$2:$C$1048576,0),MATCH(O$6,'Restaurant Base (Hidden)'!$A$1:$Z$1,0)),"")</f>
        <v>5</v>
      </c>
      <c r="P169" s="2" t="str">
        <f>+IFERROR(INDEX('Restaurant Base (Hidden)'!$A$2:$Z$1048576,MATCH($C169,'Restaurant Base (Hidden)'!$C$2:$C$1048576,0),MATCH(P$6,'Restaurant Base (Hidden)'!$A$1:$Z$1,0)),"")</f>
        <v/>
      </c>
      <c r="Q169" s="234" t="str">
        <f>+IFERROR(INDEX('Restaurant Base (Hidden)'!$A$2:$Z$1048576,MATCH($C169,'Restaurant Base (Hidden)'!$C$2:$C$1048576,0),MATCH(Q$6,'Restaurant Base (Hidden)'!$A$1:$Z$1,0)),"")</f>
        <v>86,60 %</v>
      </c>
      <c r="R169" s="1">
        <f>+IFERROR(INDEX('Restaurant Base (Hidden)'!$A$2:$Z$1048576,MATCH($C169,'Restaurant Base (Hidden)'!$C$2:$C$1048576,0),MATCH(R$6,'Restaurant Base (Hidden)'!$A$1:$Z$1,0)),"")</f>
        <v>5</v>
      </c>
      <c r="S169" s="2" t="str">
        <f>+IFERROR(INDEX('Restaurant Base (Hidden)'!$A$2:$Z$1048576,MATCH($C169,'Restaurant Base (Hidden)'!$C$2:$C$1048576,0),MATCH(S$6,'Restaurant Base (Hidden)'!$A$1:$Z$1,0)),"")</f>
        <v/>
      </c>
      <c r="T169" s="62">
        <f>+IFERROR(INDEX('Restaurant Base (Hidden)'!$A$2:$Z$1048576,MATCH($C169,'Restaurant Base (Hidden)'!$C$2:$C$1048576,0),MATCH(T$6,'Restaurant Base (Hidden)'!$A$1:$Z$1,0)),"")</f>
        <v>54.9</v>
      </c>
      <c r="U169" s="1">
        <f>+IFERROR(INDEX('Restaurant Base (Hidden)'!$A$2:$Z$1048576,MATCH($C169,'Restaurant Base (Hidden)'!$C$2:$C$1048576,0),MATCH(U$6,'Restaurant Base (Hidden)'!$A$1:$Z$1,0)),"")</f>
        <v>1</v>
      </c>
      <c r="V169" s="2" t="str">
        <f>+IFERROR(INDEX('Restaurant Base (Hidden)'!$A$2:$Z$1048576,MATCH($C169,'Restaurant Base (Hidden)'!$C$2:$C$1048576,0),MATCH(V$6,'Restaurant Base (Hidden)'!$A$1:$Z$1,0)),"")</f>
        <v/>
      </c>
      <c r="W169" s="65" t="str">
        <f>+IFERROR(INDEX('Restaurant Base (Hidden)'!$A$2:$Z$1048576,MATCH($C169,'Restaurant Base (Hidden)'!$C$2:$C$1048576,0),MATCH(W$6,'Restaurant Base (Hidden)'!$A$1:$Z$1,0)),"")</f>
        <v>78,60 %</v>
      </c>
      <c r="X169" s="1">
        <f>+IFERROR(INDEX('Restaurant Base (Hidden)'!$A$2:$Z$1048576,MATCH($C169,'Restaurant Base (Hidden)'!$C$2:$C$1048576,0),MATCH(X$6,'Restaurant Base (Hidden)'!$A$1:$Z$1,0)),"")</f>
        <v>2</v>
      </c>
      <c r="Y169" s="65" t="str">
        <f>+IFERROR(INDEX('Restaurant Base (Hidden)'!$A$2:$Z$1048576,MATCH($C169,'Restaurant Base (Hidden)'!$C$2:$C$1048576,0),MATCH(Y$6,'Restaurant Base (Hidden)'!$A$1:$Z$1,0)),"")</f>
        <v>58,70 %</v>
      </c>
      <c r="Z169" s="106">
        <f>+IFERROR(INDEX('Restaurant Base (Hidden)'!$A$2:$Z$1048576,MATCH($C169,'Restaurant Base (Hidden)'!$C$2:$C$1048576,0),MATCH(Z$6,'Restaurant Base (Hidden)'!$A$1:$Z$1,0)),"")</f>
        <v>1</v>
      </c>
      <c r="AA169" s="65" t="str">
        <f>+IFERROR(INDEX('Restaurant Base (Hidden)'!$A$2:$Z$1048576,MATCH($C169,'Restaurant Base (Hidden)'!$C$2:$C$1048576,0),MATCH(AA$6,'Restaurant Base (Hidden)'!$A$1:$Z$1,0)),"")</f>
        <v>82,10 %</v>
      </c>
      <c r="AB169" s="1">
        <f>+IFERROR(INDEX('Restaurant Base (Hidden)'!$A$2:$Z$1048576,MATCH($C169,'Restaurant Base (Hidden)'!$C$2:$C$1048576,0),MATCH(AB$6,'Restaurant Base (Hidden)'!$A$1:$Z$1,0)),"")</f>
        <v>2</v>
      </c>
      <c r="AC169" s="20" t="str">
        <f>+IFERROR(INDEX('Restaurant Base (Hidden)'!$A$2:$Z$1048576,MATCH($C169,'Restaurant Base (Hidden)'!$C$2:$C$1048576,0),MATCH(AC$6,'Restaurant Base (Hidden)'!$A$1:$Z$1,0)),"")</f>
        <v/>
      </c>
      <c r="AD169" s="65" t="str">
        <f>+IFERROR(INDEX('Restaurant Base (Hidden)'!$A$2:$Z$1048576,MATCH($C169,'Restaurant Base (Hidden)'!$C$2:$C$1048576,0),MATCH(AD$6,'Restaurant Base (Hidden)'!$A$1:$Z$1,0)),"")</f>
        <v>75,80 %</v>
      </c>
      <c r="AE169" s="1">
        <f>+IFERROR(INDEX('Restaurant Base (Hidden)'!$A$2:$Z$1048576,MATCH($C169,'Restaurant Base (Hidden)'!$C$2:$C$1048576,0),MATCH(AE$6,'Restaurant Base (Hidden)'!$A$1:$Z$1,0)),"")</f>
        <v>2</v>
      </c>
      <c r="AF169" s="65" t="str">
        <f>+IFERROR(INDEX('Restaurant Base (Hidden)'!$A$2:$Z$1048576,MATCH($C169,'Restaurant Base (Hidden)'!$C$2:$C$1048576,0),MATCH(AF$6,'Restaurant Base (Hidden)'!$A$1:$Z$1,0)),"")</f>
        <v>90,60 %</v>
      </c>
      <c r="AG169" s="1">
        <f>+IFERROR(INDEX('Restaurant Base (Hidden)'!$A$2:$Z$1048576,MATCH($C169,'Restaurant Base (Hidden)'!$C$2:$C$1048576,0),MATCH(AG$6,'Restaurant Base (Hidden)'!$A$1:$Z$1,0)),"")</f>
        <v>3</v>
      </c>
    </row>
    <row r="170" spans="1:33" x14ac:dyDescent="0.4">
      <c r="A170" s="163" t="str">
        <f>IF('Restaurant Base (Hidden)'!A105=0,"", 'Restaurant Base (Hidden)'!A105)</f>
        <v>Reese Whitmore</v>
      </c>
      <c r="B170" s="163" t="str">
        <f>IF('Restaurant Base (Hidden)'!B105=0,"", 'Restaurant Base (Hidden)'!B105)</f>
        <v>Lakeshore Food Partners</v>
      </c>
      <c r="C170" s="163" t="str">
        <f>IF('Restaurant Base (Hidden)'!C105=0,"", 'Restaurant Base (Hidden)'!C105)</f>
        <v>Copper Mews</v>
      </c>
      <c r="D170" s="104">
        <f t="shared" si="2"/>
        <v>164</v>
      </c>
      <c r="E170" s="105">
        <f>+IFERROR(INDEX('Restaurant Base (Hidden)'!$A$2:$Z$1048576,MATCH($C170,'Restaurant Base (Hidden)'!$C$2:$C$1048576,0),MATCH(E$6,'Restaurant Base (Hidden)'!$A$1:$Z$1,0)),"")</f>
        <v>3.11</v>
      </c>
      <c r="F170" s="2" t="str">
        <f>+IFERROR(INDEX('Restaurant Base (Hidden)'!$A$2:$Z$1048576,MATCH($C170,'Restaurant Base (Hidden)'!$C$2:$C$1048576,0),MATCH(F$6,'Restaurant Base (Hidden)'!$A$1:$Z$1,0)),"")</f>
        <v/>
      </c>
      <c r="G170" s="20" t="str">
        <f>+IFERROR(INDEX('Restaurant Base (Hidden)'!$A$2:$Z$1048576,MATCH($C170,'Restaurant Base (Hidden)'!$C$2:$C$1048576,0),MATCH(G$6,'Restaurant Base (Hidden)'!$A$1:$Z$1,0)),"")</f>
        <v>4,398</v>
      </c>
      <c r="H170" s="50">
        <f>+IFERROR(INDEX('Restaurant Base (Hidden)'!$A$2:$Z$1048576,MATCH($C170,'Restaurant Base (Hidden)'!$C$2:$C$1048576,0),MATCH(H$6,'Restaurant Base (Hidden)'!$A$1:$Z$1,0)),"")</f>
        <v>4</v>
      </c>
      <c r="I170" s="20" t="str">
        <f>+IFERROR(INDEX('Restaurant Base (Hidden)'!$A$2:$Z$1048576,MATCH($C170,'Restaurant Base (Hidden)'!$C$2:$C$1048576,0),MATCH(I$6,'Restaurant Base (Hidden)'!$A$1:$Z$1,0)),"")</f>
        <v>95,50 %</v>
      </c>
      <c r="J170" s="49">
        <f>+IFERROR(INDEX('Restaurant Base (Hidden)'!$A$2:$Z$1048576,MATCH($C170,'Restaurant Base (Hidden)'!$C$2:$C$1048576,0),MATCH(J$6,'Restaurant Base (Hidden)'!$A$1:$Z$1,0)),"")</f>
        <v>5</v>
      </c>
      <c r="K170" s="20" t="str">
        <f>+IFERROR(INDEX('Restaurant Base (Hidden)'!$A$2:$Z$1048576,MATCH($C170,'Restaurant Base (Hidden)'!$C$2:$C$1048576,0),MATCH(K$6,'Restaurant Base (Hidden)'!$A$1:$Z$1,0)),"")</f>
        <v>0,153</v>
      </c>
      <c r="L170" s="51">
        <f>+IFERROR(INDEX('Restaurant Base (Hidden)'!$A$2:$Z$1048576,MATCH($C170,'Restaurant Base (Hidden)'!$C$2:$C$1048576,0),MATCH(L$6,'Restaurant Base (Hidden)'!$A$1:$Z$1,0)),"")</f>
        <v>2</v>
      </c>
      <c r="M170" s="2" t="str">
        <f>+IFERROR(INDEX('Restaurant Base (Hidden)'!$A$2:$Z$1048576,MATCH($C170,'Restaurant Base (Hidden)'!$C$2:$C$1048576,0),MATCH(M$6,'Restaurant Base (Hidden)'!$A$1:$Z$1,0)),"")</f>
        <v/>
      </c>
      <c r="N170" s="234" t="str">
        <f>+IFERROR(INDEX('Restaurant Base (Hidden)'!$A$2:$Z$1048576,MATCH($C170,'Restaurant Base (Hidden)'!$C$2:$C$1048576,0),MATCH(N$6,'Restaurant Base (Hidden)'!$A$1:$Z$1,0)),"")</f>
        <v>77,40 %</v>
      </c>
      <c r="O170" s="1">
        <f>+IFERROR(INDEX('Restaurant Base (Hidden)'!$A$2:$Z$1048576,MATCH($C170,'Restaurant Base (Hidden)'!$C$2:$C$1048576,0),MATCH(O$6,'Restaurant Base (Hidden)'!$A$1:$Z$1,0)),"")</f>
        <v>5</v>
      </c>
      <c r="P170" s="2" t="str">
        <f>+IFERROR(INDEX('Restaurant Base (Hidden)'!$A$2:$Z$1048576,MATCH($C170,'Restaurant Base (Hidden)'!$C$2:$C$1048576,0),MATCH(P$6,'Restaurant Base (Hidden)'!$A$1:$Z$1,0)),"")</f>
        <v/>
      </c>
      <c r="Q170" s="234" t="str">
        <f>+IFERROR(INDEX('Restaurant Base (Hidden)'!$A$2:$Z$1048576,MATCH($C170,'Restaurant Base (Hidden)'!$C$2:$C$1048576,0),MATCH(Q$6,'Restaurant Base (Hidden)'!$A$1:$Z$1,0)),"")</f>
        <v>64,10 %</v>
      </c>
      <c r="R170" s="1">
        <f>+IFERROR(INDEX('Restaurant Base (Hidden)'!$A$2:$Z$1048576,MATCH($C170,'Restaurant Base (Hidden)'!$C$2:$C$1048576,0),MATCH(R$6,'Restaurant Base (Hidden)'!$A$1:$Z$1,0)),"")</f>
        <v>2</v>
      </c>
      <c r="S170" s="2" t="str">
        <f>+IFERROR(INDEX('Restaurant Base (Hidden)'!$A$2:$Z$1048576,MATCH($C170,'Restaurant Base (Hidden)'!$C$2:$C$1048576,0),MATCH(S$6,'Restaurant Base (Hidden)'!$A$1:$Z$1,0)),"")</f>
        <v/>
      </c>
      <c r="T170" s="62">
        <f>+IFERROR(INDEX('Restaurant Base (Hidden)'!$A$2:$Z$1048576,MATCH($C170,'Restaurant Base (Hidden)'!$C$2:$C$1048576,0),MATCH(T$6,'Restaurant Base (Hidden)'!$A$1:$Z$1,0)),"")</f>
        <v>54.1</v>
      </c>
      <c r="U170" s="1">
        <f>+IFERROR(INDEX('Restaurant Base (Hidden)'!$A$2:$Z$1048576,MATCH($C170,'Restaurant Base (Hidden)'!$C$2:$C$1048576,0),MATCH(U$6,'Restaurant Base (Hidden)'!$A$1:$Z$1,0)),"")</f>
        <v>1</v>
      </c>
      <c r="V170" s="2" t="str">
        <f>+IFERROR(INDEX('Restaurant Base (Hidden)'!$A$2:$Z$1048576,MATCH($C170,'Restaurant Base (Hidden)'!$C$2:$C$1048576,0),MATCH(V$6,'Restaurant Base (Hidden)'!$A$1:$Z$1,0)),"")</f>
        <v/>
      </c>
      <c r="W170" s="65" t="str">
        <f>+IFERROR(INDEX('Restaurant Base (Hidden)'!$A$2:$Z$1048576,MATCH($C170,'Restaurant Base (Hidden)'!$C$2:$C$1048576,0),MATCH(W$6,'Restaurant Base (Hidden)'!$A$1:$Z$1,0)),"")</f>
        <v>98,90 %</v>
      </c>
      <c r="X170" s="1">
        <f>+IFERROR(INDEX('Restaurant Base (Hidden)'!$A$2:$Z$1048576,MATCH($C170,'Restaurant Base (Hidden)'!$C$2:$C$1048576,0),MATCH(X$6,'Restaurant Base (Hidden)'!$A$1:$Z$1,0)),"")</f>
        <v>5</v>
      </c>
      <c r="Y170" s="65" t="str">
        <f>+IFERROR(INDEX('Restaurant Base (Hidden)'!$A$2:$Z$1048576,MATCH($C170,'Restaurant Base (Hidden)'!$C$2:$C$1048576,0),MATCH(Y$6,'Restaurant Base (Hidden)'!$A$1:$Z$1,0)),"")</f>
        <v>85,00 %</v>
      </c>
      <c r="Z170" s="106">
        <f>+IFERROR(INDEX('Restaurant Base (Hidden)'!$A$2:$Z$1048576,MATCH($C170,'Restaurant Base (Hidden)'!$C$2:$C$1048576,0),MATCH(Z$6,'Restaurant Base (Hidden)'!$A$1:$Z$1,0)),"")</f>
        <v>3</v>
      </c>
      <c r="AA170" s="65" t="str">
        <f>+IFERROR(INDEX('Restaurant Base (Hidden)'!$A$2:$Z$1048576,MATCH($C170,'Restaurant Base (Hidden)'!$C$2:$C$1048576,0),MATCH(AA$6,'Restaurant Base (Hidden)'!$A$1:$Z$1,0)),"")</f>
        <v>73,60 %</v>
      </c>
      <c r="AB170" s="1">
        <f>+IFERROR(INDEX('Restaurant Base (Hidden)'!$A$2:$Z$1048576,MATCH($C170,'Restaurant Base (Hidden)'!$C$2:$C$1048576,0),MATCH(AB$6,'Restaurant Base (Hidden)'!$A$1:$Z$1,0)),"")</f>
        <v>2</v>
      </c>
      <c r="AC170" s="20" t="str">
        <f>+IFERROR(INDEX('Restaurant Base (Hidden)'!$A$2:$Z$1048576,MATCH($C170,'Restaurant Base (Hidden)'!$C$2:$C$1048576,0),MATCH(AC$6,'Restaurant Base (Hidden)'!$A$1:$Z$1,0)),"")</f>
        <v/>
      </c>
      <c r="AD170" s="65" t="str">
        <f>+IFERROR(INDEX('Restaurant Base (Hidden)'!$A$2:$Z$1048576,MATCH($C170,'Restaurant Base (Hidden)'!$C$2:$C$1048576,0),MATCH(AD$6,'Restaurant Base (Hidden)'!$A$1:$Z$1,0)),"")</f>
        <v>92,10 %</v>
      </c>
      <c r="AE170" s="1">
        <f>+IFERROR(INDEX('Restaurant Base (Hidden)'!$A$2:$Z$1048576,MATCH($C170,'Restaurant Base (Hidden)'!$C$2:$C$1048576,0),MATCH(AE$6,'Restaurant Base (Hidden)'!$A$1:$Z$1,0)),"")</f>
        <v>4</v>
      </c>
      <c r="AF170" s="65" t="str">
        <f>+IFERROR(INDEX('Restaurant Base (Hidden)'!$A$2:$Z$1048576,MATCH($C170,'Restaurant Base (Hidden)'!$C$2:$C$1048576,0),MATCH(AF$6,'Restaurant Base (Hidden)'!$A$1:$Z$1,0)),"")</f>
        <v>64,30 %</v>
      </c>
      <c r="AG170" s="1">
        <f>+IFERROR(INDEX('Restaurant Base (Hidden)'!$A$2:$Z$1048576,MATCH($C170,'Restaurant Base (Hidden)'!$C$2:$C$1048576,0),MATCH(AG$6,'Restaurant Base (Hidden)'!$A$1:$Z$1,0)),"")</f>
        <v>1</v>
      </c>
    </row>
    <row r="171" spans="1:33" x14ac:dyDescent="0.4">
      <c r="A171" s="163" t="str">
        <f>IF('Restaurant Base (Hidden)'!A383=0,"", 'Restaurant Base (Hidden)'!A383)</f>
        <v>Drew Fairbourne</v>
      </c>
      <c r="B171" s="163" t="str">
        <f>IF('Restaurant Base (Hidden)'!B383=0,"", 'Restaurant Base (Hidden)'!B383)</f>
        <v>Goldenridge Hospitality</v>
      </c>
      <c r="C171" s="163" t="str">
        <f>IF('Restaurant Base (Hidden)'!C383=0,"", 'Restaurant Base (Hidden)'!C383)</f>
        <v>Harbor Village</v>
      </c>
      <c r="D171" s="104">
        <f t="shared" si="2"/>
        <v>164</v>
      </c>
      <c r="E171" s="105">
        <f>+IFERROR(INDEX('Restaurant Base (Hidden)'!$A$2:$Z$1048576,MATCH($C171,'Restaurant Base (Hidden)'!$C$2:$C$1048576,0),MATCH(E$6,'Restaurant Base (Hidden)'!$A$1:$Z$1,0)),"")</f>
        <v>3.11</v>
      </c>
      <c r="F171" s="2" t="str">
        <f>+IFERROR(INDEX('Restaurant Base (Hidden)'!$A$2:$Z$1048576,MATCH($C171,'Restaurant Base (Hidden)'!$C$2:$C$1048576,0),MATCH(F$6,'Restaurant Base (Hidden)'!$A$1:$Z$1,0)),"")</f>
        <v/>
      </c>
      <c r="G171" s="20" t="str">
        <f>+IFERROR(INDEX('Restaurant Base (Hidden)'!$A$2:$Z$1048576,MATCH($C171,'Restaurant Base (Hidden)'!$C$2:$C$1048576,0),MATCH(G$6,'Restaurant Base (Hidden)'!$A$1:$Z$1,0)),"")</f>
        <v>4,628</v>
      </c>
      <c r="H171" s="50">
        <f>+IFERROR(INDEX('Restaurant Base (Hidden)'!$A$2:$Z$1048576,MATCH($C171,'Restaurant Base (Hidden)'!$C$2:$C$1048576,0),MATCH(H$6,'Restaurant Base (Hidden)'!$A$1:$Z$1,0)),"")</f>
        <v>5</v>
      </c>
      <c r="I171" s="20" t="str">
        <f>+IFERROR(INDEX('Restaurant Base (Hidden)'!$A$2:$Z$1048576,MATCH($C171,'Restaurant Base (Hidden)'!$C$2:$C$1048576,0),MATCH(I$6,'Restaurant Base (Hidden)'!$A$1:$Z$1,0)),"")</f>
        <v>65,50 %</v>
      </c>
      <c r="J171" s="49">
        <f>+IFERROR(INDEX('Restaurant Base (Hidden)'!$A$2:$Z$1048576,MATCH($C171,'Restaurant Base (Hidden)'!$C$2:$C$1048576,0),MATCH(J$6,'Restaurant Base (Hidden)'!$A$1:$Z$1,0)),"")</f>
        <v>1</v>
      </c>
      <c r="K171" s="20" t="str">
        <f>+IFERROR(INDEX('Restaurant Base (Hidden)'!$A$2:$Z$1048576,MATCH($C171,'Restaurant Base (Hidden)'!$C$2:$C$1048576,0),MATCH(K$6,'Restaurant Base (Hidden)'!$A$1:$Z$1,0)),"")</f>
        <v>0,039</v>
      </c>
      <c r="L171" s="51">
        <f>+IFERROR(INDEX('Restaurant Base (Hidden)'!$A$2:$Z$1048576,MATCH($C171,'Restaurant Base (Hidden)'!$C$2:$C$1048576,0),MATCH(L$6,'Restaurant Base (Hidden)'!$A$1:$Z$1,0)),"")</f>
        <v>5</v>
      </c>
      <c r="M171" s="2" t="str">
        <f>+IFERROR(INDEX('Restaurant Base (Hidden)'!$A$2:$Z$1048576,MATCH($C171,'Restaurant Base (Hidden)'!$C$2:$C$1048576,0),MATCH(M$6,'Restaurant Base (Hidden)'!$A$1:$Z$1,0)),"")</f>
        <v/>
      </c>
      <c r="N171" s="234" t="str">
        <f>+IFERROR(INDEX('Restaurant Base (Hidden)'!$A$2:$Z$1048576,MATCH($C171,'Restaurant Base (Hidden)'!$C$2:$C$1048576,0),MATCH(N$6,'Restaurant Base (Hidden)'!$A$1:$Z$1,0)),"")</f>
        <v>58,70 %</v>
      </c>
      <c r="O171" s="1">
        <f>+IFERROR(INDEX('Restaurant Base (Hidden)'!$A$2:$Z$1048576,MATCH($C171,'Restaurant Base (Hidden)'!$C$2:$C$1048576,0),MATCH(O$6,'Restaurant Base (Hidden)'!$A$1:$Z$1,0)),"")</f>
        <v>1</v>
      </c>
      <c r="P171" s="2" t="str">
        <f>+IFERROR(INDEX('Restaurant Base (Hidden)'!$A$2:$Z$1048576,MATCH($C171,'Restaurant Base (Hidden)'!$C$2:$C$1048576,0),MATCH(P$6,'Restaurant Base (Hidden)'!$A$1:$Z$1,0)),"")</f>
        <v/>
      </c>
      <c r="Q171" s="234" t="str">
        <f>+IFERROR(INDEX('Restaurant Base (Hidden)'!$A$2:$Z$1048576,MATCH($C171,'Restaurant Base (Hidden)'!$C$2:$C$1048576,0),MATCH(Q$6,'Restaurant Base (Hidden)'!$A$1:$Z$1,0)),"")</f>
        <v>79,40 %</v>
      </c>
      <c r="R171" s="1">
        <f>+IFERROR(INDEX('Restaurant Base (Hidden)'!$A$2:$Z$1048576,MATCH($C171,'Restaurant Base (Hidden)'!$C$2:$C$1048576,0),MATCH(R$6,'Restaurant Base (Hidden)'!$A$1:$Z$1,0)),"")</f>
        <v>5</v>
      </c>
      <c r="S171" s="2" t="str">
        <f>+IFERROR(INDEX('Restaurant Base (Hidden)'!$A$2:$Z$1048576,MATCH($C171,'Restaurant Base (Hidden)'!$C$2:$C$1048576,0),MATCH(S$6,'Restaurant Base (Hidden)'!$A$1:$Z$1,0)),"")</f>
        <v/>
      </c>
      <c r="T171" s="62">
        <f>+IFERROR(INDEX('Restaurant Base (Hidden)'!$A$2:$Z$1048576,MATCH($C171,'Restaurant Base (Hidden)'!$C$2:$C$1048576,0),MATCH(T$6,'Restaurant Base (Hidden)'!$A$1:$Z$1,0)),"")</f>
        <v>76.5</v>
      </c>
      <c r="U171" s="1">
        <f>+IFERROR(INDEX('Restaurant Base (Hidden)'!$A$2:$Z$1048576,MATCH($C171,'Restaurant Base (Hidden)'!$C$2:$C$1048576,0),MATCH(U$6,'Restaurant Base (Hidden)'!$A$1:$Z$1,0)),"")</f>
        <v>5</v>
      </c>
      <c r="V171" s="2" t="str">
        <f>+IFERROR(INDEX('Restaurant Base (Hidden)'!$A$2:$Z$1048576,MATCH($C171,'Restaurant Base (Hidden)'!$C$2:$C$1048576,0),MATCH(V$6,'Restaurant Base (Hidden)'!$A$1:$Z$1,0)),"")</f>
        <v/>
      </c>
      <c r="W171" s="65" t="str">
        <f>+IFERROR(INDEX('Restaurant Base (Hidden)'!$A$2:$Z$1048576,MATCH($C171,'Restaurant Base (Hidden)'!$C$2:$C$1048576,0),MATCH(W$6,'Restaurant Base (Hidden)'!$A$1:$Z$1,0)),"")</f>
        <v>80,50 %</v>
      </c>
      <c r="X171" s="1">
        <f>+IFERROR(INDEX('Restaurant Base (Hidden)'!$A$2:$Z$1048576,MATCH($C171,'Restaurant Base (Hidden)'!$C$2:$C$1048576,0),MATCH(X$6,'Restaurant Base (Hidden)'!$A$1:$Z$1,0)),"")</f>
        <v>3</v>
      </c>
      <c r="Y171" s="65" t="str">
        <f>+IFERROR(INDEX('Restaurant Base (Hidden)'!$A$2:$Z$1048576,MATCH($C171,'Restaurant Base (Hidden)'!$C$2:$C$1048576,0),MATCH(Y$6,'Restaurant Base (Hidden)'!$A$1:$Z$1,0)),"")</f>
        <v>57,10 %</v>
      </c>
      <c r="Z171" s="106">
        <f>+IFERROR(INDEX('Restaurant Base (Hidden)'!$A$2:$Z$1048576,MATCH($C171,'Restaurant Base (Hidden)'!$C$2:$C$1048576,0),MATCH(Z$6,'Restaurant Base (Hidden)'!$A$1:$Z$1,0)),"")</f>
        <v>1</v>
      </c>
      <c r="AA171" s="65" t="str">
        <f>+IFERROR(INDEX('Restaurant Base (Hidden)'!$A$2:$Z$1048576,MATCH($C171,'Restaurant Base (Hidden)'!$C$2:$C$1048576,0),MATCH(AA$6,'Restaurant Base (Hidden)'!$A$1:$Z$1,0)),"")</f>
        <v>76,50 %</v>
      </c>
      <c r="AB171" s="1">
        <f>+IFERROR(INDEX('Restaurant Base (Hidden)'!$A$2:$Z$1048576,MATCH($C171,'Restaurant Base (Hidden)'!$C$2:$C$1048576,0),MATCH(AB$6,'Restaurant Base (Hidden)'!$A$1:$Z$1,0)),"")</f>
        <v>2</v>
      </c>
      <c r="AC171" s="20" t="str">
        <f>+IFERROR(INDEX('Restaurant Base (Hidden)'!$A$2:$Z$1048576,MATCH($C171,'Restaurant Base (Hidden)'!$C$2:$C$1048576,0),MATCH(AC$6,'Restaurant Base (Hidden)'!$A$1:$Z$1,0)),"")</f>
        <v/>
      </c>
      <c r="AD171" s="65" t="str">
        <f>+IFERROR(INDEX('Restaurant Base (Hidden)'!$A$2:$Z$1048576,MATCH($C171,'Restaurant Base (Hidden)'!$C$2:$C$1048576,0),MATCH(AD$6,'Restaurant Base (Hidden)'!$A$1:$Z$1,0)),"")</f>
        <v>76,60 %</v>
      </c>
      <c r="AE171" s="1">
        <f>+IFERROR(INDEX('Restaurant Base (Hidden)'!$A$2:$Z$1048576,MATCH($C171,'Restaurant Base (Hidden)'!$C$2:$C$1048576,0),MATCH(AE$6,'Restaurant Base (Hidden)'!$A$1:$Z$1,0)),"")</f>
        <v>2</v>
      </c>
      <c r="AF171" s="65" t="str">
        <f>+IFERROR(INDEX('Restaurant Base (Hidden)'!$A$2:$Z$1048576,MATCH($C171,'Restaurant Base (Hidden)'!$C$2:$C$1048576,0),MATCH(AF$6,'Restaurant Base (Hidden)'!$A$1:$Z$1,0)),"")</f>
        <v>95,90 %</v>
      </c>
      <c r="AG171" s="1">
        <f>+IFERROR(INDEX('Restaurant Base (Hidden)'!$A$2:$Z$1048576,MATCH($C171,'Restaurant Base (Hidden)'!$C$2:$C$1048576,0),MATCH(AG$6,'Restaurant Base (Hidden)'!$A$1:$Z$1,0)),"")</f>
        <v>4</v>
      </c>
    </row>
    <row r="172" spans="1:33" x14ac:dyDescent="0.4">
      <c r="A172" s="163" t="str">
        <f>IF('Restaurant Base (Hidden)'!A61=0,"", 'Restaurant Base (Hidden)'!A61)</f>
        <v>Blake Bellamy</v>
      </c>
      <c r="B172" s="163" t="str">
        <f>IF('Restaurant Base (Hidden)'!B61=0,"", 'Restaurant Base (Hidden)'!B61)</f>
        <v>Parkstone Restaurant Group</v>
      </c>
      <c r="C172" s="163" t="str">
        <f>IF('Restaurant Base (Hidden)'!C61=0,"", 'Restaurant Base (Hidden)'!C61)</f>
        <v>Lunar Point</v>
      </c>
      <c r="D172" s="104">
        <f t="shared" si="2"/>
        <v>166</v>
      </c>
      <c r="E172" s="105">
        <f>+IFERROR(INDEX('Restaurant Base (Hidden)'!$A$2:$Z$1048576,MATCH($C172,'Restaurant Base (Hidden)'!$C$2:$C$1048576,0),MATCH(E$6,'Restaurant Base (Hidden)'!$A$1:$Z$1,0)),"")</f>
        <v>3.1</v>
      </c>
      <c r="F172" s="64" t="str">
        <f>+IFERROR(INDEX('Restaurant Base (Hidden)'!$A$2:$Z$1048576,MATCH($C172,'Restaurant Base (Hidden)'!$C$2:$C$1048576,0),MATCH(F$6,'Restaurant Base (Hidden)'!$A$1:$Z$1,0)),"")</f>
        <v/>
      </c>
      <c r="G172" s="20" t="str">
        <f>+IFERROR(INDEX('Restaurant Base (Hidden)'!$A$2:$Z$1048576,MATCH($C172,'Restaurant Base (Hidden)'!$C$2:$C$1048576,0),MATCH(G$6,'Restaurant Base (Hidden)'!$A$1:$Z$1,0)),"")</f>
        <v>4,171</v>
      </c>
      <c r="H172" s="50">
        <f>+IFERROR(INDEX('Restaurant Base (Hidden)'!$A$2:$Z$1048576,MATCH($C172,'Restaurant Base (Hidden)'!$C$2:$C$1048576,0),MATCH(H$6,'Restaurant Base (Hidden)'!$A$1:$Z$1,0)),"")</f>
        <v>2</v>
      </c>
      <c r="I172" s="20" t="str">
        <f>+IFERROR(INDEX('Restaurant Base (Hidden)'!$A$2:$Z$1048576,MATCH($C172,'Restaurant Base (Hidden)'!$C$2:$C$1048576,0),MATCH(I$6,'Restaurant Base (Hidden)'!$A$1:$Z$1,0)),"")</f>
        <v>85,60 %</v>
      </c>
      <c r="J172" s="49">
        <f>+IFERROR(INDEX('Restaurant Base (Hidden)'!$A$2:$Z$1048576,MATCH($C172,'Restaurant Base (Hidden)'!$C$2:$C$1048576,0),MATCH(J$6,'Restaurant Base (Hidden)'!$A$1:$Z$1,0)),"")</f>
        <v>3</v>
      </c>
      <c r="K172" s="20" t="str">
        <f>+IFERROR(INDEX('Restaurant Base (Hidden)'!$A$2:$Z$1048576,MATCH($C172,'Restaurant Base (Hidden)'!$C$2:$C$1048576,0),MATCH(K$6,'Restaurant Base (Hidden)'!$A$1:$Z$1,0)),"")</f>
        <v>0,039</v>
      </c>
      <c r="L172" s="51">
        <f>+IFERROR(INDEX('Restaurant Base (Hidden)'!$A$2:$Z$1048576,MATCH($C172,'Restaurant Base (Hidden)'!$C$2:$C$1048576,0),MATCH(L$6,'Restaurant Base (Hidden)'!$A$1:$Z$1,0)),"")</f>
        <v>5</v>
      </c>
      <c r="M172" s="2" t="str">
        <f>+IFERROR(INDEX('Restaurant Base (Hidden)'!$A$2:$Z$1048576,MATCH($C172,'Restaurant Base (Hidden)'!$C$2:$C$1048576,0),MATCH(M$6,'Restaurant Base (Hidden)'!$A$1:$Z$1,0)),"")</f>
        <v/>
      </c>
      <c r="N172" s="234" t="str">
        <f>+IFERROR(INDEX('Restaurant Base (Hidden)'!$A$2:$Z$1048576,MATCH($C172,'Restaurant Base (Hidden)'!$C$2:$C$1048576,0),MATCH(N$6,'Restaurant Base (Hidden)'!$A$1:$Z$1,0)),"")</f>
        <v>70,20 %</v>
      </c>
      <c r="O172" s="1">
        <f>+IFERROR(INDEX('Restaurant Base (Hidden)'!$A$2:$Z$1048576,MATCH($C172,'Restaurant Base (Hidden)'!$C$2:$C$1048576,0),MATCH(O$6,'Restaurant Base (Hidden)'!$A$1:$Z$1,0)),"")</f>
        <v>4</v>
      </c>
      <c r="P172" s="2" t="str">
        <f>+IFERROR(INDEX('Restaurant Base (Hidden)'!$A$2:$Z$1048576,MATCH($C172,'Restaurant Base (Hidden)'!$C$2:$C$1048576,0),MATCH(P$6,'Restaurant Base (Hidden)'!$A$1:$Z$1,0)),"")</f>
        <v/>
      </c>
      <c r="Q172" s="234" t="str">
        <f>+IFERROR(INDEX('Restaurant Base (Hidden)'!$A$2:$Z$1048576,MATCH($C172,'Restaurant Base (Hidden)'!$C$2:$C$1048576,0),MATCH(Q$6,'Restaurant Base (Hidden)'!$A$1:$Z$1,0)),"")</f>
        <v>69,40 %</v>
      </c>
      <c r="R172" s="1">
        <f>+IFERROR(INDEX('Restaurant Base (Hidden)'!$A$2:$Z$1048576,MATCH($C172,'Restaurant Base (Hidden)'!$C$2:$C$1048576,0),MATCH(R$6,'Restaurant Base (Hidden)'!$A$1:$Z$1,0)),"")</f>
        <v>4</v>
      </c>
      <c r="S172" s="2" t="str">
        <f>+IFERROR(INDEX('Restaurant Base (Hidden)'!$A$2:$Z$1048576,MATCH($C172,'Restaurant Base (Hidden)'!$C$2:$C$1048576,0),MATCH(S$6,'Restaurant Base (Hidden)'!$A$1:$Z$1,0)),"")</f>
        <v/>
      </c>
      <c r="T172" s="62">
        <f>+IFERROR(INDEX('Restaurant Base (Hidden)'!$A$2:$Z$1048576,MATCH($C172,'Restaurant Base (Hidden)'!$C$2:$C$1048576,0),MATCH(T$6,'Restaurant Base (Hidden)'!$A$1:$Z$1,0)),"")</f>
        <v>72</v>
      </c>
      <c r="U172" s="1">
        <f>+IFERROR(INDEX('Restaurant Base (Hidden)'!$A$2:$Z$1048576,MATCH($C172,'Restaurant Base (Hidden)'!$C$2:$C$1048576,0),MATCH(U$6,'Restaurant Base (Hidden)'!$A$1:$Z$1,0)),"")</f>
        <v>5</v>
      </c>
      <c r="V172" s="2" t="str">
        <f>+IFERROR(INDEX('Restaurant Base (Hidden)'!$A$2:$Z$1048576,MATCH($C172,'Restaurant Base (Hidden)'!$C$2:$C$1048576,0),MATCH(V$6,'Restaurant Base (Hidden)'!$A$1:$Z$1,0)),"")</f>
        <v/>
      </c>
      <c r="W172" s="65" t="str">
        <f>+IFERROR(INDEX('Restaurant Base (Hidden)'!$A$2:$Z$1048576,MATCH($C172,'Restaurant Base (Hidden)'!$C$2:$C$1048576,0),MATCH(W$6,'Restaurant Base (Hidden)'!$A$1:$Z$1,0)),"")</f>
        <v>89,20 %</v>
      </c>
      <c r="X172" s="1">
        <f>+IFERROR(INDEX('Restaurant Base (Hidden)'!$A$2:$Z$1048576,MATCH($C172,'Restaurant Base (Hidden)'!$C$2:$C$1048576,0),MATCH(X$6,'Restaurant Base (Hidden)'!$A$1:$Z$1,0)),"")</f>
        <v>3</v>
      </c>
      <c r="Y172" s="65" t="str">
        <f>+IFERROR(INDEX('Restaurant Base (Hidden)'!$A$2:$Z$1048576,MATCH($C172,'Restaurant Base (Hidden)'!$C$2:$C$1048576,0),MATCH(Y$6,'Restaurant Base (Hidden)'!$A$1:$Z$1,0)),"")</f>
        <v>82,20 %</v>
      </c>
      <c r="Z172" s="106">
        <f>+IFERROR(INDEX('Restaurant Base (Hidden)'!$A$2:$Z$1048576,MATCH($C172,'Restaurant Base (Hidden)'!$C$2:$C$1048576,0),MATCH(Z$6,'Restaurant Base (Hidden)'!$A$1:$Z$1,0)),"")</f>
        <v>3</v>
      </c>
      <c r="AA172" s="65" t="str">
        <f>+IFERROR(INDEX('Restaurant Base (Hidden)'!$A$2:$Z$1048576,MATCH($C172,'Restaurant Base (Hidden)'!$C$2:$C$1048576,0),MATCH(AA$6,'Restaurant Base (Hidden)'!$A$1:$Z$1,0)),"")</f>
        <v>71,20 %</v>
      </c>
      <c r="AB172" s="1">
        <f>+IFERROR(INDEX('Restaurant Base (Hidden)'!$A$2:$Z$1048576,MATCH($C172,'Restaurant Base (Hidden)'!$C$2:$C$1048576,0),MATCH(AB$6,'Restaurant Base (Hidden)'!$A$1:$Z$1,0)),"")</f>
        <v>2</v>
      </c>
      <c r="AC172" s="20" t="str">
        <f>+IFERROR(INDEX('Restaurant Base (Hidden)'!$A$2:$Z$1048576,MATCH($C172,'Restaurant Base (Hidden)'!$C$2:$C$1048576,0),MATCH(AC$6,'Restaurant Base (Hidden)'!$A$1:$Z$1,0)),"")</f>
        <v/>
      </c>
      <c r="AD172" s="65" t="str">
        <f>+IFERROR(INDEX('Restaurant Base (Hidden)'!$A$2:$Z$1048576,MATCH($C172,'Restaurant Base (Hidden)'!$C$2:$C$1048576,0),MATCH(AD$6,'Restaurant Base (Hidden)'!$A$1:$Z$1,0)),"")</f>
        <v>55,20 %</v>
      </c>
      <c r="AE172" s="1">
        <f>+IFERROR(INDEX('Restaurant Base (Hidden)'!$A$2:$Z$1048576,MATCH($C172,'Restaurant Base (Hidden)'!$C$2:$C$1048576,0),MATCH(AE$6,'Restaurant Base (Hidden)'!$A$1:$Z$1,0)),"")</f>
        <v>1</v>
      </c>
      <c r="AF172" s="65" t="str">
        <f>+IFERROR(INDEX('Restaurant Base (Hidden)'!$A$2:$Z$1048576,MATCH($C172,'Restaurant Base (Hidden)'!$C$2:$C$1048576,0),MATCH(AF$6,'Restaurant Base (Hidden)'!$A$1:$Z$1,0)),"")</f>
        <v>74,70 %</v>
      </c>
      <c r="AG172" s="1">
        <f>+IFERROR(INDEX('Restaurant Base (Hidden)'!$A$2:$Z$1048576,MATCH($C172,'Restaurant Base (Hidden)'!$C$2:$C$1048576,0),MATCH(AG$6,'Restaurant Base (Hidden)'!$A$1:$Z$1,0)),"")</f>
        <v>1</v>
      </c>
    </row>
    <row r="173" spans="1:33" x14ac:dyDescent="0.4">
      <c r="A173" s="163" t="str">
        <f>IF('Restaurant Base (Hidden)'!A205=0,"", 'Restaurant Base (Hidden)'!A205)</f>
        <v>Avery Ashford</v>
      </c>
      <c r="B173" s="163" t="str">
        <f>IF('Restaurant Base (Hidden)'!B205=0,"", 'Restaurant Base (Hidden)'!B205)</f>
        <v>Oakbridge Restaurant Group</v>
      </c>
      <c r="C173" s="163" t="str">
        <f>IF('Restaurant Base (Hidden)'!C205=0,"", 'Restaurant Base (Hidden)'!C205)</f>
        <v>Briar Pines</v>
      </c>
      <c r="D173" s="104">
        <f t="shared" si="2"/>
        <v>166</v>
      </c>
      <c r="E173" s="105">
        <f>+IFERROR(INDEX('Restaurant Base (Hidden)'!$A$2:$Z$1048576,MATCH($C173,'Restaurant Base (Hidden)'!$C$2:$C$1048576,0),MATCH(E$6,'Restaurant Base (Hidden)'!$A$1:$Z$1,0)),"")</f>
        <v>3.1</v>
      </c>
      <c r="F173" s="2" t="str">
        <f>+IFERROR(INDEX('Restaurant Base (Hidden)'!$A$2:$Z$1048576,MATCH($C173,'Restaurant Base (Hidden)'!$C$2:$C$1048576,0),MATCH(F$6,'Restaurant Base (Hidden)'!$A$1:$Z$1,0)),"")</f>
        <v/>
      </c>
      <c r="G173" s="20" t="str">
        <f>+IFERROR(INDEX('Restaurant Base (Hidden)'!$A$2:$Z$1048576,MATCH($C173,'Restaurant Base (Hidden)'!$C$2:$C$1048576,0),MATCH(G$6,'Restaurant Base (Hidden)'!$A$1:$Z$1,0)),"")</f>
        <v>4,832</v>
      </c>
      <c r="H173" s="50">
        <f>+IFERROR(INDEX('Restaurant Base (Hidden)'!$A$2:$Z$1048576,MATCH($C173,'Restaurant Base (Hidden)'!$C$2:$C$1048576,0),MATCH(H$6,'Restaurant Base (Hidden)'!$A$1:$Z$1,0)),"")</f>
        <v>5</v>
      </c>
      <c r="I173" s="20" t="str">
        <f>+IFERROR(INDEX('Restaurant Base (Hidden)'!$A$2:$Z$1048576,MATCH($C173,'Restaurant Base (Hidden)'!$C$2:$C$1048576,0),MATCH(I$6,'Restaurant Base (Hidden)'!$A$1:$Z$1,0)),"")</f>
        <v>63,90 %</v>
      </c>
      <c r="J173" s="49">
        <f>+IFERROR(INDEX('Restaurant Base (Hidden)'!$A$2:$Z$1048576,MATCH($C173,'Restaurant Base (Hidden)'!$C$2:$C$1048576,0),MATCH(J$6,'Restaurant Base (Hidden)'!$A$1:$Z$1,0)),"")</f>
        <v>1</v>
      </c>
      <c r="K173" s="20" t="str">
        <f>+IFERROR(INDEX('Restaurant Base (Hidden)'!$A$2:$Z$1048576,MATCH($C173,'Restaurant Base (Hidden)'!$C$2:$C$1048576,0),MATCH(K$6,'Restaurant Base (Hidden)'!$A$1:$Z$1,0)),"")</f>
        <v>0,196</v>
      </c>
      <c r="L173" s="51">
        <f>+IFERROR(INDEX('Restaurant Base (Hidden)'!$A$2:$Z$1048576,MATCH($C173,'Restaurant Base (Hidden)'!$C$2:$C$1048576,0),MATCH(L$6,'Restaurant Base (Hidden)'!$A$1:$Z$1,0)),"")</f>
        <v>1</v>
      </c>
      <c r="M173" s="2" t="str">
        <f>+IFERROR(INDEX('Restaurant Base (Hidden)'!$A$2:$Z$1048576,MATCH($C173,'Restaurant Base (Hidden)'!$C$2:$C$1048576,0),MATCH(M$6,'Restaurant Base (Hidden)'!$A$1:$Z$1,0)),"")</f>
        <v/>
      </c>
      <c r="N173" s="234" t="str">
        <f>+IFERROR(INDEX('Restaurant Base (Hidden)'!$A$2:$Z$1048576,MATCH($C173,'Restaurant Base (Hidden)'!$C$2:$C$1048576,0),MATCH(N$6,'Restaurant Base (Hidden)'!$A$1:$Z$1,0)),"")</f>
        <v>73,40 %</v>
      </c>
      <c r="O173" s="1">
        <f>+IFERROR(INDEX('Restaurant Base (Hidden)'!$A$2:$Z$1048576,MATCH($C173,'Restaurant Base (Hidden)'!$C$2:$C$1048576,0),MATCH(O$6,'Restaurant Base (Hidden)'!$A$1:$Z$1,0)),"")</f>
        <v>5</v>
      </c>
      <c r="P173" s="2" t="str">
        <f>+IFERROR(INDEX('Restaurant Base (Hidden)'!$A$2:$Z$1048576,MATCH($C173,'Restaurant Base (Hidden)'!$C$2:$C$1048576,0),MATCH(P$6,'Restaurant Base (Hidden)'!$A$1:$Z$1,0)),"")</f>
        <v/>
      </c>
      <c r="Q173" s="234" t="str">
        <f>+IFERROR(INDEX('Restaurant Base (Hidden)'!$A$2:$Z$1048576,MATCH($C173,'Restaurant Base (Hidden)'!$C$2:$C$1048576,0),MATCH(Q$6,'Restaurant Base (Hidden)'!$A$1:$Z$1,0)),"")</f>
        <v>90,20 %</v>
      </c>
      <c r="R173" s="1">
        <f>+IFERROR(INDEX('Restaurant Base (Hidden)'!$A$2:$Z$1048576,MATCH($C173,'Restaurant Base (Hidden)'!$C$2:$C$1048576,0),MATCH(R$6,'Restaurant Base (Hidden)'!$A$1:$Z$1,0)),"")</f>
        <v>5</v>
      </c>
      <c r="S173" s="2" t="str">
        <f>+IFERROR(INDEX('Restaurant Base (Hidden)'!$A$2:$Z$1048576,MATCH($C173,'Restaurant Base (Hidden)'!$C$2:$C$1048576,0),MATCH(S$6,'Restaurant Base (Hidden)'!$A$1:$Z$1,0)),"")</f>
        <v/>
      </c>
      <c r="T173" s="62">
        <f>+IFERROR(INDEX('Restaurant Base (Hidden)'!$A$2:$Z$1048576,MATCH($C173,'Restaurant Base (Hidden)'!$C$2:$C$1048576,0),MATCH(T$6,'Restaurant Base (Hidden)'!$A$1:$Z$1,0)),"")</f>
        <v>63.4</v>
      </c>
      <c r="U173" s="1">
        <f>+IFERROR(INDEX('Restaurant Base (Hidden)'!$A$2:$Z$1048576,MATCH($C173,'Restaurant Base (Hidden)'!$C$2:$C$1048576,0),MATCH(U$6,'Restaurant Base (Hidden)'!$A$1:$Z$1,0)),"")</f>
        <v>3</v>
      </c>
      <c r="V173" s="2" t="str">
        <f>+IFERROR(INDEX('Restaurant Base (Hidden)'!$A$2:$Z$1048576,MATCH($C173,'Restaurant Base (Hidden)'!$C$2:$C$1048576,0),MATCH(V$6,'Restaurant Base (Hidden)'!$A$1:$Z$1,0)),"")</f>
        <v/>
      </c>
      <c r="W173" s="65" t="str">
        <f>+IFERROR(INDEX('Restaurant Base (Hidden)'!$A$2:$Z$1048576,MATCH($C173,'Restaurant Base (Hidden)'!$C$2:$C$1048576,0),MATCH(W$6,'Restaurant Base (Hidden)'!$A$1:$Z$1,0)),"")</f>
        <v>62,40 %</v>
      </c>
      <c r="X173" s="1">
        <f>+IFERROR(INDEX('Restaurant Base (Hidden)'!$A$2:$Z$1048576,MATCH($C173,'Restaurant Base (Hidden)'!$C$2:$C$1048576,0),MATCH(X$6,'Restaurant Base (Hidden)'!$A$1:$Z$1,0)),"")</f>
        <v>2</v>
      </c>
      <c r="Y173" s="65" t="str">
        <f>+IFERROR(INDEX('Restaurant Base (Hidden)'!$A$2:$Z$1048576,MATCH($C173,'Restaurant Base (Hidden)'!$C$2:$C$1048576,0),MATCH(Y$6,'Restaurant Base (Hidden)'!$A$1:$Z$1,0)),"")</f>
        <v>66,80 %</v>
      </c>
      <c r="Z173" s="106">
        <f>+IFERROR(INDEX('Restaurant Base (Hidden)'!$A$2:$Z$1048576,MATCH($C173,'Restaurant Base (Hidden)'!$C$2:$C$1048576,0),MATCH(Z$6,'Restaurant Base (Hidden)'!$A$1:$Z$1,0)),"")</f>
        <v>2</v>
      </c>
      <c r="AA173" s="65" t="str">
        <f>+IFERROR(INDEX('Restaurant Base (Hidden)'!$A$2:$Z$1048576,MATCH($C173,'Restaurant Base (Hidden)'!$C$2:$C$1048576,0),MATCH(AA$6,'Restaurant Base (Hidden)'!$A$1:$Z$1,0)),"")</f>
        <v>66,30 %</v>
      </c>
      <c r="AB173" s="1">
        <f>+IFERROR(INDEX('Restaurant Base (Hidden)'!$A$2:$Z$1048576,MATCH($C173,'Restaurant Base (Hidden)'!$C$2:$C$1048576,0),MATCH(AB$6,'Restaurant Base (Hidden)'!$A$1:$Z$1,0)),"")</f>
        <v>2</v>
      </c>
      <c r="AC173" s="20" t="str">
        <f>+IFERROR(INDEX('Restaurant Base (Hidden)'!$A$2:$Z$1048576,MATCH($C173,'Restaurant Base (Hidden)'!$C$2:$C$1048576,0),MATCH(AC$6,'Restaurant Base (Hidden)'!$A$1:$Z$1,0)),"")</f>
        <v/>
      </c>
      <c r="AD173" s="65" t="str">
        <f>+IFERROR(INDEX('Restaurant Base (Hidden)'!$A$2:$Z$1048576,MATCH($C173,'Restaurant Base (Hidden)'!$C$2:$C$1048576,0),MATCH(AD$6,'Restaurant Base (Hidden)'!$A$1:$Z$1,0)),"")</f>
        <v>87,20 %</v>
      </c>
      <c r="AE173" s="1">
        <f>+IFERROR(INDEX('Restaurant Base (Hidden)'!$A$2:$Z$1048576,MATCH($C173,'Restaurant Base (Hidden)'!$C$2:$C$1048576,0),MATCH(AE$6,'Restaurant Base (Hidden)'!$A$1:$Z$1,0)),"")</f>
        <v>3</v>
      </c>
      <c r="AF173" s="65" t="str">
        <f>+IFERROR(INDEX('Restaurant Base (Hidden)'!$A$2:$Z$1048576,MATCH($C173,'Restaurant Base (Hidden)'!$C$2:$C$1048576,0),MATCH(AF$6,'Restaurant Base (Hidden)'!$A$1:$Z$1,0)),"")</f>
        <v>81,70 %</v>
      </c>
      <c r="AG173" s="1">
        <f>+IFERROR(INDEX('Restaurant Base (Hidden)'!$A$2:$Z$1048576,MATCH($C173,'Restaurant Base (Hidden)'!$C$2:$C$1048576,0),MATCH(AG$6,'Restaurant Base (Hidden)'!$A$1:$Z$1,0)),"")</f>
        <v>2</v>
      </c>
    </row>
    <row r="174" spans="1:33" x14ac:dyDescent="0.4">
      <c r="A174" s="163" t="str">
        <f>IF('Restaurant Base (Hidden)'!A277=0,"", 'Restaurant Base (Hidden)'!A277)</f>
        <v>Parker Sterling</v>
      </c>
      <c r="B174" s="163" t="str">
        <f>IF('Restaurant Base (Hidden)'!B277=0,"", 'Restaurant Base (Hidden)'!B277)</f>
        <v>Riverstone Food Partners</v>
      </c>
      <c r="C174" s="163" t="str">
        <f>IF('Restaurant Base (Hidden)'!C277=0,"", 'Restaurant Base (Hidden)'!C277)</f>
        <v>Silverbrook Harbor</v>
      </c>
      <c r="D174" s="104">
        <f t="shared" si="2"/>
        <v>166</v>
      </c>
      <c r="E174" s="105">
        <f>+IFERROR(INDEX('Restaurant Base (Hidden)'!$A$2:$Z$1048576,MATCH($C174,'Restaurant Base (Hidden)'!$C$2:$C$1048576,0),MATCH(E$6,'Restaurant Base (Hidden)'!$A$1:$Z$1,0)),"")</f>
        <v>3.1</v>
      </c>
      <c r="F174" s="2" t="str">
        <f>+IFERROR(INDEX('Restaurant Base (Hidden)'!$A$2:$Z$1048576,MATCH($C174,'Restaurant Base (Hidden)'!$C$2:$C$1048576,0),MATCH(F$6,'Restaurant Base (Hidden)'!$A$1:$Z$1,0)),"")</f>
        <v/>
      </c>
      <c r="G174" s="20" t="str">
        <f>+IFERROR(INDEX('Restaurant Base (Hidden)'!$A$2:$Z$1048576,MATCH($C174,'Restaurant Base (Hidden)'!$C$2:$C$1048576,0),MATCH(G$6,'Restaurant Base (Hidden)'!$A$1:$Z$1,0)),"")</f>
        <v>4,543</v>
      </c>
      <c r="H174" s="50">
        <f>+IFERROR(INDEX('Restaurant Base (Hidden)'!$A$2:$Z$1048576,MATCH($C174,'Restaurant Base (Hidden)'!$C$2:$C$1048576,0),MATCH(H$6,'Restaurant Base (Hidden)'!$A$1:$Z$1,0)),"")</f>
        <v>5</v>
      </c>
      <c r="I174" s="20" t="str">
        <f>+IFERROR(INDEX('Restaurant Base (Hidden)'!$A$2:$Z$1048576,MATCH($C174,'Restaurant Base (Hidden)'!$C$2:$C$1048576,0),MATCH(I$6,'Restaurant Base (Hidden)'!$A$1:$Z$1,0)),"")</f>
        <v>64,20 %</v>
      </c>
      <c r="J174" s="49">
        <f>+IFERROR(INDEX('Restaurant Base (Hidden)'!$A$2:$Z$1048576,MATCH($C174,'Restaurant Base (Hidden)'!$C$2:$C$1048576,0),MATCH(J$6,'Restaurant Base (Hidden)'!$A$1:$Z$1,0)),"")</f>
        <v>1</v>
      </c>
      <c r="K174" s="20" t="str">
        <f>+IFERROR(INDEX('Restaurant Base (Hidden)'!$A$2:$Z$1048576,MATCH($C174,'Restaurant Base (Hidden)'!$C$2:$C$1048576,0),MATCH(K$6,'Restaurant Base (Hidden)'!$A$1:$Z$1,0)),"")</f>
        <v>0,156</v>
      </c>
      <c r="L174" s="51">
        <f>+IFERROR(INDEX('Restaurant Base (Hidden)'!$A$2:$Z$1048576,MATCH($C174,'Restaurant Base (Hidden)'!$C$2:$C$1048576,0),MATCH(L$6,'Restaurant Base (Hidden)'!$A$1:$Z$1,0)),"")</f>
        <v>2</v>
      </c>
      <c r="M174" s="2" t="str">
        <f>+IFERROR(INDEX('Restaurant Base (Hidden)'!$A$2:$Z$1048576,MATCH($C174,'Restaurant Base (Hidden)'!$C$2:$C$1048576,0),MATCH(M$6,'Restaurant Base (Hidden)'!$A$1:$Z$1,0)),"")</f>
        <v/>
      </c>
      <c r="N174" s="234" t="str">
        <f>+IFERROR(INDEX('Restaurant Base (Hidden)'!$A$2:$Z$1048576,MATCH($C174,'Restaurant Base (Hidden)'!$C$2:$C$1048576,0),MATCH(N$6,'Restaurant Base (Hidden)'!$A$1:$Z$1,0)),"")</f>
        <v>66,30 %</v>
      </c>
      <c r="O174" s="1">
        <f>+IFERROR(INDEX('Restaurant Base (Hidden)'!$A$2:$Z$1048576,MATCH($C174,'Restaurant Base (Hidden)'!$C$2:$C$1048576,0),MATCH(O$6,'Restaurant Base (Hidden)'!$A$1:$Z$1,0)),"")</f>
        <v>3</v>
      </c>
      <c r="P174" s="2" t="str">
        <f>+IFERROR(INDEX('Restaurant Base (Hidden)'!$A$2:$Z$1048576,MATCH($C174,'Restaurant Base (Hidden)'!$C$2:$C$1048576,0),MATCH(P$6,'Restaurant Base (Hidden)'!$A$1:$Z$1,0)),"")</f>
        <v/>
      </c>
      <c r="Q174" s="234" t="str">
        <f>+IFERROR(INDEX('Restaurant Base (Hidden)'!$A$2:$Z$1048576,MATCH($C174,'Restaurant Base (Hidden)'!$C$2:$C$1048576,0),MATCH(Q$6,'Restaurant Base (Hidden)'!$A$1:$Z$1,0)),"")</f>
        <v>94,20 %</v>
      </c>
      <c r="R174" s="1">
        <f>+IFERROR(INDEX('Restaurant Base (Hidden)'!$A$2:$Z$1048576,MATCH($C174,'Restaurant Base (Hidden)'!$C$2:$C$1048576,0),MATCH(R$6,'Restaurant Base (Hidden)'!$A$1:$Z$1,0)),"")</f>
        <v>5</v>
      </c>
      <c r="S174" s="2" t="str">
        <f>+IFERROR(INDEX('Restaurant Base (Hidden)'!$A$2:$Z$1048576,MATCH($C174,'Restaurant Base (Hidden)'!$C$2:$C$1048576,0),MATCH(S$6,'Restaurant Base (Hidden)'!$A$1:$Z$1,0)),"")</f>
        <v/>
      </c>
      <c r="T174" s="62">
        <f>+IFERROR(INDEX('Restaurant Base (Hidden)'!$A$2:$Z$1048576,MATCH($C174,'Restaurant Base (Hidden)'!$C$2:$C$1048576,0),MATCH(T$6,'Restaurant Base (Hidden)'!$A$1:$Z$1,0)),"")</f>
        <v>76.8</v>
      </c>
      <c r="U174" s="1">
        <f>+IFERROR(INDEX('Restaurant Base (Hidden)'!$A$2:$Z$1048576,MATCH($C174,'Restaurant Base (Hidden)'!$C$2:$C$1048576,0),MATCH(U$6,'Restaurant Base (Hidden)'!$A$1:$Z$1,0)),"")</f>
        <v>5</v>
      </c>
      <c r="V174" s="2" t="str">
        <f>+IFERROR(INDEX('Restaurant Base (Hidden)'!$A$2:$Z$1048576,MATCH($C174,'Restaurant Base (Hidden)'!$C$2:$C$1048576,0),MATCH(V$6,'Restaurant Base (Hidden)'!$A$1:$Z$1,0)),"")</f>
        <v/>
      </c>
      <c r="W174" s="65" t="str">
        <f>+IFERROR(INDEX('Restaurant Base (Hidden)'!$A$2:$Z$1048576,MATCH($C174,'Restaurant Base (Hidden)'!$C$2:$C$1048576,0),MATCH(W$6,'Restaurant Base (Hidden)'!$A$1:$Z$1,0)),"")</f>
        <v>60,60 %</v>
      </c>
      <c r="X174" s="1">
        <f>+IFERROR(INDEX('Restaurant Base (Hidden)'!$A$2:$Z$1048576,MATCH($C174,'Restaurant Base (Hidden)'!$C$2:$C$1048576,0),MATCH(X$6,'Restaurant Base (Hidden)'!$A$1:$Z$1,0)),"")</f>
        <v>2</v>
      </c>
      <c r="Y174" s="65" t="str">
        <f>+IFERROR(INDEX('Restaurant Base (Hidden)'!$A$2:$Z$1048576,MATCH($C174,'Restaurant Base (Hidden)'!$C$2:$C$1048576,0),MATCH(Y$6,'Restaurant Base (Hidden)'!$A$1:$Z$1,0)),"")</f>
        <v>97,40 %</v>
      </c>
      <c r="Z174" s="106">
        <f>+IFERROR(INDEX('Restaurant Base (Hidden)'!$A$2:$Z$1048576,MATCH($C174,'Restaurant Base (Hidden)'!$C$2:$C$1048576,0),MATCH(Z$6,'Restaurant Base (Hidden)'!$A$1:$Z$1,0)),"")</f>
        <v>4</v>
      </c>
      <c r="AA174" s="65" t="str">
        <f>+IFERROR(INDEX('Restaurant Base (Hidden)'!$A$2:$Z$1048576,MATCH($C174,'Restaurant Base (Hidden)'!$C$2:$C$1048576,0),MATCH(AA$6,'Restaurant Base (Hidden)'!$A$1:$Z$1,0)),"")</f>
        <v>84,00 %</v>
      </c>
      <c r="AB174" s="1">
        <f>+IFERROR(INDEX('Restaurant Base (Hidden)'!$A$2:$Z$1048576,MATCH($C174,'Restaurant Base (Hidden)'!$C$2:$C$1048576,0),MATCH(AB$6,'Restaurant Base (Hidden)'!$A$1:$Z$1,0)),"")</f>
        <v>2</v>
      </c>
      <c r="AC174" s="20" t="str">
        <f>+IFERROR(INDEX('Restaurant Base (Hidden)'!$A$2:$Z$1048576,MATCH($C174,'Restaurant Base (Hidden)'!$C$2:$C$1048576,0),MATCH(AC$6,'Restaurant Base (Hidden)'!$A$1:$Z$1,0)),"")</f>
        <v/>
      </c>
      <c r="AD174" s="65" t="str">
        <f>+IFERROR(INDEX('Restaurant Base (Hidden)'!$A$2:$Z$1048576,MATCH($C174,'Restaurant Base (Hidden)'!$C$2:$C$1048576,0),MATCH(AD$6,'Restaurant Base (Hidden)'!$A$1:$Z$1,0)),"")</f>
        <v>86,30 %</v>
      </c>
      <c r="AE174" s="1">
        <f>+IFERROR(INDEX('Restaurant Base (Hidden)'!$A$2:$Z$1048576,MATCH($C174,'Restaurant Base (Hidden)'!$C$2:$C$1048576,0),MATCH(AE$6,'Restaurant Base (Hidden)'!$A$1:$Z$1,0)),"")</f>
        <v>3</v>
      </c>
      <c r="AF174" s="65" t="str">
        <f>+IFERROR(INDEX('Restaurant Base (Hidden)'!$A$2:$Z$1048576,MATCH($C174,'Restaurant Base (Hidden)'!$C$2:$C$1048576,0),MATCH(AF$6,'Restaurant Base (Hidden)'!$A$1:$Z$1,0)),"")</f>
        <v>74,30 %</v>
      </c>
      <c r="AG174" s="1">
        <f>+IFERROR(INDEX('Restaurant Base (Hidden)'!$A$2:$Z$1048576,MATCH($C174,'Restaurant Base (Hidden)'!$C$2:$C$1048576,0),MATCH(AG$6,'Restaurant Base (Hidden)'!$A$1:$Z$1,0)),"")</f>
        <v>1</v>
      </c>
    </row>
    <row r="175" spans="1:33" x14ac:dyDescent="0.4">
      <c r="A175" s="163" t="str">
        <f>IF('Restaurant Base (Hidden)'!A291=0,"", 'Restaurant Base (Hidden)'!A291)</f>
        <v>Tatum Westmere</v>
      </c>
      <c r="B175" s="163" t="str">
        <f>IF('Restaurant Base (Hidden)'!B291=0,"", 'Restaurant Base (Hidden)'!B291)</f>
        <v>Harborline Dining</v>
      </c>
      <c r="C175" s="163" t="str">
        <f>IF('Restaurant Base (Hidden)'!C291=0,"", 'Restaurant Base (Hidden)'!C291)</f>
        <v>Haven Valley</v>
      </c>
      <c r="D175" s="104">
        <f t="shared" si="2"/>
        <v>166</v>
      </c>
      <c r="E175" s="105">
        <f>+IFERROR(INDEX('Restaurant Base (Hidden)'!$A$2:$Z$1048576,MATCH($C175,'Restaurant Base (Hidden)'!$C$2:$C$1048576,0),MATCH(E$6,'Restaurant Base (Hidden)'!$A$1:$Z$1,0)),"")</f>
        <v>3.1</v>
      </c>
      <c r="F175" s="2" t="str">
        <f>+IFERROR(INDEX('Restaurant Base (Hidden)'!$A$2:$Z$1048576,MATCH($C175,'Restaurant Base (Hidden)'!$C$2:$C$1048576,0),MATCH(F$6,'Restaurant Base (Hidden)'!$A$1:$Z$1,0)),"")</f>
        <v/>
      </c>
      <c r="G175" s="20" t="str">
        <f>+IFERROR(INDEX('Restaurant Base (Hidden)'!$A$2:$Z$1048576,MATCH($C175,'Restaurant Base (Hidden)'!$C$2:$C$1048576,0),MATCH(G$6,'Restaurant Base (Hidden)'!$A$1:$Z$1,0)),"")</f>
        <v>4,225</v>
      </c>
      <c r="H175" s="50">
        <f>+IFERROR(INDEX('Restaurant Base (Hidden)'!$A$2:$Z$1048576,MATCH($C175,'Restaurant Base (Hidden)'!$C$2:$C$1048576,0),MATCH(H$6,'Restaurant Base (Hidden)'!$A$1:$Z$1,0)),"")</f>
        <v>3</v>
      </c>
      <c r="I175" s="20" t="str">
        <f>+IFERROR(INDEX('Restaurant Base (Hidden)'!$A$2:$Z$1048576,MATCH($C175,'Restaurant Base (Hidden)'!$C$2:$C$1048576,0),MATCH(I$6,'Restaurant Base (Hidden)'!$A$1:$Z$1,0)),"")</f>
        <v>68,40 %</v>
      </c>
      <c r="J175" s="49">
        <f>+IFERROR(INDEX('Restaurant Base (Hidden)'!$A$2:$Z$1048576,MATCH($C175,'Restaurant Base (Hidden)'!$C$2:$C$1048576,0),MATCH(J$6,'Restaurant Base (Hidden)'!$A$1:$Z$1,0)),"")</f>
        <v>1</v>
      </c>
      <c r="K175" s="20" t="str">
        <f>+IFERROR(INDEX('Restaurant Base (Hidden)'!$A$2:$Z$1048576,MATCH($C175,'Restaurant Base (Hidden)'!$C$2:$C$1048576,0),MATCH(K$6,'Restaurant Base (Hidden)'!$A$1:$Z$1,0)),"")</f>
        <v>0,175</v>
      </c>
      <c r="L175" s="51">
        <f>+IFERROR(INDEX('Restaurant Base (Hidden)'!$A$2:$Z$1048576,MATCH($C175,'Restaurant Base (Hidden)'!$C$2:$C$1048576,0),MATCH(L$6,'Restaurant Base (Hidden)'!$A$1:$Z$1,0)),"")</f>
        <v>2</v>
      </c>
      <c r="M175" s="2" t="str">
        <f>+IFERROR(INDEX('Restaurant Base (Hidden)'!$A$2:$Z$1048576,MATCH($C175,'Restaurant Base (Hidden)'!$C$2:$C$1048576,0),MATCH(M$6,'Restaurant Base (Hidden)'!$A$1:$Z$1,0)),"")</f>
        <v/>
      </c>
      <c r="N175" s="234" t="str">
        <f>+IFERROR(INDEX('Restaurant Base (Hidden)'!$A$2:$Z$1048576,MATCH($C175,'Restaurant Base (Hidden)'!$C$2:$C$1048576,0),MATCH(N$6,'Restaurant Base (Hidden)'!$A$1:$Z$1,0)),"")</f>
        <v>71,90 %</v>
      </c>
      <c r="O175" s="1">
        <f>+IFERROR(INDEX('Restaurant Base (Hidden)'!$A$2:$Z$1048576,MATCH($C175,'Restaurant Base (Hidden)'!$C$2:$C$1048576,0),MATCH(O$6,'Restaurant Base (Hidden)'!$A$1:$Z$1,0)),"")</f>
        <v>4</v>
      </c>
      <c r="P175" s="2" t="str">
        <f>+IFERROR(INDEX('Restaurant Base (Hidden)'!$A$2:$Z$1048576,MATCH($C175,'Restaurant Base (Hidden)'!$C$2:$C$1048576,0),MATCH(P$6,'Restaurant Base (Hidden)'!$A$1:$Z$1,0)),"")</f>
        <v/>
      </c>
      <c r="Q175" s="234" t="str">
        <f>+IFERROR(INDEX('Restaurant Base (Hidden)'!$A$2:$Z$1048576,MATCH($C175,'Restaurant Base (Hidden)'!$C$2:$C$1048576,0),MATCH(Q$6,'Restaurant Base (Hidden)'!$A$1:$Z$1,0)),"")</f>
        <v>86,40 %</v>
      </c>
      <c r="R175" s="1">
        <f>+IFERROR(INDEX('Restaurant Base (Hidden)'!$A$2:$Z$1048576,MATCH($C175,'Restaurant Base (Hidden)'!$C$2:$C$1048576,0),MATCH(R$6,'Restaurant Base (Hidden)'!$A$1:$Z$1,0)),"")</f>
        <v>5</v>
      </c>
      <c r="S175" s="2" t="str">
        <f>+IFERROR(INDEX('Restaurant Base (Hidden)'!$A$2:$Z$1048576,MATCH($C175,'Restaurant Base (Hidden)'!$C$2:$C$1048576,0),MATCH(S$6,'Restaurant Base (Hidden)'!$A$1:$Z$1,0)),"")</f>
        <v/>
      </c>
      <c r="T175" s="62">
        <f>+IFERROR(INDEX('Restaurant Base (Hidden)'!$A$2:$Z$1048576,MATCH($C175,'Restaurant Base (Hidden)'!$C$2:$C$1048576,0),MATCH(T$6,'Restaurant Base (Hidden)'!$A$1:$Z$1,0)),"")</f>
        <v>74.7</v>
      </c>
      <c r="U175" s="1">
        <f>+IFERROR(INDEX('Restaurant Base (Hidden)'!$A$2:$Z$1048576,MATCH($C175,'Restaurant Base (Hidden)'!$C$2:$C$1048576,0),MATCH(U$6,'Restaurant Base (Hidden)'!$A$1:$Z$1,0)),"")</f>
        <v>5</v>
      </c>
      <c r="V175" s="2" t="str">
        <f>+IFERROR(INDEX('Restaurant Base (Hidden)'!$A$2:$Z$1048576,MATCH($C175,'Restaurant Base (Hidden)'!$C$2:$C$1048576,0),MATCH(V$6,'Restaurant Base (Hidden)'!$A$1:$Z$1,0)),"")</f>
        <v/>
      </c>
      <c r="W175" s="65" t="str">
        <f>+IFERROR(INDEX('Restaurant Base (Hidden)'!$A$2:$Z$1048576,MATCH($C175,'Restaurant Base (Hidden)'!$C$2:$C$1048576,0),MATCH(W$6,'Restaurant Base (Hidden)'!$A$1:$Z$1,0)),"")</f>
        <v>76,10 %</v>
      </c>
      <c r="X175" s="1">
        <f>+IFERROR(INDEX('Restaurant Base (Hidden)'!$A$2:$Z$1048576,MATCH($C175,'Restaurant Base (Hidden)'!$C$2:$C$1048576,0),MATCH(X$6,'Restaurant Base (Hidden)'!$A$1:$Z$1,0)),"")</f>
        <v>2</v>
      </c>
      <c r="Y175" s="65" t="str">
        <f>+IFERROR(INDEX('Restaurant Base (Hidden)'!$A$2:$Z$1048576,MATCH($C175,'Restaurant Base (Hidden)'!$C$2:$C$1048576,0),MATCH(Y$6,'Restaurant Base (Hidden)'!$A$1:$Z$1,0)),"")</f>
        <v>97,70 %</v>
      </c>
      <c r="Z175" s="106">
        <f>+IFERROR(INDEX('Restaurant Base (Hidden)'!$A$2:$Z$1048576,MATCH($C175,'Restaurant Base (Hidden)'!$C$2:$C$1048576,0),MATCH(Z$6,'Restaurant Base (Hidden)'!$A$1:$Z$1,0)),"")</f>
        <v>4</v>
      </c>
      <c r="AA175" s="65" t="str">
        <f>+IFERROR(INDEX('Restaurant Base (Hidden)'!$A$2:$Z$1048576,MATCH($C175,'Restaurant Base (Hidden)'!$C$2:$C$1048576,0),MATCH(AA$6,'Restaurant Base (Hidden)'!$A$1:$Z$1,0)),"")</f>
        <v>69,30 %</v>
      </c>
      <c r="AB175" s="1">
        <f>+IFERROR(INDEX('Restaurant Base (Hidden)'!$A$2:$Z$1048576,MATCH($C175,'Restaurant Base (Hidden)'!$C$2:$C$1048576,0),MATCH(AB$6,'Restaurant Base (Hidden)'!$A$1:$Z$1,0)),"")</f>
        <v>2</v>
      </c>
      <c r="AC175" s="20" t="str">
        <f>+IFERROR(INDEX('Restaurant Base (Hidden)'!$A$2:$Z$1048576,MATCH($C175,'Restaurant Base (Hidden)'!$C$2:$C$1048576,0),MATCH(AC$6,'Restaurant Base (Hidden)'!$A$1:$Z$1,0)),"")</f>
        <v/>
      </c>
      <c r="AD175" s="65" t="str">
        <f>+IFERROR(INDEX('Restaurant Base (Hidden)'!$A$2:$Z$1048576,MATCH($C175,'Restaurant Base (Hidden)'!$C$2:$C$1048576,0),MATCH(AD$6,'Restaurant Base (Hidden)'!$A$1:$Z$1,0)),"")</f>
        <v>68,10 %</v>
      </c>
      <c r="AE175" s="1">
        <f>+IFERROR(INDEX('Restaurant Base (Hidden)'!$A$2:$Z$1048576,MATCH($C175,'Restaurant Base (Hidden)'!$C$2:$C$1048576,0),MATCH(AE$6,'Restaurant Base (Hidden)'!$A$1:$Z$1,0)),"")</f>
        <v>1</v>
      </c>
      <c r="AF175" s="65" t="str">
        <f>+IFERROR(INDEX('Restaurant Base (Hidden)'!$A$2:$Z$1048576,MATCH($C175,'Restaurant Base (Hidden)'!$C$2:$C$1048576,0),MATCH(AF$6,'Restaurant Base (Hidden)'!$A$1:$Z$1,0)),"")</f>
        <v>86,70 %</v>
      </c>
      <c r="AG175" s="1">
        <f>+IFERROR(INDEX('Restaurant Base (Hidden)'!$A$2:$Z$1048576,MATCH($C175,'Restaurant Base (Hidden)'!$C$2:$C$1048576,0),MATCH(AG$6,'Restaurant Base (Hidden)'!$A$1:$Z$1,0)),"")</f>
        <v>3</v>
      </c>
    </row>
    <row r="176" spans="1:33" x14ac:dyDescent="0.4">
      <c r="A176" s="163" t="str">
        <f>IF('Restaurant Base (Hidden)'!A331=0,"", 'Restaurant Base (Hidden)'!A331)</f>
        <v>Jordan Oakley</v>
      </c>
      <c r="B176" s="163" t="str">
        <f>IF('Restaurant Base (Hidden)'!B331=0,"", 'Restaurant Base (Hidden)'!B331)</f>
        <v>Harborline Dining</v>
      </c>
      <c r="C176" s="163" t="str">
        <f>IF('Restaurant Base (Hidden)'!C331=0,"", 'Restaurant Base (Hidden)'!C331)</f>
        <v>Elm Point</v>
      </c>
      <c r="D176" s="104">
        <f t="shared" si="2"/>
        <v>166</v>
      </c>
      <c r="E176" s="105">
        <f>+IFERROR(INDEX('Restaurant Base (Hidden)'!$A$2:$Z$1048576,MATCH($C176,'Restaurant Base (Hidden)'!$C$2:$C$1048576,0),MATCH(E$6,'Restaurant Base (Hidden)'!$A$1:$Z$1,0)),"")</f>
        <v>3.1</v>
      </c>
      <c r="F176" s="2" t="str">
        <f>+IFERROR(INDEX('Restaurant Base (Hidden)'!$A$2:$Z$1048576,MATCH($C176,'Restaurant Base (Hidden)'!$C$2:$C$1048576,0),MATCH(F$6,'Restaurant Base (Hidden)'!$A$1:$Z$1,0)),"")</f>
        <v/>
      </c>
      <c r="G176" s="20" t="str">
        <f>+IFERROR(INDEX('Restaurant Base (Hidden)'!$A$2:$Z$1048576,MATCH($C176,'Restaurant Base (Hidden)'!$C$2:$C$1048576,0),MATCH(G$6,'Restaurant Base (Hidden)'!$A$1:$Z$1,0)),"")</f>
        <v>4,282</v>
      </c>
      <c r="H176" s="50">
        <f>+IFERROR(INDEX('Restaurant Base (Hidden)'!$A$2:$Z$1048576,MATCH($C176,'Restaurant Base (Hidden)'!$C$2:$C$1048576,0),MATCH(H$6,'Restaurant Base (Hidden)'!$A$1:$Z$1,0)),"")</f>
        <v>3</v>
      </c>
      <c r="I176" s="20" t="str">
        <f>+IFERROR(INDEX('Restaurant Base (Hidden)'!$A$2:$Z$1048576,MATCH($C176,'Restaurant Base (Hidden)'!$C$2:$C$1048576,0),MATCH(I$6,'Restaurant Base (Hidden)'!$A$1:$Z$1,0)),"")</f>
        <v>80,80 %</v>
      </c>
      <c r="J176" s="49">
        <f>+IFERROR(INDEX('Restaurant Base (Hidden)'!$A$2:$Z$1048576,MATCH($C176,'Restaurant Base (Hidden)'!$C$2:$C$1048576,0),MATCH(J$6,'Restaurant Base (Hidden)'!$A$1:$Z$1,0)),"")</f>
        <v>2</v>
      </c>
      <c r="K176" s="20" t="str">
        <f>+IFERROR(INDEX('Restaurant Base (Hidden)'!$A$2:$Z$1048576,MATCH($C176,'Restaurant Base (Hidden)'!$C$2:$C$1048576,0),MATCH(K$6,'Restaurant Base (Hidden)'!$A$1:$Z$1,0)),"")</f>
        <v>0,147</v>
      </c>
      <c r="L176" s="51">
        <f>+IFERROR(INDEX('Restaurant Base (Hidden)'!$A$2:$Z$1048576,MATCH($C176,'Restaurant Base (Hidden)'!$C$2:$C$1048576,0),MATCH(L$6,'Restaurant Base (Hidden)'!$A$1:$Z$1,0)),"")</f>
        <v>2</v>
      </c>
      <c r="M176" s="2" t="str">
        <f>+IFERROR(INDEX('Restaurant Base (Hidden)'!$A$2:$Z$1048576,MATCH($C176,'Restaurant Base (Hidden)'!$C$2:$C$1048576,0),MATCH(M$6,'Restaurant Base (Hidden)'!$A$1:$Z$1,0)),"")</f>
        <v/>
      </c>
      <c r="N176" s="234" t="str">
        <f>+IFERROR(INDEX('Restaurant Base (Hidden)'!$A$2:$Z$1048576,MATCH($C176,'Restaurant Base (Hidden)'!$C$2:$C$1048576,0),MATCH(N$6,'Restaurant Base (Hidden)'!$A$1:$Z$1,0)),"")</f>
        <v>67,70 %</v>
      </c>
      <c r="O176" s="1">
        <f>+IFERROR(INDEX('Restaurant Base (Hidden)'!$A$2:$Z$1048576,MATCH($C176,'Restaurant Base (Hidden)'!$C$2:$C$1048576,0),MATCH(O$6,'Restaurant Base (Hidden)'!$A$1:$Z$1,0)),"")</f>
        <v>3</v>
      </c>
      <c r="P176" s="2" t="str">
        <f>+IFERROR(INDEX('Restaurant Base (Hidden)'!$A$2:$Z$1048576,MATCH($C176,'Restaurant Base (Hidden)'!$C$2:$C$1048576,0),MATCH(P$6,'Restaurant Base (Hidden)'!$A$1:$Z$1,0)),"")</f>
        <v/>
      </c>
      <c r="Q176" s="234" t="str">
        <f>+IFERROR(INDEX('Restaurant Base (Hidden)'!$A$2:$Z$1048576,MATCH($C176,'Restaurant Base (Hidden)'!$C$2:$C$1048576,0),MATCH(Q$6,'Restaurant Base (Hidden)'!$A$1:$Z$1,0)),"")</f>
        <v>98,60 %</v>
      </c>
      <c r="R176" s="1">
        <f>+IFERROR(INDEX('Restaurant Base (Hidden)'!$A$2:$Z$1048576,MATCH($C176,'Restaurant Base (Hidden)'!$C$2:$C$1048576,0),MATCH(R$6,'Restaurant Base (Hidden)'!$A$1:$Z$1,0)),"")</f>
        <v>5</v>
      </c>
      <c r="S176" s="2" t="str">
        <f>+IFERROR(INDEX('Restaurant Base (Hidden)'!$A$2:$Z$1048576,MATCH($C176,'Restaurant Base (Hidden)'!$C$2:$C$1048576,0),MATCH(S$6,'Restaurant Base (Hidden)'!$A$1:$Z$1,0)),"")</f>
        <v/>
      </c>
      <c r="T176" s="62">
        <f>+IFERROR(INDEX('Restaurant Base (Hidden)'!$A$2:$Z$1048576,MATCH($C176,'Restaurant Base (Hidden)'!$C$2:$C$1048576,0),MATCH(T$6,'Restaurant Base (Hidden)'!$A$1:$Z$1,0)),"")</f>
        <v>75</v>
      </c>
      <c r="U176" s="1">
        <f>+IFERROR(INDEX('Restaurant Base (Hidden)'!$A$2:$Z$1048576,MATCH($C176,'Restaurant Base (Hidden)'!$C$2:$C$1048576,0),MATCH(U$6,'Restaurant Base (Hidden)'!$A$1:$Z$1,0)),"")</f>
        <v>5</v>
      </c>
      <c r="V176" s="2" t="str">
        <f>+IFERROR(INDEX('Restaurant Base (Hidden)'!$A$2:$Z$1048576,MATCH($C176,'Restaurant Base (Hidden)'!$C$2:$C$1048576,0),MATCH(V$6,'Restaurant Base (Hidden)'!$A$1:$Z$1,0)),"")</f>
        <v/>
      </c>
      <c r="W176" s="65" t="str">
        <f>+IFERROR(INDEX('Restaurant Base (Hidden)'!$A$2:$Z$1048576,MATCH($C176,'Restaurant Base (Hidden)'!$C$2:$C$1048576,0),MATCH(W$6,'Restaurant Base (Hidden)'!$A$1:$Z$1,0)),"")</f>
        <v>79,10 %</v>
      </c>
      <c r="X176" s="1">
        <f>+IFERROR(INDEX('Restaurant Base (Hidden)'!$A$2:$Z$1048576,MATCH($C176,'Restaurant Base (Hidden)'!$C$2:$C$1048576,0),MATCH(X$6,'Restaurant Base (Hidden)'!$A$1:$Z$1,0)),"")</f>
        <v>2</v>
      </c>
      <c r="Y176" s="65" t="str">
        <f>+IFERROR(INDEX('Restaurant Base (Hidden)'!$A$2:$Z$1048576,MATCH($C176,'Restaurant Base (Hidden)'!$C$2:$C$1048576,0),MATCH(Y$6,'Restaurant Base (Hidden)'!$A$1:$Z$1,0)),"")</f>
        <v>77,40 %</v>
      </c>
      <c r="Z176" s="106">
        <f>+IFERROR(INDEX('Restaurant Base (Hidden)'!$A$2:$Z$1048576,MATCH($C176,'Restaurant Base (Hidden)'!$C$2:$C$1048576,0),MATCH(Z$6,'Restaurant Base (Hidden)'!$A$1:$Z$1,0)),"")</f>
        <v>2</v>
      </c>
      <c r="AA176" s="65" t="str">
        <f>+IFERROR(INDEX('Restaurant Base (Hidden)'!$A$2:$Z$1048576,MATCH($C176,'Restaurant Base (Hidden)'!$C$2:$C$1048576,0),MATCH(AA$6,'Restaurant Base (Hidden)'!$A$1:$Z$1,0)),"")</f>
        <v>97,60 %</v>
      </c>
      <c r="AB176" s="1">
        <f>+IFERROR(INDEX('Restaurant Base (Hidden)'!$A$2:$Z$1048576,MATCH($C176,'Restaurant Base (Hidden)'!$C$2:$C$1048576,0),MATCH(AB$6,'Restaurant Base (Hidden)'!$A$1:$Z$1,0)),"")</f>
        <v>4</v>
      </c>
      <c r="AC176" s="20" t="str">
        <f>+IFERROR(INDEX('Restaurant Base (Hidden)'!$A$2:$Z$1048576,MATCH($C176,'Restaurant Base (Hidden)'!$C$2:$C$1048576,0),MATCH(AC$6,'Restaurant Base (Hidden)'!$A$1:$Z$1,0)),"")</f>
        <v/>
      </c>
      <c r="AD176" s="65" t="str">
        <f>+IFERROR(INDEX('Restaurant Base (Hidden)'!$A$2:$Z$1048576,MATCH($C176,'Restaurant Base (Hidden)'!$C$2:$C$1048576,0),MATCH(AD$6,'Restaurant Base (Hidden)'!$A$1:$Z$1,0)),"")</f>
        <v>56,80 %</v>
      </c>
      <c r="AE176" s="1">
        <f>+IFERROR(INDEX('Restaurant Base (Hidden)'!$A$2:$Z$1048576,MATCH($C176,'Restaurant Base (Hidden)'!$C$2:$C$1048576,0),MATCH(AE$6,'Restaurant Base (Hidden)'!$A$1:$Z$1,0)),"")</f>
        <v>1</v>
      </c>
      <c r="AF176" s="65" t="str">
        <f>+IFERROR(INDEX('Restaurant Base (Hidden)'!$A$2:$Z$1048576,MATCH($C176,'Restaurant Base (Hidden)'!$C$2:$C$1048576,0),MATCH(AF$6,'Restaurant Base (Hidden)'!$A$1:$Z$1,0)),"")</f>
        <v>85,30 %</v>
      </c>
      <c r="AG176" s="1">
        <f>+IFERROR(INDEX('Restaurant Base (Hidden)'!$A$2:$Z$1048576,MATCH($C176,'Restaurant Base (Hidden)'!$C$2:$C$1048576,0),MATCH(AG$6,'Restaurant Base (Hidden)'!$A$1:$Z$1,0)),"")</f>
        <v>3</v>
      </c>
    </row>
    <row r="177" spans="1:33" x14ac:dyDescent="0.4">
      <c r="A177" s="163" t="str">
        <f>IF('Restaurant Base (Hidden)'!A377=0,"", 'Restaurant Base (Hidden)'!A377)</f>
        <v>Sawyer Thornfield</v>
      </c>
      <c r="B177" s="163" t="str">
        <f>IF('Restaurant Base (Hidden)'!B377=0,"", 'Restaurant Base (Hidden)'!B377)</f>
        <v>Greenhaven Restaurants</v>
      </c>
      <c r="C177" s="163" t="str">
        <f>IF('Restaurant Base (Hidden)'!C377=0,"", 'Restaurant Base (Hidden)'!C377)</f>
        <v>Clearwater Creek</v>
      </c>
      <c r="D177" s="104">
        <f t="shared" si="2"/>
        <v>166</v>
      </c>
      <c r="E177" s="105">
        <f>+IFERROR(INDEX('Restaurant Base (Hidden)'!$A$2:$Z$1048576,MATCH($C177,'Restaurant Base (Hidden)'!$C$2:$C$1048576,0),MATCH(E$6,'Restaurant Base (Hidden)'!$A$1:$Z$1,0)),"")</f>
        <v>3.1</v>
      </c>
      <c r="F177" s="2" t="str">
        <f>+IFERROR(INDEX('Restaurant Base (Hidden)'!$A$2:$Z$1048576,MATCH($C177,'Restaurant Base (Hidden)'!$C$2:$C$1048576,0),MATCH(F$6,'Restaurant Base (Hidden)'!$A$1:$Z$1,0)),"")</f>
        <v/>
      </c>
      <c r="G177" s="20" t="str">
        <f>+IFERROR(INDEX('Restaurant Base (Hidden)'!$A$2:$Z$1048576,MATCH($C177,'Restaurant Base (Hidden)'!$C$2:$C$1048576,0),MATCH(G$6,'Restaurant Base (Hidden)'!$A$1:$Z$1,0)),"")</f>
        <v>4,620</v>
      </c>
      <c r="H177" s="50">
        <f>+IFERROR(INDEX('Restaurant Base (Hidden)'!$A$2:$Z$1048576,MATCH($C177,'Restaurant Base (Hidden)'!$C$2:$C$1048576,0),MATCH(H$6,'Restaurant Base (Hidden)'!$A$1:$Z$1,0)),"")</f>
        <v>5</v>
      </c>
      <c r="I177" s="20" t="str">
        <f>+IFERROR(INDEX('Restaurant Base (Hidden)'!$A$2:$Z$1048576,MATCH($C177,'Restaurant Base (Hidden)'!$C$2:$C$1048576,0),MATCH(I$6,'Restaurant Base (Hidden)'!$A$1:$Z$1,0)),"")</f>
        <v>62,00 %</v>
      </c>
      <c r="J177" s="49">
        <f>+IFERROR(INDEX('Restaurant Base (Hidden)'!$A$2:$Z$1048576,MATCH($C177,'Restaurant Base (Hidden)'!$C$2:$C$1048576,0),MATCH(J$6,'Restaurant Base (Hidden)'!$A$1:$Z$1,0)),"")</f>
        <v>1</v>
      </c>
      <c r="K177" s="20" t="str">
        <f>+IFERROR(INDEX('Restaurant Base (Hidden)'!$A$2:$Z$1048576,MATCH($C177,'Restaurant Base (Hidden)'!$C$2:$C$1048576,0),MATCH(K$6,'Restaurant Base (Hidden)'!$A$1:$Z$1,0)),"")</f>
        <v>0,104</v>
      </c>
      <c r="L177" s="51">
        <f>+IFERROR(INDEX('Restaurant Base (Hidden)'!$A$2:$Z$1048576,MATCH($C177,'Restaurant Base (Hidden)'!$C$2:$C$1048576,0),MATCH(L$6,'Restaurant Base (Hidden)'!$A$1:$Z$1,0)),"")</f>
        <v>3</v>
      </c>
      <c r="M177" s="2" t="str">
        <f>+IFERROR(INDEX('Restaurant Base (Hidden)'!$A$2:$Z$1048576,MATCH($C177,'Restaurant Base (Hidden)'!$C$2:$C$1048576,0),MATCH(M$6,'Restaurant Base (Hidden)'!$A$1:$Z$1,0)),"")</f>
        <v/>
      </c>
      <c r="N177" s="234" t="str">
        <f>+IFERROR(INDEX('Restaurant Base (Hidden)'!$A$2:$Z$1048576,MATCH($C177,'Restaurant Base (Hidden)'!$C$2:$C$1048576,0),MATCH(N$6,'Restaurant Base (Hidden)'!$A$1:$Z$1,0)),"")</f>
        <v>83,10 %</v>
      </c>
      <c r="O177" s="1">
        <f>+IFERROR(INDEX('Restaurant Base (Hidden)'!$A$2:$Z$1048576,MATCH($C177,'Restaurant Base (Hidden)'!$C$2:$C$1048576,0),MATCH(O$6,'Restaurant Base (Hidden)'!$A$1:$Z$1,0)),"")</f>
        <v>5</v>
      </c>
      <c r="P177" s="2" t="str">
        <f>+IFERROR(INDEX('Restaurant Base (Hidden)'!$A$2:$Z$1048576,MATCH($C177,'Restaurant Base (Hidden)'!$C$2:$C$1048576,0),MATCH(P$6,'Restaurant Base (Hidden)'!$A$1:$Z$1,0)),"")</f>
        <v/>
      </c>
      <c r="Q177" s="234" t="str">
        <f>+IFERROR(INDEX('Restaurant Base (Hidden)'!$A$2:$Z$1048576,MATCH($C177,'Restaurant Base (Hidden)'!$C$2:$C$1048576,0),MATCH(Q$6,'Restaurant Base (Hidden)'!$A$1:$Z$1,0)),"")</f>
        <v>91,30 %</v>
      </c>
      <c r="R177" s="1">
        <f>+IFERROR(INDEX('Restaurant Base (Hidden)'!$A$2:$Z$1048576,MATCH($C177,'Restaurant Base (Hidden)'!$C$2:$C$1048576,0),MATCH(R$6,'Restaurant Base (Hidden)'!$A$1:$Z$1,0)),"")</f>
        <v>5</v>
      </c>
      <c r="S177" s="2" t="str">
        <f>+IFERROR(INDEX('Restaurant Base (Hidden)'!$A$2:$Z$1048576,MATCH($C177,'Restaurant Base (Hidden)'!$C$2:$C$1048576,0),MATCH(S$6,'Restaurant Base (Hidden)'!$A$1:$Z$1,0)),"")</f>
        <v/>
      </c>
      <c r="T177" s="62">
        <f>+IFERROR(INDEX('Restaurant Base (Hidden)'!$A$2:$Z$1048576,MATCH($C177,'Restaurant Base (Hidden)'!$C$2:$C$1048576,0),MATCH(T$6,'Restaurant Base (Hidden)'!$A$1:$Z$1,0)),"")</f>
        <v>67.5</v>
      </c>
      <c r="U177" s="1">
        <f>+IFERROR(INDEX('Restaurant Base (Hidden)'!$A$2:$Z$1048576,MATCH($C177,'Restaurant Base (Hidden)'!$C$2:$C$1048576,0),MATCH(U$6,'Restaurant Base (Hidden)'!$A$1:$Z$1,0)),"")</f>
        <v>4</v>
      </c>
      <c r="V177" s="2" t="str">
        <f>+IFERROR(INDEX('Restaurant Base (Hidden)'!$A$2:$Z$1048576,MATCH($C177,'Restaurant Base (Hidden)'!$C$2:$C$1048576,0),MATCH(V$6,'Restaurant Base (Hidden)'!$A$1:$Z$1,0)),"")</f>
        <v/>
      </c>
      <c r="W177" s="65" t="str">
        <f>+IFERROR(INDEX('Restaurant Base (Hidden)'!$A$2:$Z$1048576,MATCH($C177,'Restaurant Base (Hidden)'!$C$2:$C$1048576,0),MATCH(W$6,'Restaurant Base (Hidden)'!$A$1:$Z$1,0)),"")</f>
        <v>62,20 %</v>
      </c>
      <c r="X177" s="1">
        <f>+IFERROR(INDEX('Restaurant Base (Hidden)'!$A$2:$Z$1048576,MATCH($C177,'Restaurant Base (Hidden)'!$C$2:$C$1048576,0),MATCH(X$6,'Restaurant Base (Hidden)'!$A$1:$Z$1,0)),"")</f>
        <v>2</v>
      </c>
      <c r="Y177" s="65" t="str">
        <f>+IFERROR(INDEX('Restaurant Base (Hidden)'!$A$2:$Z$1048576,MATCH($C177,'Restaurant Base (Hidden)'!$C$2:$C$1048576,0),MATCH(Y$6,'Restaurant Base (Hidden)'!$A$1:$Z$1,0)),"")</f>
        <v>93,50 %</v>
      </c>
      <c r="Z177" s="106">
        <f>+IFERROR(INDEX('Restaurant Base (Hidden)'!$A$2:$Z$1048576,MATCH($C177,'Restaurant Base (Hidden)'!$C$2:$C$1048576,0),MATCH(Z$6,'Restaurant Base (Hidden)'!$A$1:$Z$1,0)),"")</f>
        <v>3</v>
      </c>
      <c r="AA177" s="65" t="str">
        <f>+IFERROR(INDEX('Restaurant Base (Hidden)'!$A$2:$Z$1048576,MATCH($C177,'Restaurant Base (Hidden)'!$C$2:$C$1048576,0),MATCH(AA$6,'Restaurant Base (Hidden)'!$A$1:$Z$1,0)),"")</f>
        <v>68,00 %</v>
      </c>
      <c r="AB177" s="1">
        <f>+IFERROR(INDEX('Restaurant Base (Hidden)'!$A$2:$Z$1048576,MATCH($C177,'Restaurant Base (Hidden)'!$C$2:$C$1048576,0),MATCH(AB$6,'Restaurant Base (Hidden)'!$A$1:$Z$1,0)),"")</f>
        <v>2</v>
      </c>
      <c r="AC177" s="20" t="str">
        <f>+IFERROR(INDEX('Restaurant Base (Hidden)'!$A$2:$Z$1048576,MATCH($C177,'Restaurant Base (Hidden)'!$C$2:$C$1048576,0),MATCH(AC$6,'Restaurant Base (Hidden)'!$A$1:$Z$1,0)),"")</f>
        <v/>
      </c>
      <c r="AD177" s="65" t="str">
        <f>+IFERROR(INDEX('Restaurant Base (Hidden)'!$A$2:$Z$1048576,MATCH($C177,'Restaurant Base (Hidden)'!$C$2:$C$1048576,0),MATCH(AD$6,'Restaurant Base (Hidden)'!$A$1:$Z$1,0)),"")</f>
        <v>70,10 %</v>
      </c>
      <c r="AE177" s="1">
        <f>+IFERROR(INDEX('Restaurant Base (Hidden)'!$A$2:$Z$1048576,MATCH($C177,'Restaurant Base (Hidden)'!$C$2:$C$1048576,0),MATCH(AE$6,'Restaurant Base (Hidden)'!$A$1:$Z$1,0)),"")</f>
        <v>1</v>
      </c>
      <c r="AF177" s="65" t="str">
        <f>+IFERROR(INDEX('Restaurant Base (Hidden)'!$A$2:$Z$1048576,MATCH($C177,'Restaurant Base (Hidden)'!$C$2:$C$1048576,0),MATCH(AF$6,'Restaurant Base (Hidden)'!$A$1:$Z$1,0)),"")</f>
        <v>69,00 %</v>
      </c>
      <c r="AG177" s="1">
        <f>+IFERROR(INDEX('Restaurant Base (Hidden)'!$A$2:$Z$1048576,MATCH($C177,'Restaurant Base (Hidden)'!$C$2:$C$1048576,0),MATCH(AG$6,'Restaurant Base (Hidden)'!$A$1:$Z$1,0)),"")</f>
        <v>1</v>
      </c>
    </row>
    <row r="178" spans="1:33" x14ac:dyDescent="0.4">
      <c r="A178" s="163" t="str">
        <f>IF('Restaurant Base (Hidden)'!A233=0,"", 'Restaurant Base (Hidden)'!A233)</f>
        <v>Tatum Westmere</v>
      </c>
      <c r="B178" s="163" t="str">
        <f>IF('Restaurant Base (Hidden)'!B233=0,"", 'Restaurant Base (Hidden)'!B233)</f>
        <v>Brightstone Food Group</v>
      </c>
      <c r="C178" s="163" t="str">
        <f>IF('Restaurant Base (Hidden)'!C233=0,"", 'Restaurant Base (Hidden)'!C233)</f>
        <v>Western Harbor</v>
      </c>
      <c r="D178" s="104">
        <f t="shared" si="2"/>
        <v>172</v>
      </c>
      <c r="E178" s="105">
        <f>+IFERROR(INDEX('Restaurant Base (Hidden)'!$A$2:$Z$1048576,MATCH($C178,'Restaurant Base (Hidden)'!$C$2:$C$1048576,0),MATCH(E$6,'Restaurant Base (Hidden)'!$A$1:$Z$1,0)),"")</f>
        <v>3.09</v>
      </c>
      <c r="F178" s="2" t="str">
        <f>+IFERROR(INDEX('Restaurant Base (Hidden)'!$A$2:$Z$1048576,MATCH($C178,'Restaurant Base (Hidden)'!$C$2:$C$1048576,0),MATCH(F$6,'Restaurant Base (Hidden)'!$A$1:$Z$1,0)),"")</f>
        <v/>
      </c>
      <c r="G178" s="20" t="str">
        <f>+IFERROR(INDEX('Restaurant Base (Hidden)'!$A$2:$Z$1048576,MATCH($C178,'Restaurant Base (Hidden)'!$C$2:$C$1048576,0),MATCH(G$6,'Restaurant Base (Hidden)'!$A$1:$Z$1,0)),"")</f>
        <v>4,812</v>
      </c>
      <c r="H178" s="50">
        <f>+IFERROR(INDEX('Restaurant Base (Hidden)'!$A$2:$Z$1048576,MATCH($C178,'Restaurant Base (Hidden)'!$C$2:$C$1048576,0),MATCH(H$6,'Restaurant Base (Hidden)'!$A$1:$Z$1,0)),"")</f>
        <v>5</v>
      </c>
      <c r="I178" s="20" t="str">
        <f>+IFERROR(INDEX('Restaurant Base (Hidden)'!$A$2:$Z$1048576,MATCH($C178,'Restaurant Base (Hidden)'!$C$2:$C$1048576,0),MATCH(I$6,'Restaurant Base (Hidden)'!$A$1:$Z$1,0)),"")</f>
        <v>83,20 %</v>
      </c>
      <c r="J178" s="49">
        <f>+IFERROR(INDEX('Restaurant Base (Hidden)'!$A$2:$Z$1048576,MATCH($C178,'Restaurant Base (Hidden)'!$C$2:$C$1048576,0),MATCH(J$6,'Restaurant Base (Hidden)'!$A$1:$Z$1,0)),"")</f>
        <v>3</v>
      </c>
      <c r="K178" s="20" t="str">
        <f>+IFERROR(INDEX('Restaurant Base (Hidden)'!$A$2:$Z$1048576,MATCH($C178,'Restaurant Base (Hidden)'!$C$2:$C$1048576,0),MATCH(K$6,'Restaurant Base (Hidden)'!$A$1:$Z$1,0)),"")</f>
        <v>0,101</v>
      </c>
      <c r="L178" s="51">
        <f>+IFERROR(INDEX('Restaurant Base (Hidden)'!$A$2:$Z$1048576,MATCH($C178,'Restaurant Base (Hidden)'!$C$2:$C$1048576,0),MATCH(L$6,'Restaurant Base (Hidden)'!$A$1:$Z$1,0)),"")</f>
        <v>3</v>
      </c>
      <c r="M178" s="2" t="str">
        <f>+IFERROR(INDEX('Restaurant Base (Hidden)'!$A$2:$Z$1048576,MATCH($C178,'Restaurant Base (Hidden)'!$C$2:$C$1048576,0),MATCH(M$6,'Restaurant Base (Hidden)'!$A$1:$Z$1,0)),"")</f>
        <v/>
      </c>
      <c r="N178" s="234" t="str">
        <f>+IFERROR(INDEX('Restaurant Base (Hidden)'!$A$2:$Z$1048576,MATCH($C178,'Restaurant Base (Hidden)'!$C$2:$C$1048576,0),MATCH(N$6,'Restaurant Base (Hidden)'!$A$1:$Z$1,0)),"")</f>
        <v>80,40 %</v>
      </c>
      <c r="O178" s="1">
        <f>+IFERROR(INDEX('Restaurant Base (Hidden)'!$A$2:$Z$1048576,MATCH($C178,'Restaurant Base (Hidden)'!$C$2:$C$1048576,0),MATCH(O$6,'Restaurant Base (Hidden)'!$A$1:$Z$1,0)),"")</f>
        <v>5</v>
      </c>
      <c r="P178" s="2" t="str">
        <f>+IFERROR(INDEX('Restaurant Base (Hidden)'!$A$2:$Z$1048576,MATCH($C178,'Restaurant Base (Hidden)'!$C$2:$C$1048576,0),MATCH(P$6,'Restaurant Base (Hidden)'!$A$1:$Z$1,0)),"")</f>
        <v/>
      </c>
      <c r="Q178" s="234" t="str">
        <f>+IFERROR(INDEX('Restaurant Base (Hidden)'!$A$2:$Z$1048576,MATCH($C178,'Restaurant Base (Hidden)'!$C$2:$C$1048576,0),MATCH(Q$6,'Restaurant Base (Hidden)'!$A$1:$Z$1,0)),"")</f>
        <v>67,30 %</v>
      </c>
      <c r="R178" s="1">
        <f>+IFERROR(INDEX('Restaurant Base (Hidden)'!$A$2:$Z$1048576,MATCH($C178,'Restaurant Base (Hidden)'!$C$2:$C$1048576,0),MATCH(R$6,'Restaurant Base (Hidden)'!$A$1:$Z$1,0)),"")</f>
        <v>3</v>
      </c>
      <c r="S178" s="2" t="str">
        <f>+IFERROR(INDEX('Restaurant Base (Hidden)'!$A$2:$Z$1048576,MATCH($C178,'Restaurant Base (Hidden)'!$C$2:$C$1048576,0),MATCH(S$6,'Restaurant Base (Hidden)'!$A$1:$Z$1,0)),"")</f>
        <v/>
      </c>
      <c r="T178" s="62">
        <f>+IFERROR(INDEX('Restaurant Base (Hidden)'!$A$2:$Z$1048576,MATCH($C178,'Restaurant Base (Hidden)'!$C$2:$C$1048576,0),MATCH(T$6,'Restaurant Base (Hidden)'!$A$1:$Z$1,0)),"")</f>
        <v>64</v>
      </c>
      <c r="U178" s="1">
        <f>+IFERROR(INDEX('Restaurant Base (Hidden)'!$A$2:$Z$1048576,MATCH($C178,'Restaurant Base (Hidden)'!$C$2:$C$1048576,0),MATCH(U$6,'Restaurant Base (Hidden)'!$A$1:$Z$1,0)),"")</f>
        <v>4</v>
      </c>
      <c r="V178" s="2" t="str">
        <f>+IFERROR(INDEX('Restaurant Base (Hidden)'!$A$2:$Z$1048576,MATCH($C178,'Restaurant Base (Hidden)'!$C$2:$C$1048576,0),MATCH(V$6,'Restaurant Base (Hidden)'!$A$1:$Z$1,0)),"")</f>
        <v/>
      </c>
      <c r="W178" s="65" t="str">
        <f>+IFERROR(INDEX('Restaurant Base (Hidden)'!$A$2:$Z$1048576,MATCH($C178,'Restaurant Base (Hidden)'!$C$2:$C$1048576,0),MATCH(W$6,'Restaurant Base (Hidden)'!$A$1:$Z$1,0)),"")</f>
        <v>66,00 %</v>
      </c>
      <c r="X178" s="1">
        <f>+IFERROR(INDEX('Restaurant Base (Hidden)'!$A$2:$Z$1048576,MATCH($C178,'Restaurant Base (Hidden)'!$C$2:$C$1048576,0),MATCH(X$6,'Restaurant Base (Hidden)'!$A$1:$Z$1,0)),"")</f>
        <v>2</v>
      </c>
      <c r="Y178" s="65" t="str">
        <f>+IFERROR(INDEX('Restaurant Base (Hidden)'!$A$2:$Z$1048576,MATCH($C178,'Restaurant Base (Hidden)'!$C$2:$C$1048576,0),MATCH(Y$6,'Restaurant Base (Hidden)'!$A$1:$Z$1,0)),"")</f>
        <v>58,70 %</v>
      </c>
      <c r="Z178" s="106">
        <f>+IFERROR(INDEX('Restaurant Base (Hidden)'!$A$2:$Z$1048576,MATCH($C178,'Restaurant Base (Hidden)'!$C$2:$C$1048576,0),MATCH(Z$6,'Restaurant Base (Hidden)'!$A$1:$Z$1,0)),"")</f>
        <v>1</v>
      </c>
      <c r="AA178" s="65" t="str">
        <f>+IFERROR(INDEX('Restaurant Base (Hidden)'!$A$2:$Z$1048576,MATCH($C178,'Restaurant Base (Hidden)'!$C$2:$C$1048576,0),MATCH(AA$6,'Restaurant Base (Hidden)'!$A$1:$Z$1,0)),"")</f>
        <v>58,30 %</v>
      </c>
      <c r="AB178" s="1">
        <f>+IFERROR(INDEX('Restaurant Base (Hidden)'!$A$2:$Z$1048576,MATCH($C178,'Restaurant Base (Hidden)'!$C$2:$C$1048576,0),MATCH(AB$6,'Restaurant Base (Hidden)'!$A$1:$Z$1,0)),"")</f>
        <v>1</v>
      </c>
      <c r="AC178" s="20" t="str">
        <f>+IFERROR(INDEX('Restaurant Base (Hidden)'!$A$2:$Z$1048576,MATCH($C178,'Restaurant Base (Hidden)'!$C$2:$C$1048576,0),MATCH(AC$6,'Restaurant Base (Hidden)'!$A$1:$Z$1,0)),"")</f>
        <v/>
      </c>
      <c r="AD178" s="65" t="str">
        <f>+IFERROR(INDEX('Restaurant Base (Hidden)'!$A$2:$Z$1048576,MATCH($C178,'Restaurant Base (Hidden)'!$C$2:$C$1048576,0),MATCH(AD$6,'Restaurant Base (Hidden)'!$A$1:$Z$1,0)),"")</f>
        <v>75,00 %</v>
      </c>
      <c r="AE178" s="1">
        <f>+IFERROR(INDEX('Restaurant Base (Hidden)'!$A$2:$Z$1048576,MATCH($C178,'Restaurant Base (Hidden)'!$C$2:$C$1048576,0),MATCH(AE$6,'Restaurant Base (Hidden)'!$A$1:$Z$1,0)),"")</f>
        <v>2</v>
      </c>
      <c r="AF178" s="65" t="str">
        <f>+IFERROR(INDEX('Restaurant Base (Hidden)'!$A$2:$Z$1048576,MATCH($C178,'Restaurant Base (Hidden)'!$C$2:$C$1048576,0),MATCH(AF$6,'Restaurant Base (Hidden)'!$A$1:$Z$1,0)),"")</f>
        <v>79,40 %</v>
      </c>
      <c r="AG178" s="1">
        <f>+IFERROR(INDEX('Restaurant Base (Hidden)'!$A$2:$Z$1048576,MATCH($C178,'Restaurant Base (Hidden)'!$C$2:$C$1048576,0),MATCH(AG$6,'Restaurant Base (Hidden)'!$A$1:$Z$1,0)),"")</f>
        <v>2</v>
      </c>
    </row>
    <row r="179" spans="1:33" x14ac:dyDescent="0.4">
      <c r="A179" s="163" t="str">
        <f>IF('Restaurant Base (Hidden)'!A19=0,"", 'Restaurant Base (Hidden)'!A19)</f>
        <v>Riley Wellington</v>
      </c>
      <c r="B179" s="163" t="str">
        <f>IF('Restaurant Base (Hidden)'!B19=0,"", 'Restaurant Base (Hidden)'!B19)</f>
        <v>Fairmont Food Group</v>
      </c>
      <c r="C179" s="163" t="str">
        <f>IF('Restaurant Base (Hidden)'!C19=0,"", 'Restaurant Base (Hidden)'!C19)</f>
        <v>Northvale Gardens</v>
      </c>
      <c r="D179" s="104">
        <f t="shared" si="2"/>
        <v>173</v>
      </c>
      <c r="E179" s="105">
        <f>+IFERROR(INDEX('Restaurant Base (Hidden)'!$A$2:$Z$1048576,MATCH($C179,'Restaurant Base (Hidden)'!$C$2:$C$1048576,0),MATCH(E$6,'Restaurant Base (Hidden)'!$A$1:$Z$1,0)),"")</f>
        <v>3.08</v>
      </c>
      <c r="F179" s="64" t="str">
        <f>+IFERROR(INDEX('Restaurant Base (Hidden)'!$A$2:$Z$1048576,MATCH($C179,'Restaurant Base (Hidden)'!$C$2:$C$1048576,0),MATCH(F$6,'Restaurant Base (Hidden)'!$A$1:$Z$1,0)),"")</f>
        <v/>
      </c>
      <c r="G179" s="20" t="str">
        <f>+IFERROR(INDEX('Restaurant Base (Hidden)'!$A$2:$Z$1048576,MATCH($C179,'Restaurant Base (Hidden)'!$C$2:$C$1048576,0),MATCH(G$6,'Restaurant Base (Hidden)'!$A$1:$Z$1,0)),"")</f>
        <v>4,219</v>
      </c>
      <c r="H179" s="50">
        <f>+IFERROR(INDEX('Restaurant Base (Hidden)'!$A$2:$Z$1048576,MATCH($C179,'Restaurant Base (Hidden)'!$C$2:$C$1048576,0),MATCH(H$6,'Restaurant Base (Hidden)'!$A$1:$Z$1,0)),"")</f>
        <v>3</v>
      </c>
      <c r="I179" s="20" t="str">
        <f>+IFERROR(INDEX('Restaurant Base (Hidden)'!$A$2:$Z$1048576,MATCH($C179,'Restaurant Base (Hidden)'!$C$2:$C$1048576,0),MATCH(I$6,'Restaurant Base (Hidden)'!$A$1:$Z$1,0)),"")</f>
        <v>91,10 %</v>
      </c>
      <c r="J179" s="49">
        <f>+IFERROR(INDEX('Restaurant Base (Hidden)'!$A$2:$Z$1048576,MATCH($C179,'Restaurant Base (Hidden)'!$C$2:$C$1048576,0),MATCH(J$6,'Restaurant Base (Hidden)'!$A$1:$Z$1,0)),"")</f>
        <v>4</v>
      </c>
      <c r="K179" s="20" t="str">
        <f>+IFERROR(INDEX('Restaurant Base (Hidden)'!$A$2:$Z$1048576,MATCH($C179,'Restaurant Base (Hidden)'!$C$2:$C$1048576,0),MATCH(K$6,'Restaurant Base (Hidden)'!$A$1:$Z$1,0)),"")</f>
        <v>0,111</v>
      </c>
      <c r="L179" s="51">
        <f>+IFERROR(INDEX('Restaurant Base (Hidden)'!$A$2:$Z$1048576,MATCH($C179,'Restaurant Base (Hidden)'!$C$2:$C$1048576,0),MATCH(L$6,'Restaurant Base (Hidden)'!$A$1:$Z$1,0)),"")</f>
        <v>3</v>
      </c>
      <c r="M179" s="2" t="str">
        <f>+IFERROR(INDEX('Restaurant Base (Hidden)'!$A$2:$Z$1048576,MATCH($C179,'Restaurant Base (Hidden)'!$C$2:$C$1048576,0),MATCH(M$6,'Restaurant Base (Hidden)'!$A$1:$Z$1,0)),"")</f>
        <v/>
      </c>
      <c r="N179" s="234" t="str">
        <f>+IFERROR(INDEX('Restaurant Base (Hidden)'!$A$2:$Z$1048576,MATCH($C179,'Restaurant Base (Hidden)'!$C$2:$C$1048576,0),MATCH(N$6,'Restaurant Base (Hidden)'!$A$1:$Z$1,0)),"")</f>
        <v>68,40 %</v>
      </c>
      <c r="O179" s="1">
        <f>+IFERROR(INDEX('Restaurant Base (Hidden)'!$A$2:$Z$1048576,MATCH($C179,'Restaurant Base (Hidden)'!$C$2:$C$1048576,0),MATCH(O$6,'Restaurant Base (Hidden)'!$A$1:$Z$1,0)),"")</f>
        <v>4</v>
      </c>
      <c r="P179" s="2" t="str">
        <f>+IFERROR(INDEX('Restaurant Base (Hidden)'!$A$2:$Z$1048576,MATCH($C179,'Restaurant Base (Hidden)'!$C$2:$C$1048576,0),MATCH(P$6,'Restaurant Base (Hidden)'!$A$1:$Z$1,0)),"")</f>
        <v/>
      </c>
      <c r="Q179" s="234" t="str">
        <f>+IFERROR(INDEX('Restaurant Base (Hidden)'!$A$2:$Z$1048576,MATCH($C179,'Restaurant Base (Hidden)'!$C$2:$C$1048576,0),MATCH(Q$6,'Restaurant Base (Hidden)'!$A$1:$Z$1,0)),"")</f>
        <v>90,10 %</v>
      </c>
      <c r="R179" s="1">
        <f>+IFERROR(INDEX('Restaurant Base (Hidden)'!$A$2:$Z$1048576,MATCH($C179,'Restaurant Base (Hidden)'!$C$2:$C$1048576,0),MATCH(R$6,'Restaurant Base (Hidden)'!$A$1:$Z$1,0)),"")</f>
        <v>5</v>
      </c>
      <c r="S179" s="2" t="str">
        <f>+IFERROR(INDEX('Restaurant Base (Hidden)'!$A$2:$Z$1048576,MATCH($C179,'Restaurant Base (Hidden)'!$C$2:$C$1048576,0),MATCH(S$6,'Restaurant Base (Hidden)'!$A$1:$Z$1,0)),"")</f>
        <v/>
      </c>
      <c r="T179" s="62">
        <f>+IFERROR(INDEX('Restaurant Base (Hidden)'!$A$2:$Z$1048576,MATCH($C179,'Restaurant Base (Hidden)'!$C$2:$C$1048576,0),MATCH(T$6,'Restaurant Base (Hidden)'!$A$1:$Z$1,0)),"")</f>
        <v>58.5</v>
      </c>
      <c r="U179" s="1">
        <f>+IFERROR(INDEX('Restaurant Base (Hidden)'!$A$2:$Z$1048576,MATCH($C179,'Restaurant Base (Hidden)'!$C$2:$C$1048576,0),MATCH(U$6,'Restaurant Base (Hidden)'!$A$1:$Z$1,0)),"")</f>
        <v>2</v>
      </c>
      <c r="V179" s="2" t="str">
        <f>+IFERROR(INDEX('Restaurant Base (Hidden)'!$A$2:$Z$1048576,MATCH($C179,'Restaurant Base (Hidden)'!$C$2:$C$1048576,0),MATCH(V$6,'Restaurant Base (Hidden)'!$A$1:$Z$1,0)),"")</f>
        <v/>
      </c>
      <c r="W179" s="65" t="str">
        <f>+IFERROR(INDEX('Restaurant Base (Hidden)'!$A$2:$Z$1048576,MATCH($C179,'Restaurant Base (Hidden)'!$C$2:$C$1048576,0),MATCH(W$6,'Restaurant Base (Hidden)'!$A$1:$Z$1,0)),"")</f>
        <v>56,60 %</v>
      </c>
      <c r="X179" s="1">
        <f>+IFERROR(INDEX('Restaurant Base (Hidden)'!$A$2:$Z$1048576,MATCH($C179,'Restaurant Base (Hidden)'!$C$2:$C$1048576,0),MATCH(X$6,'Restaurant Base (Hidden)'!$A$1:$Z$1,0)),"")</f>
        <v>1</v>
      </c>
      <c r="Y179" s="65" t="str">
        <f>+IFERROR(INDEX('Restaurant Base (Hidden)'!$A$2:$Z$1048576,MATCH($C179,'Restaurant Base (Hidden)'!$C$2:$C$1048576,0),MATCH(Y$6,'Restaurant Base (Hidden)'!$A$1:$Z$1,0)),"")</f>
        <v>93,10 %</v>
      </c>
      <c r="Z179" s="106">
        <f>+IFERROR(INDEX('Restaurant Base (Hidden)'!$A$2:$Z$1048576,MATCH($C179,'Restaurant Base (Hidden)'!$C$2:$C$1048576,0),MATCH(Z$6,'Restaurant Base (Hidden)'!$A$1:$Z$1,0)),"")</f>
        <v>3</v>
      </c>
      <c r="AA179" s="65" t="str">
        <f>+IFERROR(INDEX('Restaurant Base (Hidden)'!$A$2:$Z$1048576,MATCH($C179,'Restaurant Base (Hidden)'!$C$2:$C$1048576,0),MATCH(AA$6,'Restaurant Base (Hidden)'!$A$1:$Z$1,0)),"")</f>
        <v>84,20 %</v>
      </c>
      <c r="AB179" s="1">
        <f>+IFERROR(INDEX('Restaurant Base (Hidden)'!$A$2:$Z$1048576,MATCH($C179,'Restaurant Base (Hidden)'!$C$2:$C$1048576,0),MATCH(AB$6,'Restaurant Base (Hidden)'!$A$1:$Z$1,0)),"")</f>
        <v>2</v>
      </c>
      <c r="AC179" s="20" t="str">
        <f>+IFERROR(INDEX('Restaurant Base (Hidden)'!$A$2:$Z$1048576,MATCH($C179,'Restaurant Base (Hidden)'!$C$2:$C$1048576,0),MATCH(AC$6,'Restaurant Base (Hidden)'!$A$1:$Z$1,0)),"")</f>
        <v/>
      </c>
      <c r="AD179" s="65" t="str">
        <f>+IFERROR(INDEX('Restaurant Base (Hidden)'!$A$2:$Z$1048576,MATCH($C179,'Restaurant Base (Hidden)'!$C$2:$C$1048576,0),MATCH(AD$6,'Restaurant Base (Hidden)'!$A$1:$Z$1,0)),"")</f>
        <v>76,40 %</v>
      </c>
      <c r="AE179" s="1">
        <f>+IFERROR(INDEX('Restaurant Base (Hidden)'!$A$2:$Z$1048576,MATCH($C179,'Restaurant Base (Hidden)'!$C$2:$C$1048576,0),MATCH(AE$6,'Restaurant Base (Hidden)'!$A$1:$Z$1,0)),"")</f>
        <v>2</v>
      </c>
      <c r="AF179" s="65" t="str">
        <f>+IFERROR(INDEX('Restaurant Base (Hidden)'!$A$2:$Z$1048576,MATCH($C179,'Restaurant Base (Hidden)'!$C$2:$C$1048576,0),MATCH(AF$6,'Restaurant Base (Hidden)'!$A$1:$Z$1,0)),"")</f>
        <v>83,70 %</v>
      </c>
      <c r="AG179" s="1">
        <f>+IFERROR(INDEX('Restaurant Base (Hidden)'!$A$2:$Z$1048576,MATCH($C179,'Restaurant Base (Hidden)'!$C$2:$C$1048576,0),MATCH(AG$6,'Restaurant Base (Hidden)'!$A$1:$Z$1,0)),"")</f>
        <v>2</v>
      </c>
    </row>
    <row r="180" spans="1:33" x14ac:dyDescent="0.4">
      <c r="A180" s="163" t="str">
        <f>IF('Restaurant Base (Hidden)'!A168=0,"", 'Restaurant Base (Hidden)'!A168)</f>
        <v>Arden Brookstone</v>
      </c>
      <c r="B180" s="163" t="str">
        <f>IF('Restaurant Base (Hidden)'!B168=0,"", 'Restaurant Base (Hidden)'!B168)</f>
        <v>Cedarstone Hospitality</v>
      </c>
      <c r="C180" s="163" t="str">
        <f>IF('Restaurant Base (Hidden)'!C168=0,"", 'Restaurant Base (Hidden)'!C168)</f>
        <v>Silverbrook Creek</v>
      </c>
      <c r="D180" s="104">
        <f t="shared" si="2"/>
        <v>173</v>
      </c>
      <c r="E180" s="105">
        <f>+IFERROR(INDEX('Restaurant Base (Hidden)'!$A$2:$Z$1048576,MATCH($C180,'Restaurant Base (Hidden)'!$C$2:$C$1048576,0),MATCH(E$6,'Restaurant Base (Hidden)'!$A$1:$Z$1,0)),"")</f>
        <v>3.08</v>
      </c>
      <c r="F180" s="2" t="str">
        <f>+IFERROR(INDEX('Restaurant Base (Hidden)'!$A$2:$Z$1048576,MATCH($C180,'Restaurant Base (Hidden)'!$C$2:$C$1048576,0),MATCH(F$6,'Restaurant Base (Hidden)'!$A$1:$Z$1,0)),"")</f>
        <v/>
      </c>
      <c r="G180" s="20" t="str">
        <f>+IFERROR(INDEX('Restaurant Base (Hidden)'!$A$2:$Z$1048576,MATCH($C180,'Restaurant Base (Hidden)'!$C$2:$C$1048576,0),MATCH(G$6,'Restaurant Base (Hidden)'!$A$1:$Z$1,0)),"")</f>
        <v>4,158</v>
      </c>
      <c r="H180" s="50">
        <f>+IFERROR(INDEX('Restaurant Base (Hidden)'!$A$2:$Z$1048576,MATCH($C180,'Restaurant Base (Hidden)'!$C$2:$C$1048576,0),MATCH(H$6,'Restaurant Base (Hidden)'!$A$1:$Z$1,0)),"")</f>
        <v>2</v>
      </c>
      <c r="I180" s="20" t="str">
        <f>+IFERROR(INDEX('Restaurant Base (Hidden)'!$A$2:$Z$1048576,MATCH($C180,'Restaurant Base (Hidden)'!$C$2:$C$1048576,0),MATCH(I$6,'Restaurant Base (Hidden)'!$A$1:$Z$1,0)),"")</f>
        <v>61,40 %</v>
      </c>
      <c r="J180" s="49">
        <f>+IFERROR(INDEX('Restaurant Base (Hidden)'!$A$2:$Z$1048576,MATCH($C180,'Restaurant Base (Hidden)'!$C$2:$C$1048576,0),MATCH(J$6,'Restaurant Base (Hidden)'!$A$1:$Z$1,0)),"")</f>
        <v>1</v>
      </c>
      <c r="K180" s="20" t="str">
        <f>+IFERROR(INDEX('Restaurant Base (Hidden)'!$A$2:$Z$1048576,MATCH($C180,'Restaurant Base (Hidden)'!$C$2:$C$1048576,0),MATCH(K$6,'Restaurant Base (Hidden)'!$A$1:$Z$1,0)),"")</f>
        <v>0,127</v>
      </c>
      <c r="L180" s="51">
        <f>+IFERROR(INDEX('Restaurant Base (Hidden)'!$A$2:$Z$1048576,MATCH($C180,'Restaurant Base (Hidden)'!$C$2:$C$1048576,0),MATCH(L$6,'Restaurant Base (Hidden)'!$A$1:$Z$1,0)),"")</f>
        <v>3</v>
      </c>
      <c r="M180" s="2" t="str">
        <f>+IFERROR(INDEX('Restaurant Base (Hidden)'!$A$2:$Z$1048576,MATCH($C180,'Restaurant Base (Hidden)'!$C$2:$C$1048576,0),MATCH(M$6,'Restaurant Base (Hidden)'!$A$1:$Z$1,0)),"")</f>
        <v/>
      </c>
      <c r="N180" s="234" t="str">
        <f>+IFERROR(INDEX('Restaurant Base (Hidden)'!$A$2:$Z$1048576,MATCH($C180,'Restaurant Base (Hidden)'!$C$2:$C$1048576,0),MATCH(N$6,'Restaurant Base (Hidden)'!$A$1:$Z$1,0)),"")</f>
        <v>84,00 %</v>
      </c>
      <c r="O180" s="1">
        <f>+IFERROR(INDEX('Restaurant Base (Hidden)'!$A$2:$Z$1048576,MATCH($C180,'Restaurant Base (Hidden)'!$C$2:$C$1048576,0),MATCH(O$6,'Restaurant Base (Hidden)'!$A$1:$Z$1,0)),"")</f>
        <v>5</v>
      </c>
      <c r="P180" s="2" t="str">
        <f>+IFERROR(INDEX('Restaurant Base (Hidden)'!$A$2:$Z$1048576,MATCH($C180,'Restaurant Base (Hidden)'!$C$2:$C$1048576,0),MATCH(P$6,'Restaurant Base (Hidden)'!$A$1:$Z$1,0)),"")</f>
        <v/>
      </c>
      <c r="Q180" s="234" t="str">
        <f>+IFERROR(INDEX('Restaurant Base (Hidden)'!$A$2:$Z$1048576,MATCH($C180,'Restaurant Base (Hidden)'!$C$2:$C$1048576,0),MATCH(Q$6,'Restaurant Base (Hidden)'!$A$1:$Z$1,0)),"")</f>
        <v>71,40 %</v>
      </c>
      <c r="R180" s="1">
        <f>+IFERROR(INDEX('Restaurant Base (Hidden)'!$A$2:$Z$1048576,MATCH($C180,'Restaurant Base (Hidden)'!$C$2:$C$1048576,0),MATCH(R$6,'Restaurant Base (Hidden)'!$A$1:$Z$1,0)),"")</f>
        <v>4</v>
      </c>
      <c r="S180" s="2" t="str">
        <f>+IFERROR(INDEX('Restaurant Base (Hidden)'!$A$2:$Z$1048576,MATCH($C180,'Restaurant Base (Hidden)'!$C$2:$C$1048576,0),MATCH(S$6,'Restaurant Base (Hidden)'!$A$1:$Z$1,0)),"")</f>
        <v/>
      </c>
      <c r="T180" s="62">
        <f>+IFERROR(INDEX('Restaurant Base (Hidden)'!$A$2:$Z$1048576,MATCH($C180,'Restaurant Base (Hidden)'!$C$2:$C$1048576,0),MATCH(T$6,'Restaurant Base (Hidden)'!$A$1:$Z$1,0)),"")</f>
        <v>67.599999999999994</v>
      </c>
      <c r="U180" s="1">
        <f>+IFERROR(INDEX('Restaurant Base (Hidden)'!$A$2:$Z$1048576,MATCH($C180,'Restaurant Base (Hidden)'!$C$2:$C$1048576,0),MATCH(U$6,'Restaurant Base (Hidden)'!$A$1:$Z$1,0)),"")</f>
        <v>4</v>
      </c>
      <c r="V180" s="2" t="str">
        <f>+IFERROR(INDEX('Restaurant Base (Hidden)'!$A$2:$Z$1048576,MATCH($C180,'Restaurant Base (Hidden)'!$C$2:$C$1048576,0),MATCH(V$6,'Restaurant Base (Hidden)'!$A$1:$Z$1,0)),"")</f>
        <v/>
      </c>
      <c r="W180" s="65" t="str">
        <f>+IFERROR(INDEX('Restaurant Base (Hidden)'!$A$2:$Z$1048576,MATCH($C180,'Restaurant Base (Hidden)'!$C$2:$C$1048576,0),MATCH(W$6,'Restaurant Base (Hidden)'!$A$1:$Z$1,0)),"")</f>
        <v>79,40 %</v>
      </c>
      <c r="X180" s="1">
        <f>+IFERROR(INDEX('Restaurant Base (Hidden)'!$A$2:$Z$1048576,MATCH($C180,'Restaurant Base (Hidden)'!$C$2:$C$1048576,0),MATCH(X$6,'Restaurant Base (Hidden)'!$A$1:$Z$1,0)),"")</f>
        <v>2</v>
      </c>
      <c r="Y180" s="65" t="str">
        <f>+IFERROR(INDEX('Restaurant Base (Hidden)'!$A$2:$Z$1048576,MATCH($C180,'Restaurant Base (Hidden)'!$C$2:$C$1048576,0),MATCH(Y$6,'Restaurant Base (Hidden)'!$A$1:$Z$1,0)),"")</f>
        <v>82,80 %</v>
      </c>
      <c r="Z180" s="106">
        <f>+IFERROR(INDEX('Restaurant Base (Hidden)'!$A$2:$Z$1048576,MATCH($C180,'Restaurant Base (Hidden)'!$C$2:$C$1048576,0),MATCH(Z$6,'Restaurant Base (Hidden)'!$A$1:$Z$1,0)),"")</f>
        <v>3</v>
      </c>
      <c r="AA180" s="65" t="str">
        <f>+IFERROR(INDEX('Restaurant Base (Hidden)'!$A$2:$Z$1048576,MATCH($C180,'Restaurant Base (Hidden)'!$C$2:$C$1048576,0),MATCH(AA$6,'Restaurant Base (Hidden)'!$A$1:$Z$1,0)),"")</f>
        <v>70,80 %</v>
      </c>
      <c r="AB180" s="1">
        <f>+IFERROR(INDEX('Restaurant Base (Hidden)'!$A$2:$Z$1048576,MATCH($C180,'Restaurant Base (Hidden)'!$C$2:$C$1048576,0),MATCH(AB$6,'Restaurant Base (Hidden)'!$A$1:$Z$1,0)),"")</f>
        <v>2</v>
      </c>
      <c r="AC180" s="20" t="str">
        <f>+IFERROR(INDEX('Restaurant Base (Hidden)'!$A$2:$Z$1048576,MATCH($C180,'Restaurant Base (Hidden)'!$C$2:$C$1048576,0),MATCH(AC$6,'Restaurant Base (Hidden)'!$A$1:$Z$1,0)),"")</f>
        <v/>
      </c>
      <c r="AD180" s="65" t="str">
        <f>+IFERROR(INDEX('Restaurant Base (Hidden)'!$A$2:$Z$1048576,MATCH($C180,'Restaurant Base (Hidden)'!$C$2:$C$1048576,0),MATCH(AD$6,'Restaurant Base (Hidden)'!$A$1:$Z$1,0)),"")</f>
        <v>97,10 %</v>
      </c>
      <c r="AE180" s="1">
        <f>+IFERROR(INDEX('Restaurant Base (Hidden)'!$A$2:$Z$1048576,MATCH($C180,'Restaurant Base (Hidden)'!$C$2:$C$1048576,0),MATCH(AE$6,'Restaurant Base (Hidden)'!$A$1:$Z$1,0)),"")</f>
        <v>5</v>
      </c>
      <c r="AF180" s="65" t="str">
        <f>+IFERROR(INDEX('Restaurant Base (Hidden)'!$A$2:$Z$1048576,MATCH($C180,'Restaurant Base (Hidden)'!$C$2:$C$1048576,0),MATCH(AF$6,'Restaurant Base (Hidden)'!$A$1:$Z$1,0)),"")</f>
        <v>70,30 %</v>
      </c>
      <c r="AG180" s="1">
        <f>+IFERROR(INDEX('Restaurant Base (Hidden)'!$A$2:$Z$1048576,MATCH($C180,'Restaurant Base (Hidden)'!$C$2:$C$1048576,0),MATCH(AG$6,'Restaurant Base (Hidden)'!$A$1:$Z$1,0)),"")</f>
        <v>1</v>
      </c>
    </row>
    <row r="181" spans="1:33" x14ac:dyDescent="0.4">
      <c r="A181" s="163" t="str">
        <f>IF('Restaurant Base (Hidden)'!A244=0,"", 'Restaurant Base (Hidden)'!A244)</f>
        <v>Jordan Oakley</v>
      </c>
      <c r="B181" s="163" t="str">
        <f>IF('Restaurant Base (Hidden)'!B244=0,"", 'Restaurant Base (Hidden)'!B244)</f>
        <v>Silverline Hospitality</v>
      </c>
      <c r="C181" s="163" t="str">
        <f>IF('Restaurant Base (Hidden)'!C244=0,"", 'Restaurant Base (Hidden)'!C244)</f>
        <v>Bright Junction</v>
      </c>
      <c r="D181" s="104">
        <f t="shared" si="2"/>
        <v>173</v>
      </c>
      <c r="E181" s="105">
        <f>+IFERROR(INDEX('Restaurant Base (Hidden)'!$A$2:$Z$1048576,MATCH($C181,'Restaurant Base (Hidden)'!$C$2:$C$1048576,0),MATCH(E$6,'Restaurant Base (Hidden)'!$A$1:$Z$1,0)),"")</f>
        <v>3.08</v>
      </c>
      <c r="F181" s="2" t="str">
        <f>+IFERROR(INDEX('Restaurant Base (Hidden)'!$A$2:$Z$1048576,MATCH($C181,'Restaurant Base (Hidden)'!$C$2:$C$1048576,0),MATCH(F$6,'Restaurant Base (Hidden)'!$A$1:$Z$1,0)),"")</f>
        <v/>
      </c>
      <c r="G181" s="20" t="str">
        <f>+IFERROR(INDEX('Restaurant Base (Hidden)'!$A$2:$Z$1048576,MATCH($C181,'Restaurant Base (Hidden)'!$C$2:$C$1048576,0),MATCH(G$6,'Restaurant Base (Hidden)'!$A$1:$Z$1,0)),"")</f>
        <v>4,082</v>
      </c>
      <c r="H181" s="50">
        <f>+IFERROR(INDEX('Restaurant Base (Hidden)'!$A$2:$Z$1048576,MATCH($C181,'Restaurant Base (Hidden)'!$C$2:$C$1048576,0),MATCH(H$6,'Restaurant Base (Hidden)'!$A$1:$Z$1,0)),"")</f>
        <v>2</v>
      </c>
      <c r="I181" s="20" t="str">
        <f>+IFERROR(INDEX('Restaurant Base (Hidden)'!$A$2:$Z$1048576,MATCH($C181,'Restaurant Base (Hidden)'!$C$2:$C$1048576,0),MATCH(I$6,'Restaurant Base (Hidden)'!$A$1:$Z$1,0)),"")</f>
        <v>77,30 %</v>
      </c>
      <c r="J181" s="49">
        <f>+IFERROR(INDEX('Restaurant Base (Hidden)'!$A$2:$Z$1048576,MATCH($C181,'Restaurant Base (Hidden)'!$C$2:$C$1048576,0),MATCH(J$6,'Restaurant Base (Hidden)'!$A$1:$Z$1,0)),"")</f>
        <v>1</v>
      </c>
      <c r="K181" s="20" t="str">
        <f>+IFERROR(INDEX('Restaurant Base (Hidden)'!$A$2:$Z$1048576,MATCH($C181,'Restaurant Base (Hidden)'!$C$2:$C$1048576,0),MATCH(K$6,'Restaurant Base (Hidden)'!$A$1:$Z$1,0)),"")</f>
        <v>0,103</v>
      </c>
      <c r="L181" s="51">
        <f>+IFERROR(INDEX('Restaurant Base (Hidden)'!$A$2:$Z$1048576,MATCH($C181,'Restaurant Base (Hidden)'!$C$2:$C$1048576,0),MATCH(L$6,'Restaurant Base (Hidden)'!$A$1:$Z$1,0)),"")</f>
        <v>3</v>
      </c>
      <c r="M181" s="2" t="str">
        <f>+IFERROR(INDEX('Restaurant Base (Hidden)'!$A$2:$Z$1048576,MATCH($C181,'Restaurant Base (Hidden)'!$C$2:$C$1048576,0),MATCH(M$6,'Restaurant Base (Hidden)'!$A$1:$Z$1,0)),"")</f>
        <v/>
      </c>
      <c r="N181" s="234" t="str">
        <f>+IFERROR(INDEX('Restaurant Base (Hidden)'!$A$2:$Z$1048576,MATCH($C181,'Restaurant Base (Hidden)'!$C$2:$C$1048576,0),MATCH(N$6,'Restaurant Base (Hidden)'!$A$1:$Z$1,0)),"")</f>
        <v>88,50 %</v>
      </c>
      <c r="O181" s="1">
        <f>+IFERROR(INDEX('Restaurant Base (Hidden)'!$A$2:$Z$1048576,MATCH($C181,'Restaurant Base (Hidden)'!$C$2:$C$1048576,0),MATCH(O$6,'Restaurant Base (Hidden)'!$A$1:$Z$1,0)),"")</f>
        <v>5</v>
      </c>
      <c r="P181" s="2" t="str">
        <f>+IFERROR(INDEX('Restaurant Base (Hidden)'!$A$2:$Z$1048576,MATCH($C181,'Restaurant Base (Hidden)'!$C$2:$C$1048576,0),MATCH(P$6,'Restaurant Base (Hidden)'!$A$1:$Z$1,0)),"")</f>
        <v/>
      </c>
      <c r="Q181" s="234" t="str">
        <f>+IFERROR(INDEX('Restaurant Base (Hidden)'!$A$2:$Z$1048576,MATCH($C181,'Restaurant Base (Hidden)'!$C$2:$C$1048576,0),MATCH(Q$6,'Restaurant Base (Hidden)'!$A$1:$Z$1,0)),"")</f>
        <v>69,80 %</v>
      </c>
      <c r="R181" s="1">
        <f>+IFERROR(INDEX('Restaurant Base (Hidden)'!$A$2:$Z$1048576,MATCH($C181,'Restaurant Base (Hidden)'!$C$2:$C$1048576,0),MATCH(R$6,'Restaurant Base (Hidden)'!$A$1:$Z$1,0)),"")</f>
        <v>4</v>
      </c>
      <c r="S181" s="2" t="str">
        <f>+IFERROR(INDEX('Restaurant Base (Hidden)'!$A$2:$Z$1048576,MATCH($C181,'Restaurant Base (Hidden)'!$C$2:$C$1048576,0),MATCH(S$6,'Restaurant Base (Hidden)'!$A$1:$Z$1,0)),"")</f>
        <v/>
      </c>
      <c r="T181" s="62">
        <f>+IFERROR(INDEX('Restaurant Base (Hidden)'!$A$2:$Z$1048576,MATCH($C181,'Restaurant Base (Hidden)'!$C$2:$C$1048576,0),MATCH(T$6,'Restaurant Base (Hidden)'!$A$1:$Z$1,0)),"")</f>
        <v>63.6</v>
      </c>
      <c r="U181" s="1">
        <f>+IFERROR(INDEX('Restaurant Base (Hidden)'!$A$2:$Z$1048576,MATCH($C181,'Restaurant Base (Hidden)'!$C$2:$C$1048576,0),MATCH(U$6,'Restaurant Base (Hidden)'!$A$1:$Z$1,0)),"")</f>
        <v>3</v>
      </c>
      <c r="V181" s="2" t="str">
        <f>+IFERROR(INDEX('Restaurant Base (Hidden)'!$A$2:$Z$1048576,MATCH($C181,'Restaurant Base (Hidden)'!$C$2:$C$1048576,0),MATCH(V$6,'Restaurant Base (Hidden)'!$A$1:$Z$1,0)),"")</f>
        <v/>
      </c>
      <c r="W181" s="65" t="str">
        <f>+IFERROR(INDEX('Restaurant Base (Hidden)'!$A$2:$Z$1048576,MATCH($C181,'Restaurant Base (Hidden)'!$C$2:$C$1048576,0),MATCH(W$6,'Restaurant Base (Hidden)'!$A$1:$Z$1,0)),"")</f>
        <v>92,20 %</v>
      </c>
      <c r="X181" s="1">
        <f>+IFERROR(INDEX('Restaurant Base (Hidden)'!$A$2:$Z$1048576,MATCH($C181,'Restaurant Base (Hidden)'!$C$2:$C$1048576,0),MATCH(X$6,'Restaurant Base (Hidden)'!$A$1:$Z$1,0)),"")</f>
        <v>4</v>
      </c>
      <c r="Y181" s="65" t="str">
        <f>+IFERROR(INDEX('Restaurant Base (Hidden)'!$A$2:$Z$1048576,MATCH($C181,'Restaurant Base (Hidden)'!$C$2:$C$1048576,0),MATCH(Y$6,'Restaurant Base (Hidden)'!$A$1:$Z$1,0)),"")</f>
        <v>93,10 %</v>
      </c>
      <c r="Z181" s="106">
        <f>+IFERROR(INDEX('Restaurant Base (Hidden)'!$A$2:$Z$1048576,MATCH($C181,'Restaurant Base (Hidden)'!$C$2:$C$1048576,0),MATCH(Z$6,'Restaurant Base (Hidden)'!$A$1:$Z$1,0)),"")</f>
        <v>3</v>
      </c>
      <c r="AA181" s="65" t="str">
        <f>+IFERROR(INDEX('Restaurant Base (Hidden)'!$A$2:$Z$1048576,MATCH($C181,'Restaurant Base (Hidden)'!$C$2:$C$1048576,0),MATCH(AA$6,'Restaurant Base (Hidden)'!$A$1:$Z$1,0)),"")</f>
        <v>80,70 %</v>
      </c>
      <c r="AB181" s="1">
        <f>+IFERROR(INDEX('Restaurant Base (Hidden)'!$A$2:$Z$1048576,MATCH($C181,'Restaurant Base (Hidden)'!$C$2:$C$1048576,0),MATCH(AB$6,'Restaurant Base (Hidden)'!$A$1:$Z$1,0)),"")</f>
        <v>2</v>
      </c>
      <c r="AC181" s="20" t="str">
        <f>+IFERROR(INDEX('Restaurant Base (Hidden)'!$A$2:$Z$1048576,MATCH($C181,'Restaurant Base (Hidden)'!$C$2:$C$1048576,0),MATCH(AC$6,'Restaurant Base (Hidden)'!$A$1:$Z$1,0)),"")</f>
        <v/>
      </c>
      <c r="AD181" s="65" t="str">
        <f>+IFERROR(INDEX('Restaurant Base (Hidden)'!$A$2:$Z$1048576,MATCH($C181,'Restaurant Base (Hidden)'!$C$2:$C$1048576,0),MATCH(AD$6,'Restaurant Base (Hidden)'!$A$1:$Z$1,0)),"")</f>
        <v>90,10 %</v>
      </c>
      <c r="AE181" s="1">
        <f>+IFERROR(INDEX('Restaurant Base (Hidden)'!$A$2:$Z$1048576,MATCH($C181,'Restaurant Base (Hidden)'!$C$2:$C$1048576,0),MATCH(AE$6,'Restaurant Base (Hidden)'!$A$1:$Z$1,0)),"")</f>
        <v>4</v>
      </c>
      <c r="AF181" s="65" t="str">
        <f>+IFERROR(INDEX('Restaurant Base (Hidden)'!$A$2:$Z$1048576,MATCH($C181,'Restaurant Base (Hidden)'!$C$2:$C$1048576,0),MATCH(AF$6,'Restaurant Base (Hidden)'!$A$1:$Z$1,0)),"")</f>
        <v>83,40 %</v>
      </c>
      <c r="AG181" s="1">
        <f>+IFERROR(INDEX('Restaurant Base (Hidden)'!$A$2:$Z$1048576,MATCH($C181,'Restaurant Base (Hidden)'!$C$2:$C$1048576,0),MATCH(AG$6,'Restaurant Base (Hidden)'!$A$1:$Z$1,0)),"")</f>
        <v>2</v>
      </c>
    </row>
    <row r="182" spans="1:33" x14ac:dyDescent="0.4">
      <c r="A182" s="163" t="str">
        <f>IF('Restaurant Base (Hidden)'!A332=0,"", 'Restaurant Base (Hidden)'!A332)</f>
        <v>Kendall Prescott</v>
      </c>
      <c r="B182" s="163" t="str">
        <f>IF('Restaurant Base (Hidden)'!B332=0,"", 'Restaurant Base (Hidden)'!B332)</f>
        <v>Kingswell Food Partners</v>
      </c>
      <c r="C182" s="163" t="str">
        <f>IF('Restaurant Base (Hidden)'!C332=0,"", 'Restaurant Base (Hidden)'!C332)</f>
        <v>Liberty Harbor</v>
      </c>
      <c r="D182" s="104">
        <f t="shared" si="2"/>
        <v>173</v>
      </c>
      <c r="E182" s="105">
        <f>+IFERROR(INDEX('Restaurant Base (Hidden)'!$A$2:$Z$1048576,MATCH($C182,'Restaurant Base (Hidden)'!$C$2:$C$1048576,0),MATCH(E$6,'Restaurant Base (Hidden)'!$A$1:$Z$1,0)),"")</f>
        <v>3.08</v>
      </c>
      <c r="F182" s="2" t="str">
        <f>+IFERROR(INDEX('Restaurant Base (Hidden)'!$A$2:$Z$1048576,MATCH($C182,'Restaurant Base (Hidden)'!$C$2:$C$1048576,0),MATCH(F$6,'Restaurant Base (Hidden)'!$A$1:$Z$1,0)),"")</f>
        <v/>
      </c>
      <c r="G182" s="20" t="str">
        <f>+IFERROR(INDEX('Restaurant Base (Hidden)'!$A$2:$Z$1048576,MATCH($C182,'Restaurant Base (Hidden)'!$C$2:$C$1048576,0),MATCH(G$6,'Restaurant Base (Hidden)'!$A$1:$Z$1,0)),"")</f>
        <v>4,560</v>
      </c>
      <c r="H182" s="50">
        <f>+IFERROR(INDEX('Restaurant Base (Hidden)'!$A$2:$Z$1048576,MATCH($C182,'Restaurant Base (Hidden)'!$C$2:$C$1048576,0),MATCH(H$6,'Restaurant Base (Hidden)'!$A$1:$Z$1,0)),"")</f>
        <v>5</v>
      </c>
      <c r="I182" s="20" t="str">
        <f>+IFERROR(INDEX('Restaurant Base (Hidden)'!$A$2:$Z$1048576,MATCH($C182,'Restaurant Base (Hidden)'!$C$2:$C$1048576,0),MATCH(I$6,'Restaurant Base (Hidden)'!$A$1:$Z$1,0)),"")</f>
        <v>78,00 %</v>
      </c>
      <c r="J182" s="49">
        <f>+IFERROR(INDEX('Restaurant Base (Hidden)'!$A$2:$Z$1048576,MATCH($C182,'Restaurant Base (Hidden)'!$C$2:$C$1048576,0),MATCH(J$6,'Restaurant Base (Hidden)'!$A$1:$Z$1,0)),"")</f>
        <v>2</v>
      </c>
      <c r="K182" s="20" t="str">
        <f>+IFERROR(INDEX('Restaurant Base (Hidden)'!$A$2:$Z$1048576,MATCH($C182,'Restaurant Base (Hidden)'!$C$2:$C$1048576,0),MATCH(K$6,'Restaurant Base (Hidden)'!$A$1:$Z$1,0)),"")</f>
        <v>0,113</v>
      </c>
      <c r="L182" s="51">
        <f>+IFERROR(INDEX('Restaurant Base (Hidden)'!$A$2:$Z$1048576,MATCH($C182,'Restaurant Base (Hidden)'!$C$2:$C$1048576,0),MATCH(L$6,'Restaurant Base (Hidden)'!$A$1:$Z$1,0)),"")</f>
        <v>3</v>
      </c>
      <c r="M182" s="2" t="str">
        <f>+IFERROR(INDEX('Restaurant Base (Hidden)'!$A$2:$Z$1048576,MATCH($C182,'Restaurant Base (Hidden)'!$C$2:$C$1048576,0),MATCH(M$6,'Restaurant Base (Hidden)'!$A$1:$Z$1,0)),"")</f>
        <v/>
      </c>
      <c r="N182" s="234" t="str">
        <f>+IFERROR(INDEX('Restaurant Base (Hidden)'!$A$2:$Z$1048576,MATCH($C182,'Restaurant Base (Hidden)'!$C$2:$C$1048576,0),MATCH(N$6,'Restaurant Base (Hidden)'!$A$1:$Z$1,0)),"")</f>
        <v>69,20 %</v>
      </c>
      <c r="O182" s="1">
        <f>+IFERROR(INDEX('Restaurant Base (Hidden)'!$A$2:$Z$1048576,MATCH($C182,'Restaurant Base (Hidden)'!$C$2:$C$1048576,0),MATCH(O$6,'Restaurant Base (Hidden)'!$A$1:$Z$1,0)),"")</f>
        <v>4</v>
      </c>
      <c r="P182" s="2" t="str">
        <f>+IFERROR(INDEX('Restaurant Base (Hidden)'!$A$2:$Z$1048576,MATCH($C182,'Restaurant Base (Hidden)'!$C$2:$C$1048576,0),MATCH(P$6,'Restaurant Base (Hidden)'!$A$1:$Z$1,0)),"")</f>
        <v/>
      </c>
      <c r="Q182" s="234" t="str">
        <f>+IFERROR(INDEX('Restaurant Base (Hidden)'!$A$2:$Z$1048576,MATCH($C182,'Restaurant Base (Hidden)'!$C$2:$C$1048576,0),MATCH(Q$6,'Restaurant Base (Hidden)'!$A$1:$Z$1,0)),"")</f>
        <v>68,20 %</v>
      </c>
      <c r="R182" s="1">
        <f>+IFERROR(INDEX('Restaurant Base (Hidden)'!$A$2:$Z$1048576,MATCH($C182,'Restaurant Base (Hidden)'!$C$2:$C$1048576,0),MATCH(R$6,'Restaurant Base (Hidden)'!$A$1:$Z$1,0)),"")</f>
        <v>3</v>
      </c>
      <c r="S182" s="2" t="str">
        <f>+IFERROR(INDEX('Restaurant Base (Hidden)'!$A$2:$Z$1048576,MATCH($C182,'Restaurant Base (Hidden)'!$C$2:$C$1048576,0),MATCH(S$6,'Restaurant Base (Hidden)'!$A$1:$Z$1,0)),"")</f>
        <v/>
      </c>
      <c r="T182" s="62">
        <f>+IFERROR(INDEX('Restaurant Base (Hidden)'!$A$2:$Z$1048576,MATCH($C182,'Restaurant Base (Hidden)'!$C$2:$C$1048576,0),MATCH(T$6,'Restaurant Base (Hidden)'!$A$1:$Z$1,0)),"")</f>
        <v>63.9</v>
      </c>
      <c r="U182" s="1">
        <f>+IFERROR(INDEX('Restaurant Base (Hidden)'!$A$2:$Z$1048576,MATCH($C182,'Restaurant Base (Hidden)'!$C$2:$C$1048576,0),MATCH(U$6,'Restaurant Base (Hidden)'!$A$1:$Z$1,0)),"")</f>
        <v>3</v>
      </c>
      <c r="V182" s="2" t="str">
        <f>+IFERROR(INDEX('Restaurant Base (Hidden)'!$A$2:$Z$1048576,MATCH($C182,'Restaurant Base (Hidden)'!$C$2:$C$1048576,0),MATCH(V$6,'Restaurant Base (Hidden)'!$A$1:$Z$1,0)),"")</f>
        <v/>
      </c>
      <c r="W182" s="65" t="str">
        <f>+IFERROR(INDEX('Restaurant Base (Hidden)'!$A$2:$Z$1048576,MATCH($C182,'Restaurant Base (Hidden)'!$C$2:$C$1048576,0),MATCH(W$6,'Restaurant Base (Hidden)'!$A$1:$Z$1,0)),"")</f>
        <v>68,80 %</v>
      </c>
      <c r="X182" s="1">
        <f>+IFERROR(INDEX('Restaurant Base (Hidden)'!$A$2:$Z$1048576,MATCH($C182,'Restaurant Base (Hidden)'!$C$2:$C$1048576,0),MATCH(X$6,'Restaurant Base (Hidden)'!$A$1:$Z$1,0)),"")</f>
        <v>2</v>
      </c>
      <c r="Y182" s="65" t="str">
        <f>+IFERROR(INDEX('Restaurant Base (Hidden)'!$A$2:$Z$1048576,MATCH($C182,'Restaurant Base (Hidden)'!$C$2:$C$1048576,0),MATCH(Y$6,'Restaurant Base (Hidden)'!$A$1:$Z$1,0)),"")</f>
        <v>86,90 %</v>
      </c>
      <c r="Z182" s="106">
        <f>+IFERROR(INDEX('Restaurant Base (Hidden)'!$A$2:$Z$1048576,MATCH($C182,'Restaurant Base (Hidden)'!$C$2:$C$1048576,0),MATCH(Z$6,'Restaurant Base (Hidden)'!$A$1:$Z$1,0)),"")</f>
        <v>3</v>
      </c>
      <c r="AA182" s="65" t="str">
        <f>+IFERROR(INDEX('Restaurant Base (Hidden)'!$A$2:$Z$1048576,MATCH($C182,'Restaurant Base (Hidden)'!$C$2:$C$1048576,0),MATCH(AA$6,'Restaurant Base (Hidden)'!$A$1:$Z$1,0)),"")</f>
        <v>74,20 %</v>
      </c>
      <c r="AB182" s="1">
        <f>+IFERROR(INDEX('Restaurant Base (Hidden)'!$A$2:$Z$1048576,MATCH($C182,'Restaurant Base (Hidden)'!$C$2:$C$1048576,0),MATCH(AB$6,'Restaurant Base (Hidden)'!$A$1:$Z$1,0)),"")</f>
        <v>2</v>
      </c>
      <c r="AC182" s="20" t="str">
        <f>+IFERROR(INDEX('Restaurant Base (Hidden)'!$A$2:$Z$1048576,MATCH($C182,'Restaurant Base (Hidden)'!$C$2:$C$1048576,0),MATCH(AC$6,'Restaurant Base (Hidden)'!$A$1:$Z$1,0)),"")</f>
        <v/>
      </c>
      <c r="AD182" s="65" t="str">
        <f>+IFERROR(INDEX('Restaurant Base (Hidden)'!$A$2:$Z$1048576,MATCH($C182,'Restaurant Base (Hidden)'!$C$2:$C$1048576,0),MATCH(AD$6,'Restaurant Base (Hidden)'!$A$1:$Z$1,0)),"")</f>
        <v>75,00 %</v>
      </c>
      <c r="AE182" s="1">
        <f>+IFERROR(INDEX('Restaurant Base (Hidden)'!$A$2:$Z$1048576,MATCH($C182,'Restaurant Base (Hidden)'!$C$2:$C$1048576,0),MATCH(AE$6,'Restaurant Base (Hidden)'!$A$1:$Z$1,0)),"")</f>
        <v>2</v>
      </c>
      <c r="AF182" s="65" t="str">
        <f>+IFERROR(INDEX('Restaurant Base (Hidden)'!$A$2:$Z$1048576,MATCH($C182,'Restaurant Base (Hidden)'!$C$2:$C$1048576,0),MATCH(AF$6,'Restaurant Base (Hidden)'!$A$1:$Z$1,0)),"")</f>
        <v>96,00 %</v>
      </c>
      <c r="AG182" s="1">
        <f>+IFERROR(INDEX('Restaurant Base (Hidden)'!$A$2:$Z$1048576,MATCH($C182,'Restaurant Base (Hidden)'!$C$2:$C$1048576,0),MATCH(AG$6,'Restaurant Base (Hidden)'!$A$1:$Z$1,0)),"")</f>
        <v>4</v>
      </c>
    </row>
    <row r="183" spans="1:33" x14ac:dyDescent="0.4">
      <c r="A183" s="163" t="str">
        <f>IF('Restaurant Base (Hidden)'!A403=0,"", 'Restaurant Base (Hidden)'!A403)</f>
        <v>Dakota Cavendish</v>
      </c>
      <c r="B183" s="163" t="str">
        <f>IF('Restaurant Base (Hidden)'!B403=0,"", 'Restaurant Base (Hidden)'!B403)</f>
        <v>Bluecrest Food Partners</v>
      </c>
      <c r="C183" s="163" t="str">
        <f>IF('Restaurant Base (Hidden)'!C403=0,"", 'Restaurant Base (Hidden)'!C403)</f>
        <v>Emerald Mews</v>
      </c>
      <c r="D183" s="104">
        <f t="shared" si="2"/>
        <v>173</v>
      </c>
      <c r="E183" s="105">
        <f>+IFERROR(INDEX('Restaurant Base (Hidden)'!$A$2:$Z$1048576,MATCH($C183,'Restaurant Base (Hidden)'!$C$2:$C$1048576,0),MATCH(E$6,'Restaurant Base (Hidden)'!$A$1:$Z$1,0)),"")</f>
        <v>3.08</v>
      </c>
      <c r="F183" s="2" t="str">
        <f>+IFERROR(INDEX('Restaurant Base (Hidden)'!$A$2:$Z$1048576,MATCH($C183,'Restaurant Base (Hidden)'!$C$2:$C$1048576,0),MATCH(F$6,'Restaurant Base (Hidden)'!$A$1:$Z$1,0)),"")</f>
        <v/>
      </c>
      <c r="G183" s="20" t="str">
        <f>+IFERROR(INDEX('Restaurant Base (Hidden)'!$A$2:$Z$1048576,MATCH($C183,'Restaurant Base (Hidden)'!$C$2:$C$1048576,0),MATCH(G$6,'Restaurant Base (Hidden)'!$A$1:$Z$1,0)),"")</f>
        <v>4,279</v>
      </c>
      <c r="H183" s="50">
        <f>+IFERROR(INDEX('Restaurant Base (Hidden)'!$A$2:$Z$1048576,MATCH($C183,'Restaurant Base (Hidden)'!$C$2:$C$1048576,0),MATCH(H$6,'Restaurant Base (Hidden)'!$A$1:$Z$1,0)),"")</f>
        <v>3</v>
      </c>
      <c r="I183" s="20" t="str">
        <f>+IFERROR(INDEX('Restaurant Base (Hidden)'!$A$2:$Z$1048576,MATCH($C183,'Restaurant Base (Hidden)'!$C$2:$C$1048576,0),MATCH(I$6,'Restaurant Base (Hidden)'!$A$1:$Z$1,0)),"")</f>
        <v>82,90 %</v>
      </c>
      <c r="J183" s="49">
        <f>+IFERROR(INDEX('Restaurant Base (Hidden)'!$A$2:$Z$1048576,MATCH($C183,'Restaurant Base (Hidden)'!$C$2:$C$1048576,0),MATCH(J$6,'Restaurant Base (Hidden)'!$A$1:$Z$1,0)),"")</f>
        <v>2</v>
      </c>
      <c r="K183" s="20" t="str">
        <f>+IFERROR(INDEX('Restaurant Base (Hidden)'!$A$2:$Z$1048576,MATCH($C183,'Restaurant Base (Hidden)'!$C$2:$C$1048576,0),MATCH(K$6,'Restaurant Base (Hidden)'!$A$1:$Z$1,0)),"")</f>
        <v>0,061</v>
      </c>
      <c r="L183" s="51">
        <f>+IFERROR(INDEX('Restaurant Base (Hidden)'!$A$2:$Z$1048576,MATCH($C183,'Restaurant Base (Hidden)'!$C$2:$C$1048576,0),MATCH(L$6,'Restaurant Base (Hidden)'!$A$1:$Z$1,0)),"")</f>
        <v>4</v>
      </c>
      <c r="M183" s="2" t="str">
        <f>+IFERROR(INDEX('Restaurant Base (Hidden)'!$A$2:$Z$1048576,MATCH($C183,'Restaurant Base (Hidden)'!$C$2:$C$1048576,0),MATCH(M$6,'Restaurant Base (Hidden)'!$A$1:$Z$1,0)),"")</f>
        <v/>
      </c>
      <c r="N183" s="234" t="str">
        <f>+IFERROR(INDEX('Restaurant Base (Hidden)'!$A$2:$Z$1048576,MATCH($C183,'Restaurant Base (Hidden)'!$C$2:$C$1048576,0),MATCH(N$6,'Restaurant Base (Hidden)'!$A$1:$Z$1,0)),"")</f>
        <v>99,30 %</v>
      </c>
      <c r="O183" s="1">
        <f>+IFERROR(INDEX('Restaurant Base (Hidden)'!$A$2:$Z$1048576,MATCH($C183,'Restaurant Base (Hidden)'!$C$2:$C$1048576,0),MATCH(O$6,'Restaurant Base (Hidden)'!$A$1:$Z$1,0)),"")</f>
        <v>5</v>
      </c>
      <c r="P183" s="2" t="str">
        <f>+IFERROR(INDEX('Restaurant Base (Hidden)'!$A$2:$Z$1048576,MATCH($C183,'Restaurant Base (Hidden)'!$C$2:$C$1048576,0),MATCH(P$6,'Restaurant Base (Hidden)'!$A$1:$Z$1,0)),"")</f>
        <v/>
      </c>
      <c r="Q183" s="234" t="str">
        <f>+IFERROR(INDEX('Restaurant Base (Hidden)'!$A$2:$Z$1048576,MATCH($C183,'Restaurant Base (Hidden)'!$C$2:$C$1048576,0),MATCH(Q$6,'Restaurant Base (Hidden)'!$A$1:$Z$1,0)),"")</f>
        <v>82,70 %</v>
      </c>
      <c r="R183" s="1">
        <f>+IFERROR(INDEX('Restaurant Base (Hidden)'!$A$2:$Z$1048576,MATCH($C183,'Restaurant Base (Hidden)'!$C$2:$C$1048576,0),MATCH(R$6,'Restaurant Base (Hidden)'!$A$1:$Z$1,0)),"")</f>
        <v>5</v>
      </c>
      <c r="S183" s="2" t="str">
        <f>+IFERROR(INDEX('Restaurant Base (Hidden)'!$A$2:$Z$1048576,MATCH($C183,'Restaurant Base (Hidden)'!$C$2:$C$1048576,0),MATCH(S$6,'Restaurant Base (Hidden)'!$A$1:$Z$1,0)),"")</f>
        <v/>
      </c>
      <c r="T183" s="62">
        <f>+IFERROR(INDEX('Restaurant Base (Hidden)'!$A$2:$Z$1048576,MATCH($C183,'Restaurant Base (Hidden)'!$C$2:$C$1048576,0),MATCH(T$6,'Restaurant Base (Hidden)'!$A$1:$Z$1,0)),"")</f>
        <v>56.9</v>
      </c>
      <c r="U183" s="1">
        <f>+IFERROR(INDEX('Restaurant Base (Hidden)'!$A$2:$Z$1048576,MATCH($C183,'Restaurant Base (Hidden)'!$C$2:$C$1048576,0),MATCH(U$6,'Restaurant Base (Hidden)'!$A$1:$Z$1,0)),"")</f>
        <v>1</v>
      </c>
      <c r="V183" s="2" t="str">
        <f>+IFERROR(INDEX('Restaurant Base (Hidden)'!$A$2:$Z$1048576,MATCH($C183,'Restaurant Base (Hidden)'!$C$2:$C$1048576,0),MATCH(V$6,'Restaurant Base (Hidden)'!$A$1:$Z$1,0)),"")</f>
        <v/>
      </c>
      <c r="W183" s="65" t="str">
        <f>+IFERROR(INDEX('Restaurant Base (Hidden)'!$A$2:$Z$1048576,MATCH($C183,'Restaurant Base (Hidden)'!$C$2:$C$1048576,0),MATCH(W$6,'Restaurant Base (Hidden)'!$A$1:$Z$1,0)),"")</f>
        <v>92,90 %</v>
      </c>
      <c r="X183" s="1">
        <f>+IFERROR(INDEX('Restaurant Base (Hidden)'!$A$2:$Z$1048576,MATCH($C183,'Restaurant Base (Hidden)'!$C$2:$C$1048576,0),MATCH(X$6,'Restaurant Base (Hidden)'!$A$1:$Z$1,0)),"")</f>
        <v>4</v>
      </c>
      <c r="Y183" s="65" t="str">
        <f>+IFERROR(INDEX('Restaurant Base (Hidden)'!$A$2:$Z$1048576,MATCH($C183,'Restaurant Base (Hidden)'!$C$2:$C$1048576,0),MATCH(Y$6,'Restaurant Base (Hidden)'!$A$1:$Z$1,0)),"")</f>
        <v>82,10 %</v>
      </c>
      <c r="Z183" s="106">
        <f>+IFERROR(INDEX('Restaurant Base (Hidden)'!$A$2:$Z$1048576,MATCH($C183,'Restaurant Base (Hidden)'!$C$2:$C$1048576,0),MATCH(Z$6,'Restaurant Base (Hidden)'!$A$1:$Z$1,0)),"")</f>
        <v>3</v>
      </c>
      <c r="AA183" s="65" t="str">
        <f>+IFERROR(INDEX('Restaurant Base (Hidden)'!$A$2:$Z$1048576,MATCH($C183,'Restaurant Base (Hidden)'!$C$2:$C$1048576,0),MATCH(AA$6,'Restaurant Base (Hidden)'!$A$1:$Z$1,0)),"")</f>
        <v>74,80 %</v>
      </c>
      <c r="AB183" s="1">
        <f>+IFERROR(INDEX('Restaurant Base (Hidden)'!$A$2:$Z$1048576,MATCH($C183,'Restaurant Base (Hidden)'!$C$2:$C$1048576,0),MATCH(AB$6,'Restaurant Base (Hidden)'!$A$1:$Z$1,0)),"")</f>
        <v>2</v>
      </c>
      <c r="AC183" s="20" t="str">
        <f>+IFERROR(INDEX('Restaurant Base (Hidden)'!$A$2:$Z$1048576,MATCH($C183,'Restaurant Base (Hidden)'!$C$2:$C$1048576,0),MATCH(AC$6,'Restaurant Base (Hidden)'!$A$1:$Z$1,0)),"")</f>
        <v/>
      </c>
      <c r="AD183" s="65" t="str">
        <f>+IFERROR(INDEX('Restaurant Base (Hidden)'!$A$2:$Z$1048576,MATCH($C183,'Restaurant Base (Hidden)'!$C$2:$C$1048576,0),MATCH(AD$6,'Restaurant Base (Hidden)'!$A$1:$Z$1,0)),"")</f>
        <v>81,30 %</v>
      </c>
      <c r="AE183" s="1">
        <f>+IFERROR(INDEX('Restaurant Base (Hidden)'!$A$2:$Z$1048576,MATCH($C183,'Restaurant Base (Hidden)'!$C$2:$C$1048576,0),MATCH(AE$6,'Restaurant Base (Hidden)'!$A$1:$Z$1,0)),"")</f>
        <v>2</v>
      </c>
      <c r="AF183" s="65" t="str">
        <f>+IFERROR(INDEX('Restaurant Base (Hidden)'!$A$2:$Z$1048576,MATCH($C183,'Restaurant Base (Hidden)'!$C$2:$C$1048576,0),MATCH(AF$6,'Restaurant Base (Hidden)'!$A$1:$Z$1,0)),"")</f>
        <v>77,90 %</v>
      </c>
      <c r="AG183" s="1">
        <f>+IFERROR(INDEX('Restaurant Base (Hidden)'!$A$2:$Z$1048576,MATCH($C183,'Restaurant Base (Hidden)'!$C$2:$C$1048576,0),MATCH(AG$6,'Restaurant Base (Hidden)'!$A$1:$Z$1,0)),"")</f>
        <v>2</v>
      </c>
    </row>
    <row r="184" spans="1:33" x14ac:dyDescent="0.4">
      <c r="A184" s="163" t="str">
        <f>IF('Restaurant Base (Hidden)'!A315=0,"", 'Restaurant Base (Hidden)'!A315)</f>
        <v>Bailey Silverton</v>
      </c>
      <c r="B184" s="163" t="str">
        <f>IF('Restaurant Base (Hidden)'!B315=0,"", 'Restaurant Base (Hidden)'!B315)</f>
        <v>Springwell Hospitality</v>
      </c>
      <c r="C184" s="163" t="str">
        <f>IF('Restaurant Base (Hidden)'!C315=0,"", 'Restaurant Base (Hidden)'!C315)</f>
        <v>Fox Junction</v>
      </c>
      <c r="D184" s="104">
        <f t="shared" si="2"/>
        <v>178</v>
      </c>
      <c r="E184" s="105">
        <f>+IFERROR(INDEX('Restaurant Base (Hidden)'!$A$2:$Z$1048576,MATCH($C184,'Restaurant Base (Hidden)'!$C$2:$C$1048576,0),MATCH(E$6,'Restaurant Base (Hidden)'!$A$1:$Z$1,0)),"")</f>
        <v>3.07</v>
      </c>
      <c r="F184" s="2" t="str">
        <f>+IFERROR(INDEX('Restaurant Base (Hidden)'!$A$2:$Z$1048576,MATCH($C184,'Restaurant Base (Hidden)'!$C$2:$C$1048576,0),MATCH(F$6,'Restaurant Base (Hidden)'!$A$1:$Z$1,0)),"")</f>
        <v/>
      </c>
      <c r="G184" s="20" t="str">
        <f>+IFERROR(INDEX('Restaurant Base (Hidden)'!$A$2:$Z$1048576,MATCH($C184,'Restaurant Base (Hidden)'!$C$2:$C$1048576,0),MATCH(G$6,'Restaurant Base (Hidden)'!$A$1:$Z$1,0)),"")</f>
        <v>4,716</v>
      </c>
      <c r="H184" s="50">
        <f>+IFERROR(INDEX('Restaurant Base (Hidden)'!$A$2:$Z$1048576,MATCH($C184,'Restaurant Base (Hidden)'!$C$2:$C$1048576,0),MATCH(H$6,'Restaurant Base (Hidden)'!$A$1:$Z$1,0)),"")</f>
        <v>5</v>
      </c>
      <c r="I184" s="20" t="str">
        <f>+IFERROR(INDEX('Restaurant Base (Hidden)'!$A$2:$Z$1048576,MATCH($C184,'Restaurant Base (Hidden)'!$C$2:$C$1048576,0),MATCH(I$6,'Restaurant Base (Hidden)'!$A$1:$Z$1,0)),"")</f>
        <v>55,10 %</v>
      </c>
      <c r="J184" s="49">
        <f>+IFERROR(INDEX('Restaurant Base (Hidden)'!$A$2:$Z$1048576,MATCH($C184,'Restaurant Base (Hidden)'!$C$2:$C$1048576,0),MATCH(J$6,'Restaurant Base (Hidden)'!$A$1:$Z$1,0)),"")</f>
        <v>1</v>
      </c>
      <c r="K184" s="20" t="str">
        <f>+IFERROR(INDEX('Restaurant Base (Hidden)'!$A$2:$Z$1048576,MATCH($C184,'Restaurant Base (Hidden)'!$C$2:$C$1048576,0),MATCH(K$6,'Restaurant Base (Hidden)'!$A$1:$Z$1,0)),"")</f>
        <v>0,041</v>
      </c>
      <c r="L184" s="51">
        <f>+IFERROR(INDEX('Restaurant Base (Hidden)'!$A$2:$Z$1048576,MATCH($C184,'Restaurant Base (Hidden)'!$C$2:$C$1048576,0),MATCH(L$6,'Restaurant Base (Hidden)'!$A$1:$Z$1,0)),"")</f>
        <v>5</v>
      </c>
      <c r="M184" s="2" t="str">
        <f>+IFERROR(INDEX('Restaurant Base (Hidden)'!$A$2:$Z$1048576,MATCH($C184,'Restaurant Base (Hidden)'!$C$2:$C$1048576,0),MATCH(M$6,'Restaurant Base (Hidden)'!$A$1:$Z$1,0)),"")</f>
        <v/>
      </c>
      <c r="N184" s="234" t="str">
        <f>+IFERROR(INDEX('Restaurant Base (Hidden)'!$A$2:$Z$1048576,MATCH($C184,'Restaurant Base (Hidden)'!$C$2:$C$1048576,0),MATCH(N$6,'Restaurant Base (Hidden)'!$A$1:$Z$1,0)),"")</f>
        <v>71,00 %</v>
      </c>
      <c r="O184" s="1">
        <f>+IFERROR(INDEX('Restaurant Base (Hidden)'!$A$2:$Z$1048576,MATCH($C184,'Restaurant Base (Hidden)'!$C$2:$C$1048576,0),MATCH(O$6,'Restaurant Base (Hidden)'!$A$1:$Z$1,0)),"")</f>
        <v>4</v>
      </c>
      <c r="P184" s="2" t="str">
        <f>+IFERROR(INDEX('Restaurant Base (Hidden)'!$A$2:$Z$1048576,MATCH($C184,'Restaurant Base (Hidden)'!$C$2:$C$1048576,0),MATCH(P$6,'Restaurant Base (Hidden)'!$A$1:$Z$1,0)),"")</f>
        <v/>
      </c>
      <c r="Q184" s="234" t="str">
        <f>+IFERROR(INDEX('Restaurant Base (Hidden)'!$A$2:$Z$1048576,MATCH($C184,'Restaurant Base (Hidden)'!$C$2:$C$1048576,0),MATCH(Q$6,'Restaurant Base (Hidden)'!$A$1:$Z$1,0)),"")</f>
        <v>76,10 %</v>
      </c>
      <c r="R184" s="1">
        <f>+IFERROR(INDEX('Restaurant Base (Hidden)'!$A$2:$Z$1048576,MATCH($C184,'Restaurant Base (Hidden)'!$C$2:$C$1048576,0),MATCH(R$6,'Restaurant Base (Hidden)'!$A$1:$Z$1,0)),"")</f>
        <v>5</v>
      </c>
      <c r="S184" s="2" t="str">
        <f>+IFERROR(INDEX('Restaurant Base (Hidden)'!$A$2:$Z$1048576,MATCH($C184,'Restaurant Base (Hidden)'!$C$2:$C$1048576,0),MATCH(S$6,'Restaurant Base (Hidden)'!$A$1:$Z$1,0)),"")</f>
        <v/>
      </c>
      <c r="T184" s="62">
        <f>+IFERROR(INDEX('Restaurant Base (Hidden)'!$A$2:$Z$1048576,MATCH($C184,'Restaurant Base (Hidden)'!$C$2:$C$1048576,0),MATCH(T$6,'Restaurant Base (Hidden)'!$A$1:$Z$1,0)),"")</f>
        <v>57.5</v>
      </c>
      <c r="U184" s="1">
        <f>+IFERROR(INDEX('Restaurant Base (Hidden)'!$A$2:$Z$1048576,MATCH($C184,'Restaurant Base (Hidden)'!$C$2:$C$1048576,0),MATCH(U$6,'Restaurant Base (Hidden)'!$A$1:$Z$1,0)),"")</f>
        <v>2</v>
      </c>
      <c r="V184" s="2" t="str">
        <f>+IFERROR(INDEX('Restaurant Base (Hidden)'!$A$2:$Z$1048576,MATCH($C184,'Restaurant Base (Hidden)'!$C$2:$C$1048576,0),MATCH(V$6,'Restaurant Base (Hidden)'!$A$1:$Z$1,0)),"")</f>
        <v/>
      </c>
      <c r="W184" s="65" t="str">
        <f>+IFERROR(INDEX('Restaurant Base (Hidden)'!$A$2:$Z$1048576,MATCH($C184,'Restaurant Base (Hidden)'!$C$2:$C$1048576,0),MATCH(W$6,'Restaurant Base (Hidden)'!$A$1:$Z$1,0)),"")</f>
        <v>73,30 %</v>
      </c>
      <c r="X184" s="1">
        <f>+IFERROR(INDEX('Restaurant Base (Hidden)'!$A$2:$Z$1048576,MATCH($C184,'Restaurant Base (Hidden)'!$C$2:$C$1048576,0),MATCH(X$6,'Restaurant Base (Hidden)'!$A$1:$Z$1,0)),"")</f>
        <v>2</v>
      </c>
      <c r="Y184" s="65" t="str">
        <f>+IFERROR(INDEX('Restaurant Base (Hidden)'!$A$2:$Z$1048576,MATCH($C184,'Restaurant Base (Hidden)'!$C$2:$C$1048576,0),MATCH(Y$6,'Restaurant Base (Hidden)'!$A$1:$Z$1,0)),"")</f>
        <v>94,20 %</v>
      </c>
      <c r="Z184" s="106">
        <f>+IFERROR(INDEX('Restaurant Base (Hidden)'!$A$2:$Z$1048576,MATCH($C184,'Restaurant Base (Hidden)'!$C$2:$C$1048576,0),MATCH(Z$6,'Restaurant Base (Hidden)'!$A$1:$Z$1,0)),"")</f>
        <v>4</v>
      </c>
      <c r="AA184" s="65" t="str">
        <f>+IFERROR(INDEX('Restaurant Base (Hidden)'!$A$2:$Z$1048576,MATCH($C184,'Restaurant Base (Hidden)'!$C$2:$C$1048576,0),MATCH(AA$6,'Restaurant Base (Hidden)'!$A$1:$Z$1,0)),"")</f>
        <v>85,60 %</v>
      </c>
      <c r="AB184" s="1">
        <f>+IFERROR(INDEX('Restaurant Base (Hidden)'!$A$2:$Z$1048576,MATCH($C184,'Restaurant Base (Hidden)'!$C$2:$C$1048576,0),MATCH(AB$6,'Restaurant Base (Hidden)'!$A$1:$Z$1,0)),"")</f>
        <v>3</v>
      </c>
      <c r="AC184" s="20" t="str">
        <f>+IFERROR(INDEX('Restaurant Base (Hidden)'!$A$2:$Z$1048576,MATCH($C184,'Restaurant Base (Hidden)'!$C$2:$C$1048576,0),MATCH(AC$6,'Restaurant Base (Hidden)'!$A$1:$Z$1,0)),"")</f>
        <v/>
      </c>
      <c r="AD184" s="65" t="str">
        <f>+IFERROR(INDEX('Restaurant Base (Hidden)'!$A$2:$Z$1048576,MATCH($C184,'Restaurant Base (Hidden)'!$C$2:$C$1048576,0),MATCH(AD$6,'Restaurant Base (Hidden)'!$A$1:$Z$1,0)),"")</f>
        <v>71,50 %</v>
      </c>
      <c r="AE184" s="1">
        <f>+IFERROR(INDEX('Restaurant Base (Hidden)'!$A$2:$Z$1048576,MATCH($C184,'Restaurant Base (Hidden)'!$C$2:$C$1048576,0),MATCH(AE$6,'Restaurant Base (Hidden)'!$A$1:$Z$1,0)),"")</f>
        <v>1</v>
      </c>
      <c r="AF184" s="65" t="str">
        <f>+IFERROR(INDEX('Restaurant Base (Hidden)'!$A$2:$Z$1048576,MATCH($C184,'Restaurant Base (Hidden)'!$C$2:$C$1048576,0),MATCH(AF$6,'Restaurant Base (Hidden)'!$A$1:$Z$1,0)),"")</f>
        <v>75,80 %</v>
      </c>
      <c r="AG184" s="1">
        <f>+IFERROR(INDEX('Restaurant Base (Hidden)'!$A$2:$Z$1048576,MATCH($C184,'Restaurant Base (Hidden)'!$C$2:$C$1048576,0),MATCH(AG$6,'Restaurant Base (Hidden)'!$A$1:$Z$1,0)),"")</f>
        <v>2</v>
      </c>
    </row>
    <row r="185" spans="1:33" x14ac:dyDescent="0.4">
      <c r="A185" s="163" t="str">
        <f>IF('Restaurant Base (Hidden)'!A358=0,"", 'Restaurant Base (Hidden)'!A358)</f>
        <v>Hayden Merriton</v>
      </c>
      <c r="B185" s="163" t="str">
        <f>IF('Restaurant Base (Hidden)'!B358=0,"", 'Restaurant Base (Hidden)'!B358)</f>
        <v>Havenbrook Restaurants</v>
      </c>
      <c r="C185" s="163" t="str">
        <f>IF('Restaurant Base (Hidden)'!C358=0,"", 'Restaurant Base (Hidden)'!C358)</f>
        <v>Glen Commons</v>
      </c>
      <c r="D185" s="104">
        <f t="shared" si="2"/>
        <v>178</v>
      </c>
      <c r="E185" s="105">
        <f>+IFERROR(INDEX('Restaurant Base (Hidden)'!$A$2:$Z$1048576,MATCH($C185,'Restaurant Base (Hidden)'!$C$2:$C$1048576,0),MATCH(E$6,'Restaurant Base (Hidden)'!$A$1:$Z$1,0)),"")</f>
        <v>3.07</v>
      </c>
      <c r="F185" s="2" t="str">
        <f>+IFERROR(INDEX('Restaurant Base (Hidden)'!$A$2:$Z$1048576,MATCH($C185,'Restaurant Base (Hidden)'!$C$2:$C$1048576,0),MATCH(F$6,'Restaurant Base (Hidden)'!$A$1:$Z$1,0)),"")</f>
        <v/>
      </c>
      <c r="G185" s="20" t="str">
        <f>+IFERROR(INDEX('Restaurant Base (Hidden)'!$A$2:$Z$1048576,MATCH($C185,'Restaurant Base (Hidden)'!$C$2:$C$1048576,0),MATCH(G$6,'Restaurant Base (Hidden)'!$A$1:$Z$1,0)),"")</f>
        <v>4,749</v>
      </c>
      <c r="H185" s="50">
        <f>+IFERROR(INDEX('Restaurant Base (Hidden)'!$A$2:$Z$1048576,MATCH($C185,'Restaurant Base (Hidden)'!$C$2:$C$1048576,0),MATCH(H$6,'Restaurant Base (Hidden)'!$A$1:$Z$1,0)),"")</f>
        <v>5</v>
      </c>
      <c r="I185" s="20" t="str">
        <f>+IFERROR(INDEX('Restaurant Base (Hidden)'!$A$2:$Z$1048576,MATCH($C185,'Restaurant Base (Hidden)'!$C$2:$C$1048576,0),MATCH(I$6,'Restaurant Base (Hidden)'!$A$1:$Z$1,0)),"")</f>
        <v>69,40 %</v>
      </c>
      <c r="J185" s="49">
        <f>+IFERROR(INDEX('Restaurant Base (Hidden)'!$A$2:$Z$1048576,MATCH($C185,'Restaurant Base (Hidden)'!$C$2:$C$1048576,0),MATCH(J$6,'Restaurant Base (Hidden)'!$A$1:$Z$1,0)),"")</f>
        <v>1</v>
      </c>
      <c r="K185" s="20" t="str">
        <f>+IFERROR(INDEX('Restaurant Base (Hidden)'!$A$2:$Z$1048576,MATCH($C185,'Restaurant Base (Hidden)'!$C$2:$C$1048576,0),MATCH(K$6,'Restaurant Base (Hidden)'!$A$1:$Z$1,0)),"")</f>
        <v>0,111</v>
      </c>
      <c r="L185" s="51">
        <f>+IFERROR(INDEX('Restaurant Base (Hidden)'!$A$2:$Z$1048576,MATCH($C185,'Restaurant Base (Hidden)'!$C$2:$C$1048576,0),MATCH(L$6,'Restaurant Base (Hidden)'!$A$1:$Z$1,0)),"")</f>
        <v>3</v>
      </c>
      <c r="M185" s="2" t="str">
        <f>+IFERROR(INDEX('Restaurant Base (Hidden)'!$A$2:$Z$1048576,MATCH($C185,'Restaurant Base (Hidden)'!$C$2:$C$1048576,0),MATCH(M$6,'Restaurant Base (Hidden)'!$A$1:$Z$1,0)),"")</f>
        <v/>
      </c>
      <c r="N185" s="234" t="str">
        <f>+IFERROR(INDEX('Restaurant Base (Hidden)'!$A$2:$Z$1048576,MATCH($C185,'Restaurant Base (Hidden)'!$C$2:$C$1048576,0),MATCH(N$6,'Restaurant Base (Hidden)'!$A$1:$Z$1,0)),"")</f>
        <v>68,10 %</v>
      </c>
      <c r="O185" s="1">
        <f>+IFERROR(INDEX('Restaurant Base (Hidden)'!$A$2:$Z$1048576,MATCH($C185,'Restaurant Base (Hidden)'!$C$2:$C$1048576,0),MATCH(O$6,'Restaurant Base (Hidden)'!$A$1:$Z$1,0)),"")</f>
        <v>4</v>
      </c>
      <c r="P185" s="2" t="str">
        <f>+IFERROR(INDEX('Restaurant Base (Hidden)'!$A$2:$Z$1048576,MATCH($C185,'Restaurant Base (Hidden)'!$C$2:$C$1048576,0),MATCH(P$6,'Restaurant Base (Hidden)'!$A$1:$Z$1,0)),"")</f>
        <v/>
      </c>
      <c r="Q185" s="234" t="str">
        <f>+IFERROR(INDEX('Restaurant Base (Hidden)'!$A$2:$Z$1048576,MATCH($C185,'Restaurant Base (Hidden)'!$C$2:$C$1048576,0),MATCH(Q$6,'Restaurant Base (Hidden)'!$A$1:$Z$1,0)),"")</f>
        <v>79,20 %</v>
      </c>
      <c r="R185" s="1">
        <f>+IFERROR(INDEX('Restaurant Base (Hidden)'!$A$2:$Z$1048576,MATCH($C185,'Restaurant Base (Hidden)'!$C$2:$C$1048576,0),MATCH(R$6,'Restaurant Base (Hidden)'!$A$1:$Z$1,0)),"")</f>
        <v>5</v>
      </c>
      <c r="S185" s="2" t="str">
        <f>+IFERROR(INDEX('Restaurant Base (Hidden)'!$A$2:$Z$1048576,MATCH($C185,'Restaurant Base (Hidden)'!$C$2:$C$1048576,0),MATCH(S$6,'Restaurant Base (Hidden)'!$A$1:$Z$1,0)),"")</f>
        <v/>
      </c>
      <c r="T185" s="62">
        <f>+IFERROR(INDEX('Restaurant Base (Hidden)'!$A$2:$Z$1048576,MATCH($C185,'Restaurant Base (Hidden)'!$C$2:$C$1048576,0),MATCH(T$6,'Restaurant Base (Hidden)'!$A$1:$Z$1,0)),"")</f>
        <v>72.7</v>
      </c>
      <c r="U185" s="1">
        <f>+IFERROR(INDEX('Restaurant Base (Hidden)'!$A$2:$Z$1048576,MATCH($C185,'Restaurant Base (Hidden)'!$C$2:$C$1048576,0),MATCH(U$6,'Restaurant Base (Hidden)'!$A$1:$Z$1,0)),"")</f>
        <v>5</v>
      </c>
      <c r="V185" s="2" t="str">
        <f>+IFERROR(INDEX('Restaurant Base (Hidden)'!$A$2:$Z$1048576,MATCH($C185,'Restaurant Base (Hidden)'!$C$2:$C$1048576,0),MATCH(V$6,'Restaurant Base (Hidden)'!$A$1:$Z$1,0)),"")</f>
        <v/>
      </c>
      <c r="W185" s="65" t="str">
        <f>+IFERROR(INDEX('Restaurant Base (Hidden)'!$A$2:$Z$1048576,MATCH($C185,'Restaurant Base (Hidden)'!$C$2:$C$1048576,0),MATCH(W$6,'Restaurant Base (Hidden)'!$A$1:$Z$1,0)),"")</f>
        <v>67,40 %</v>
      </c>
      <c r="X185" s="1">
        <f>+IFERROR(INDEX('Restaurant Base (Hidden)'!$A$2:$Z$1048576,MATCH($C185,'Restaurant Base (Hidden)'!$C$2:$C$1048576,0),MATCH(X$6,'Restaurant Base (Hidden)'!$A$1:$Z$1,0)),"")</f>
        <v>2</v>
      </c>
      <c r="Y185" s="65" t="str">
        <f>+IFERROR(INDEX('Restaurant Base (Hidden)'!$A$2:$Z$1048576,MATCH($C185,'Restaurant Base (Hidden)'!$C$2:$C$1048576,0),MATCH(Y$6,'Restaurant Base (Hidden)'!$A$1:$Z$1,0)),"")</f>
        <v>84,50 %</v>
      </c>
      <c r="Z185" s="106">
        <f>+IFERROR(INDEX('Restaurant Base (Hidden)'!$A$2:$Z$1048576,MATCH($C185,'Restaurant Base (Hidden)'!$C$2:$C$1048576,0),MATCH(Z$6,'Restaurant Base (Hidden)'!$A$1:$Z$1,0)),"")</f>
        <v>3</v>
      </c>
      <c r="AA185" s="65" t="str">
        <f>+IFERROR(INDEX('Restaurant Base (Hidden)'!$A$2:$Z$1048576,MATCH($C185,'Restaurant Base (Hidden)'!$C$2:$C$1048576,0),MATCH(AA$6,'Restaurant Base (Hidden)'!$A$1:$Z$1,0)),"")</f>
        <v>71,10 %</v>
      </c>
      <c r="AB185" s="1">
        <f>+IFERROR(INDEX('Restaurant Base (Hidden)'!$A$2:$Z$1048576,MATCH($C185,'Restaurant Base (Hidden)'!$C$2:$C$1048576,0),MATCH(AB$6,'Restaurant Base (Hidden)'!$A$1:$Z$1,0)),"")</f>
        <v>2</v>
      </c>
      <c r="AC185" s="20" t="str">
        <f>+IFERROR(INDEX('Restaurant Base (Hidden)'!$A$2:$Z$1048576,MATCH($C185,'Restaurant Base (Hidden)'!$C$2:$C$1048576,0),MATCH(AC$6,'Restaurant Base (Hidden)'!$A$1:$Z$1,0)),"")</f>
        <v/>
      </c>
      <c r="AD185" s="65" t="str">
        <f>+IFERROR(INDEX('Restaurant Base (Hidden)'!$A$2:$Z$1048576,MATCH($C185,'Restaurant Base (Hidden)'!$C$2:$C$1048576,0),MATCH(AD$6,'Restaurant Base (Hidden)'!$A$1:$Z$1,0)),"")</f>
        <v>57,30 %</v>
      </c>
      <c r="AE185" s="1">
        <f>+IFERROR(INDEX('Restaurant Base (Hidden)'!$A$2:$Z$1048576,MATCH($C185,'Restaurant Base (Hidden)'!$C$2:$C$1048576,0),MATCH(AE$6,'Restaurant Base (Hidden)'!$A$1:$Z$1,0)),"")</f>
        <v>1</v>
      </c>
      <c r="AF185" s="65" t="str">
        <f>+IFERROR(INDEX('Restaurant Base (Hidden)'!$A$2:$Z$1048576,MATCH($C185,'Restaurant Base (Hidden)'!$C$2:$C$1048576,0),MATCH(AF$6,'Restaurant Base (Hidden)'!$A$1:$Z$1,0)),"")</f>
        <v>69,80 %</v>
      </c>
      <c r="AG185" s="1">
        <f>+IFERROR(INDEX('Restaurant Base (Hidden)'!$A$2:$Z$1048576,MATCH($C185,'Restaurant Base (Hidden)'!$C$2:$C$1048576,0),MATCH(AG$6,'Restaurant Base (Hidden)'!$A$1:$Z$1,0)),"")</f>
        <v>1</v>
      </c>
    </row>
    <row r="186" spans="1:33" x14ac:dyDescent="0.4">
      <c r="A186" s="163" t="str">
        <f>IF('Restaurant Base (Hidden)'!A40=0,"", 'Restaurant Base (Hidden)'!A40)</f>
        <v>Jamie Northcott</v>
      </c>
      <c r="B186" s="163" t="str">
        <f>IF('Restaurant Base (Hidden)'!B40=0,"", 'Restaurant Base (Hidden)'!B40)</f>
        <v>Elmwood Dining Group</v>
      </c>
      <c r="C186" s="163" t="str">
        <f>IF('Restaurant Base (Hidden)'!C40=0,"", 'Restaurant Base (Hidden)'!C40)</f>
        <v>Highland Crossing</v>
      </c>
      <c r="D186" s="104">
        <f t="shared" si="2"/>
        <v>180</v>
      </c>
      <c r="E186" s="105">
        <f>+IFERROR(INDEX('Restaurant Base (Hidden)'!$A$2:$Z$1048576,MATCH($C186,'Restaurant Base (Hidden)'!$C$2:$C$1048576,0),MATCH(E$6,'Restaurant Base (Hidden)'!$A$1:$Z$1,0)),"")</f>
        <v>3.06</v>
      </c>
      <c r="F186" s="64" t="str">
        <f>+IFERROR(INDEX('Restaurant Base (Hidden)'!$A$2:$Z$1048576,MATCH($C186,'Restaurant Base (Hidden)'!$C$2:$C$1048576,0),MATCH(F$6,'Restaurant Base (Hidden)'!$A$1:$Z$1,0)),"")</f>
        <v/>
      </c>
      <c r="G186" s="20" t="str">
        <f>+IFERROR(INDEX('Restaurant Base (Hidden)'!$A$2:$Z$1048576,MATCH($C186,'Restaurant Base (Hidden)'!$C$2:$C$1048576,0),MATCH(G$6,'Restaurant Base (Hidden)'!$A$1:$Z$1,0)),"")</f>
        <v>4,111</v>
      </c>
      <c r="H186" s="50">
        <f>+IFERROR(INDEX('Restaurant Base (Hidden)'!$A$2:$Z$1048576,MATCH($C186,'Restaurant Base (Hidden)'!$C$2:$C$1048576,0),MATCH(H$6,'Restaurant Base (Hidden)'!$A$1:$Z$1,0)),"")</f>
        <v>2</v>
      </c>
      <c r="I186" s="20" t="str">
        <f>+IFERROR(INDEX('Restaurant Base (Hidden)'!$A$2:$Z$1048576,MATCH($C186,'Restaurant Base (Hidden)'!$C$2:$C$1048576,0),MATCH(I$6,'Restaurant Base (Hidden)'!$A$1:$Z$1,0)),"")</f>
        <v>84,90 %</v>
      </c>
      <c r="J186" s="49">
        <f>+IFERROR(INDEX('Restaurant Base (Hidden)'!$A$2:$Z$1048576,MATCH($C186,'Restaurant Base (Hidden)'!$C$2:$C$1048576,0),MATCH(J$6,'Restaurant Base (Hidden)'!$A$1:$Z$1,0)),"")</f>
        <v>3</v>
      </c>
      <c r="K186" s="20" t="str">
        <f>+IFERROR(INDEX('Restaurant Base (Hidden)'!$A$2:$Z$1048576,MATCH($C186,'Restaurant Base (Hidden)'!$C$2:$C$1048576,0),MATCH(K$6,'Restaurant Base (Hidden)'!$A$1:$Z$1,0)),"")</f>
        <v>0,043</v>
      </c>
      <c r="L186" s="51">
        <f>+IFERROR(INDEX('Restaurant Base (Hidden)'!$A$2:$Z$1048576,MATCH($C186,'Restaurant Base (Hidden)'!$C$2:$C$1048576,0),MATCH(L$6,'Restaurant Base (Hidden)'!$A$1:$Z$1,0)),"")</f>
        <v>5</v>
      </c>
      <c r="M186" s="2" t="str">
        <f>+IFERROR(INDEX('Restaurant Base (Hidden)'!$A$2:$Z$1048576,MATCH($C186,'Restaurant Base (Hidden)'!$C$2:$C$1048576,0),MATCH(M$6,'Restaurant Base (Hidden)'!$A$1:$Z$1,0)),"")</f>
        <v/>
      </c>
      <c r="N186" s="234" t="str">
        <f>+IFERROR(INDEX('Restaurant Base (Hidden)'!$A$2:$Z$1048576,MATCH($C186,'Restaurant Base (Hidden)'!$C$2:$C$1048576,0),MATCH(N$6,'Restaurant Base (Hidden)'!$A$1:$Z$1,0)),"")</f>
        <v>77,00 %</v>
      </c>
      <c r="O186" s="1">
        <f>+IFERROR(INDEX('Restaurant Base (Hidden)'!$A$2:$Z$1048576,MATCH($C186,'Restaurant Base (Hidden)'!$C$2:$C$1048576,0),MATCH(O$6,'Restaurant Base (Hidden)'!$A$1:$Z$1,0)),"")</f>
        <v>5</v>
      </c>
      <c r="P186" s="2" t="str">
        <f>+IFERROR(INDEX('Restaurant Base (Hidden)'!$A$2:$Z$1048576,MATCH($C186,'Restaurant Base (Hidden)'!$C$2:$C$1048576,0),MATCH(P$6,'Restaurant Base (Hidden)'!$A$1:$Z$1,0)),"")</f>
        <v/>
      </c>
      <c r="Q186" s="234" t="str">
        <f>+IFERROR(INDEX('Restaurant Base (Hidden)'!$A$2:$Z$1048576,MATCH($C186,'Restaurant Base (Hidden)'!$C$2:$C$1048576,0),MATCH(Q$6,'Restaurant Base (Hidden)'!$A$1:$Z$1,0)),"")</f>
        <v>58,60 %</v>
      </c>
      <c r="R186" s="1">
        <f>+IFERROR(INDEX('Restaurant Base (Hidden)'!$A$2:$Z$1048576,MATCH($C186,'Restaurant Base (Hidden)'!$C$2:$C$1048576,0),MATCH(R$6,'Restaurant Base (Hidden)'!$A$1:$Z$1,0)),"")</f>
        <v>1</v>
      </c>
      <c r="S186" s="2" t="str">
        <f>+IFERROR(INDEX('Restaurant Base (Hidden)'!$A$2:$Z$1048576,MATCH($C186,'Restaurant Base (Hidden)'!$C$2:$C$1048576,0),MATCH(S$6,'Restaurant Base (Hidden)'!$A$1:$Z$1,0)),"")</f>
        <v/>
      </c>
      <c r="T186" s="62">
        <f>+IFERROR(INDEX('Restaurant Base (Hidden)'!$A$2:$Z$1048576,MATCH($C186,'Restaurant Base (Hidden)'!$C$2:$C$1048576,0),MATCH(T$6,'Restaurant Base (Hidden)'!$A$1:$Z$1,0)),"")</f>
        <v>72.5</v>
      </c>
      <c r="U186" s="1">
        <f>+IFERROR(INDEX('Restaurant Base (Hidden)'!$A$2:$Z$1048576,MATCH($C186,'Restaurant Base (Hidden)'!$C$2:$C$1048576,0),MATCH(U$6,'Restaurant Base (Hidden)'!$A$1:$Z$1,0)),"")</f>
        <v>5</v>
      </c>
      <c r="V186" s="2" t="str">
        <f>+IFERROR(INDEX('Restaurant Base (Hidden)'!$A$2:$Z$1048576,MATCH($C186,'Restaurant Base (Hidden)'!$C$2:$C$1048576,0),MATCH(V$6,'Restaurant Base (Hidden)'!$A$1:$Z$1,0)),"")</f>
        <v/>
      </c>
      <c r="W186" s="65" t="str">
        <f>+IFERROR(INDEX('Restaurant Base (Hidden)'!$A$2:$Z$1048576,MATCH($C186,'Restaurant Base (Hidden)'!$C$2:$C$1048576,0),MATCH(W$6,'Restaurant Base (Hidden)'!$A$1:$Z$1,0)),"")</f>
        <v>80,90 %</v>
      </c>
      <c r="X186" s="1">
        <f>+IFERROR(INDEX('Restaurant Base (Hidden)'!$A$2:$Z$1048576,MATCH($C186,'Restaurant Base (Hidden)'!$C$2:$C$1048576,0),MATCH(X$6,'Restaurant Base (Hidden)'!$A$1:$Z$1,0)),"")</f>
        <v>3</v>
      </c>
      <c r="Y186" s="65" t="str">
        <f>+IFERROR(INDEX('Restaurant Base (Hidden)'!$A$2:$Z$1048576,MATCH($C186,'Restaurant Base (Hidden)'!$C$2:$C$1048576,0),MATCH(Y$6,'Restaurant Base (Hidden)'!$A$1:$Z$1,0)),"")</f>
        <v>63,50 %</v>
      </c>
      <c r="Z186" s="106">
        <f>+IFERROR(INDEX('Restaurant Base (Hidden)'!$A$2:$Z$1048576,MATCH($C186,'Restaurant Base (Hidden)'!$C$2:$C$1048576,0),MATCH(Z$6,'Restaurant Base (Hidden)'!$A$1:$Z$1,0)),"")</f>
        <v>2</v>
      </c>
      <c r="AA186" s="65" t="str">
        <f>+IFERROR(INDEX('Restaurant Base (Hidden)'!$A$2:$Z$1048576,MATCH($C186,'Restaurant Base (Hidden)'!$C$2:$C$1048576,0),MATCH(AA$6,'Restaurant Base (Hidden)'!$A$1:$Z$1,0)),"")</f>
        <v>67,20 %</v>
      </c>
      <c r="AB186" s="1">
        <f>+IFERROR(INDEX('Restaurant Base (Hidden)'!$A$2:$Z$1048576,MATCH($C186,'Restaurant Base (Hidden)'!$C$2:$C$1048576,0),MATCH(AB$6,'Restaurant Base (Hidden)'!$A$1:$Z$1,0)),"")</f>
        <v>2</v>
      </c>
      <c r="AC186" s="20" t="str">
        <f>+IFERROR(INDEX('Restaurant Base (Hidden)'!$A$2:$Z$1048576,MATCH($C186,'Restaurant Base (Hidden)'!$C$2:$C$1048576,0),MATCH(AC$6,'Restaurant Base (Hidden)'!$A$1:$Z$1,0)),"")</f>
        <v/>
      </c>
      <c r="AD186" s="65" t="str">
        <f>+IFERROR(INDEX('Restaurant Base (Hidden)'!$A$2:$Z$1048576,MATCH($C186,'Restaurant Base (Hidden)'!$C$2:$C$1048576,0),MATCH(AD$6,'Restaurant Base (Hidden)'!$A$1:$Z$1,0)),"")</f>
        <v>81,70 %</v>
      </c>
      <c r="AE186" s="1">
        <f>+IFERROR(INDEX('Restaurant Base (Hidden)'!$A$2:$Z$1048576,MATCH($C186,'Restaurant Base (Hidden)'!$C$2:$C$1048576,0),MATCH(AE$6,'Restaurant Base (Hidden)'!$A$1:$Z$1,0)),"")</f>
        <v>2</v>
      </c>
      <c r="AF186" s="65" t="str">
        <f>+IFERROR(INDEX('Restaurant Base (Hidden)'!$A$2:$Z$1048576,MATCH($C186,'Restaurant Base (Hidden)'!$C$2:$C$1048576,0),MATCH(AF$6,'Restaurant Base (Hidden)'!$A$1:$Z$1,0)),"")</f>
        <v>89,00 %</v>
      </c>
      <c r="AG186" s="1">
        <f>+IFERROR(INDEX('Restaurant Base (Hidden)'!$A$2:$Z$1048576,MATCH($C186,'Restaurant Base (Hidden)'!$C$2:$C$1048576,0),MATCH(AG$6,'Restaurant Base (Hidden)'!$A$1:$Z$1,0)),"")</f>
        <v>3</v>
      </c>
    </row>
    <row r="187" spans="1:33" x14ac:dyDescent="0.4">
      <c r="A187" s="163" t="str">
        <f>IF('Restaurant Base (Hidden)'!A84=0,"", 'Restaurant Base (Hidden)'!A84)</f>
        <v>Dakota Cavendish</v>
      </c>
      <c r="B187" s="163" t="str">
        <f>IF('Restaurant Base (Hidden)'!B84=0,"", 'Restaurant Base (Hidden)'!B84)</f>
        <v>Silverline Hospitality</v>
      </c>
      <c r="C187" s="163" t="str">
        <f>IF('Restaurant Base (Hidden)'!C84=0,"", 'Restaurant Base (Hidden)'!C84)</f>
        <v>Elm Crossing</v>
      </c>
      <c r="D187" s="104">
        <f t="shared" si="2"/>
        <v>180</v>
      </c>
      <c r="E187" s="105">
        <f>+IFERROR(INDEX('Restaurant Base (Hidden)'!$A$2:$Z$1048576,MATCH($C187,'Restaurant Base (Hidden)'!$C$2:$C$1048576,0),MATCH(E$6,'Restaurant Base (Hidden)'!$A$1:$Z$1,0)),"")</f>
        <v>3.06</v>
      </c>
      <c r="F187" s="2" t="str">
        <f>+IFERROR(INDEX('Restaurant Base (Hidden)'!$A$2:$Z$1048576,MATCH($C187,'Restaurant Base (Hidden)'!$C$2:$C$1048576,0),MATCH(F$6,'Restaurant Base (Hidden)'!$A$1:$Z$1,0)),"")</f>
        <v/>
      </c>
      <c r="G187" s="20" t="str">
        <f>+IFERROR(INDEX('Restaurant Base (Hidden)'!$A$2:$Z$1048576,MATCH($C187,'Restaurant Base (Hidden)'!$C$2:$C$1048576,0),MATCH(G$6,'Restaurant Base (Hidden)'!$A$1:$Z$1,0)),"")</f>
        <v>4,074</v>
      </c>
      <c r="H187" s="50">
        <f>+IFERROR(INDEX('Restaurant Base (Hidden)'!$A$2:$Z$1048576,MATCH($C187,'Restaurant Base (Hidden)'!$C$2:$C$1048576,0),MATCH(H$6,'Restaurant Base (Hidden)'!$A$1:$Z$1,0)),"")</f>
        <v>2</v>
      </c>
      <c r="I187" s="20" t="str">
        <f>+IFERROR(INDEX('Restaurant Base (Hidden)'!$A$2:$Z$1048576,MATCH($C187,'Restaurant Base (Hidden)'!$C$2:$C$1048576,0),MATCH(I$6,'Restaurant Base (Hidden)'!$A$1:$Z$1,0)),"")</f>
        <v>93,10 %</v>
      </c>
      <c r="J187" s="49">
        <f>+IFERROR(INDEX('Restaurant Base (Hidden)'!$A$2:$Z$1048576,MATCH($C187,'Restaurant Base (Hidden)'!$C$2:$C$1048576,0),MATCH(J$6,'Restaurant Base (Hidden)'!$A$1:$Z$1,0)),"")</f>
        <v>4</v>
      </c>
      <c r="K187" s="20" t="str">
        <f>+IFERROR(INDEX('Restaurant Base (Hidden)'!$A$2:$Z$1048576,MATCH($C187,'Restaurant Base (Hidden)'!$C$2:$C$1048576,0),MATCH(K$6,'Restaurant Base (Hidden)'!$A$1:$Z$1,0)),"")</f>
        <v>0,117</v>
      </c>
      <c r="L187" s="51">
        <f>+IFERROR(INDEX('Restaurant Base (Hidden)'!$A$2:$Z$1048576,MATCH($C187,'Restaurant Base (Hidden)'!$C$2:$C$1048576,0),MATCH(L$6,'Restaurant Base (Hidden)'!$A$1:$Z$1,0)),"")</f>
        <v>3</v>
      </c>
      <c r="M187" s="2" t="str">
        <f>+IFERROR(INDEX('Restaurant Base (Hidden)'!$A$2:$Z$1048576,MATCH($C187,'Restaurant Base (Hidden)'!$C$2:$C$1048576,0),MATCH(M$6,'Restaurant Base (Hidden)'!$A$1:$Z$1,0)),"")</f>
        <v/>
      </c>
      <c r="N187" s="234" t="str">
        <f>+IFERROR(INDEX('Restaurant Base (Hidden)'!$A$2:$Z$1048576,MATCH($C187,'Restaurant Base (Hidden)'!$C$2:$C$1048576,0),MATCH(N$6,'Restaurant Base (Hidden)'!$A$1:$Z$1,0)),"")</f>
        <v>93,10 %</v>
      </c>
      <c r="O187" s="1">
        <f>+IFERROR(INDEX('Restaurant Base (Hidden)'!$A$2:$Z$1048576,MATCH($C187,'Restaurant Base (Hidden)'!$C$2:$C$1048576,0),MATCH(O$6,'Restaurant Base (Hidden)'!$A$1:$Z$1,0)),"")</f>
        <v>5</v>
      </c>
      <c r="P187" s="2" t="str">
        <f>+IFERROR(INDEX('Restaurant Base (Hidden)'!$A$2:$Z$1048576,MATCH($C187,'Restaurant Base (Hidden)'!$C$2:$C$1048576,0),MATCH(P$6,'Restaurant Base (Hidden)'!$A$1:$Z$1,0)),"")</f>
        <v/>
      </c>
      <c r="Q187" s="234" t="str">
        <f>+IFERROR(INDEX('Restaurant Base (Hidden)'!$A$2:$Z$1048576,MATCH($C187,'Restaurant Base (Hidden)'!$C$2:$C$1048576,0),MATCH(Q$6,'Restaurant Base (Hidden)'!$A$1:$Z$1,0)),"")</f>
        <v>58,40 %</v>
      </c>
      <c r="R187" s="1">
        <f>+IFERROR(INDEX('Restaurant Base (Hidden)'!$A$2:$Z$1048576,MATCH($C187,'Restaurant Base (Hidden)'!$C$2:$C$1048576,0),MATCH(R$6,'Restaurant Base (Hidden)'!$A$1:$Z$1,0)),"")</f>
        <v>1</v>
      </c>
      <c r="S187" s="2" t="str">
        <f>+IFERROR(INDEX('Restaurant Base (Hidden)'!$A$2:$Z$1048576,MATCH($C187,'Restaurant Base (Hidden)'!$C$2:$C$1048576,0),MATCH(S$6,'Restaurant Base (Hidden)'!$A$1:$Z$1,0)),"")</f>
        <v/>
      </c>
      <c r="T187" s="62">
        <f>+IFERROR(INDEX('Restaurant Base (Hidden)'!$A$2:$Z$1048576,MATCH($C187,'Restaurant Base (Hidden)'!$C$2:$C$1048576,0),MATCH(T$6,'Restaurant Base (Hidden)'!$A$1:$Z$1,0)),"")</f>
        <v>70</v>
      </c>
      <c r="U187" s="1">
        <f>+IFERROR(INDEX('Restaurant Base (Hidden)'!$A$2:$Z$1048576,MATCH($C187,'Restaurant Base (Hidden)'!$C$2:$C$1048576,0),MATCH(U$6,'Restaurant Base (Hidden)'!$A$1:$Z$1,0)),"")</f>
        <v>5</v>
      </c>
      <c r="V187" s="2" t="str">
        <f>+IFERROR(INDEX('Restaurant Base (Hidden)'!$A$2:$Z$1048576,MATCH($C187,'Restaurant Base (Hidden)'!$C$2:$C$1048576,0),MATCH(V$6,'Restaurant Base (Hidden)'!$A$1:$Z$1,0)),"")</f>
        <v/>
      </c>
      <c r="W187" s="65" t="str">
        <f>+IFERROR(INDEX('Restaurant Base (Hidden)'!$A$2:$Z$1048576,MATCH($C187,'Restaurant Base (Hidden)'!$C$2:$C$1048576,0),MATCH(W$6,'Restaurant Base (Hidden)'!$A$1:$Z$1,0)),"")</f>
        <v>92,30 %</v>
      </c>
      <c r="X187" s="1">
        <f>+IFERROR(INDEX('Restaurant Base (Hidden)'!$A$2:$Z$1048576,MATCH($C187,'Restaurant Base (Hidden)'!$C$2:$C$1048576,0),MATCH(X$6,'Restaurant Base (Hidden)'!$A$1:$Z$1,0)),"")</f>
        <v>4</v>
      </c>
      <c r="Y187" s="65" t="str">
        <f>+IFERROR(INDEX('Restaurant Base (Hidden)'!$A$2:$Z$1048576,MATCH($C187,'Restaurant Base (Hidden)'!$C$2:$C$1048576,0),MATCH(Y$6,'Restaurant Base (Hidden)'!$A$1:$Z$1,0)),"")</f>
        <v>82,90 %</v>
      </c>
      <c r="Z187" s="106">
        <f>+IFERROR(INDEX('Restaurant Base (Hidden)'!$A$2:$Z$1048576,MATCH($C187,'Restaurant Base (Hidden)'!$C$2:$C$1048576,0),MATCH(Z$6,'Restaurant Base (Hidden)'!$A$1:$Z$1,0)),"")</f>
        <v>3</v>
      </c>
      <c r="AA187" s="65" t="str">
        <f>+IFERROR(INDEX('Restaurant Base (Hidden)'!$A$2:$Z$1048576,MATCH($C187,'Restaurant Base (Hidden)'!$C$2:$C$1048576,0),MATCH(AA$6,'Restaurant Base (Hidden)'!$A$1:$Z$1,0)),"")</f>
        <v>69,30 %</v>
      </c>
      <c r="AB187" s="1">
        <f>+IFERROR(INDEX('Restaurant Base (Hidden)'!$A$2:$Z$1048576,MATCH($C187,'Restaurant Base (Hidden)'!$C$2:$C$1048576,0),MATCH(AB$6,'Restaurant Base (Hidden)'!$A$1:$Z$1,0)),"")</f>
        <v>2</v>
      </c>
      <c r="AC187" s="20" t="str">
        <f>+IFERROR(INDEX('Restaurant Base (Hidden)'!$A$2:$Z$1048576,MATCH($C187,'Restaurant Base (Hidden)'!$C$2:$C$1048576,0),MATCH(AC$6,'Restaurant Base (Hidden)'!$A$1:$Z$1,0)),"")</f>
        <v/>
      </c>
      <c r="AD187" s="65" t="str">
        <f>+IFERROR(INDEX('Restaurant Base (Hidden)'!$A$2:$Z$1048576,MATCH($C187,'Restaurant Base (Hidden)'!$C$2:$C$1048576,0),MATCH(AD$6,'Restaurant Base (Hidden)'!$A$1:$Z$1,0)),"")</f>
        <v>79,70 %</v>
      </c>
      <c r="AE187" s="1">
        <f>+IFERROR(INDEX('Restaurant Base (Hidden)'!$A$2:$Z$1048576,MATCH($C187,'Restaurant Base (Hidden)'!$C$2:$C$1048576,0),MATCH(AE$6,'Restaurant Base (Hidden)'!$A$1:$Z$1,0)),"")</f>
        <v>2</v>
      </c>
      <c r="AF187" s="65" t="str">
        <f>+IFERROR(INDEX('Restaurant Base (Hidden)'!$A$2:$Z$1048576,MATCH($C187,'Restaurant Base (Hidden)'!$C$2:$C$1048576,0),MATCH(AF$6,'Restaurant Base (Hidden)'!$A$1:$Z$1,0)),"")</f>
        <v>76,60 %</v>
      </c>
      <c r="AG187" s="1">
        <f>+IFERROR(INDEX('Restaurant Base (Hidden)'!$A$2:$Z$1048576,MATCH($C187,'Restaurant Base (Hidden)'!$C$2:$C$1048576,0),MATCH(AG$6,'Restaurant Base (Hidden)'!$A$1:$Z$1,0)),"")</f>
        <v>2</v>
      </c>
    </row>
    <row r="188" spans="1:33" x14ac:dyDescent="0.4">
      <c r="A188" s="163" t="str">
        <f>IF('Restaurant Base (Hidden)'!A130=0,"", 'Restaurant Base (Hidden)'!A130)</f>
        <v>Logan Redford</v>
      </c>
      <c r="B188" s="163" t="str">
        <f>IF('Restaurant Base (Hidden)'!B130=0,"", 'Restaurant Base (Hidden)'!B130)</f>
        <v>Evercrest Restaurants</v>
      </c>
      <c r="C188" s="163" t="str">
        <f>IF('Restaurant Base (Hidden)'!C130=0,"", 'Restaurant Base (Hidden)'!C130)</f>
        <v>Eagle Junction</v>
      </c>
      <c r="D188" s="104">
        <f t="shared" si="2"/>
        <v>180</v>
      </c>
      <c r="E188" s="105">
        <f>+IFERROR(INDEX('Restaurant Base (Hidden)'!$A$2:$Z$1048576,MATCH($C188,'Restaurant Base (Hidden)'!$C$2:$C$1048576,0),MATCH(E$6,'Restaurant Base (Hidden)'!$A$1:$Z$1,0)),"")</f>
        <v>3.06</v>
      </c>
      <c r="F188" s="2" t="str">
        <f>+IFERROR(INDEX('Restaurant Base (Hidden)'!$A$2:$Z$1048576,MATCH($C188,'Restaurant Base (Hidden)'!$C$2:$C$1048576,0),MATCH(F$6,'Restaurant Base (Hidden)'!$A$1:$Z$1,0)),"")</f>
        <v/>
      </c>
      <c r="G188" s="20" t="str">
        <f>+IFERROR(INDEX('Restaurant Base (Hidden)'!$A$2:$Z$1048576,MATCH($C188,'Restaurant Base (Hidden)'!$C$2:$C$1048576,0),MATCH(G$6,'Restaurant Base (Hidden)'!$A$1:$Z$1,0)),"")</f>
        <v>4,698</v>
      </c>
      <c r="H188" s="50">
        <f>+IFERROR(INDEX('Restaurant Base (Hidden)'!$A$2:$Z$1048576,MATCH($C188,'Restaurant Base (Hidden)'!$C$2:$C$1048576,0),MATCH(H$6,'Restaurant Base (Hidden)'!$A$1:$Z$1,0)),"")</f>
        <v>5</v>
      </c>
      <c r="I188" s="20" t="str">
        <f>+IFERROR(INDEX('Restaurant Base (Hidden)'!$A$2:$Z$1048576,MATCH($C188,'Restaurant Base (Hidden)'!$C$2:$C$1048576,0),MATCH(I$6,'Restaurant Base (Hidden)'!$A$1:$Z$1,0)),"")</f>
        <v>87,70 %</v>
      </c>
      <c r="J188" s="49">
        <f>+IFERROR(INDEX('Restaurant Base (Hidden)'!$A$2:$Z$1048576,MATCH($C188,'Restaurant Base (Hidden)'!$C$2:$C$1048576,0),MATCH(J$6,'Restaurant Base (Hidden)'!$A$1:$Z$1,0)),"")</f>
        <v>3</v>
      </c>
      <c r="K188" s="20" t="str">
        <f>+IFERROR(INDEX('Restaurant Base (Hidden)'!$A$2:$Z$1048576,MATCH($C188,'Restaurant Base (Hidden)'!$C$2:$C$1048576,0),MATCH(K$6,'Restaurant Base (Hidden)'!$A$1:$Z$1,0)),"")</f>
        <v>0,059</v>
      </c>
      <c r="L188" s="51">
        <f>+IFERROR(INDEX('Restaurant Base (Hidden)'!$A$2:$Z$1048576,MATCH($C188,'Restaurant Base (Hidden)'!$C$2:$C$1048576,0),MATCH(L$6,'Restaurant Base (Hidden)'!$A$1:$Z$1,0)),"")</f>
        <v>5</v>
      </c>
      <c r="M188" s="2" t="str">
        <f>+IFERROR(INDEX('Restaurant Base (Hidden)'!$A$2:$Z$1048576,MATCH($C188,'Restaurant Base (Hidden)'!$C$2:$C$1048576,0),MATCH(M$6,'Restaurant Base (Hidden)'!$A$1:$Z$1,0)),"")</f>
        <v/>
      </c>
      <c r="N188" s="234" t="str">
        <f>+IFERROR(INDEX('Restaurant Base (Hidden)'!$A$2:$Z$1048576,MATCH($C188,'Restaurant Base (Hidden)'!$C$2:$C$1048576,0),MATCH(N$6,'Restaurant Base (Hidden)'!$A$1:$Z$1,0)),"")</f>
        <v>91,30 %</v>
      </c>
      <c r="O188" s="1">
        <f>+IFERROR(INDEX('Restaurant Base (Hidden)'!$A$2:$Z$1048576,MATCH($C188,'Restaurant Base (Hidden)'!$C$2:$C$1048576,0),MATCH(O$6,'Restaurant Base (Hidden)'!$A$1:$Z$1,0)),"")</f>
        <v>5</v>
      </c>
      <c r="P188" s="2" t="str">
        <f>+IFERROR(INDEX('Restaurant Base (Hidden)'!$A$2:$Z$1048576,MATCH($C188,'Restaurant Base (Hidden)'!$C$2:$C$1048576,0),MATCH(P$6,'Restaurant Base (Hidden)'!$A$1:$Z$1,0)),"")</f>
        <v/>
      </c>
      <c r="Q188" s="234" t="str">
        <f>+IFERROR(INDEX('Restaurant Base (Hidden)'!$A$2:$Z$1048576,MATCH($C188,'Restaurant Base (Hidden)'!$C$2:$C$1048576,0),MATCH(Q$6,'Restaurant Base (Hidden)'!$A$1:$Z$1,0)),"")</f>
        <v>59,60 %</v>
      </c>
      <c r="R188" s="1">
        <f>+IFERROR(INDEX('Restaurant Base (Hidden)'!$A$2:$Z$1048576,MATCH($C188,'Restaurant Base (Hidden)'!$C$2:$C$1048576,0),MATCH(R$6,'Restaurant Base (Hidden)'!$A$1:$Z$1,0)),"")</f>
        <v>1</v>
      </c>
      <c r="S188" s="2" t="str">
        <f>+IFERROR(INDEX('Restaurant Base (Hidden)'!$A$2:$Z$1048576,MATCH($C188,'Restaurant Base (Hidden)'!$C$2:$C$1048576,0),MATCH(S$6,'Restaurant Base (Hidden)'!$A$1:$Z$1,0)),"")</f>
        <v/>
      </c>
      <c r="T188" s="62">
        <f>+IFERROR(INDEX('Restaurant Base (Hidden)'!$A$2:$Z$1048576,MATCH($C188,'Restaurant Base (Hidden)'!$C$2:$C$1048576,0),MATCH(T$6,'Restaurant Base (Hidden)'!$A$1:$Z$1,0)),"")</f>
        <v>71.099999999999994</v>
      </c>
      <c r="U188" s="1">
        <f>+IFERROR(INDEX('Restaurant Base (Hidden)'!$A$2:$Z$1048576,MATCH($C188,'Restaurant Base (Hidden)'!$C$2:$C$1048576,0),MATCH(U$6,'Restaurant Base (Hidden)'!$A$1:$Z$1,0)),"")</f>
        <v>5</v>
      </c>
      <c r="V188" s="2" t="str">
        <f>+IFERROR(INDEX('Restaurant Base (Hidden)'!$A$2:$Z$1048576,MATCH($C188,'Restaurant Base (Hidden)'!$C$2:$C$1048576,0),MATCH(V$6,'Restaurant Base (Hidden)'!$A$1:$Z$1,0)),"")</f>
        <v/>
      </c>
      <c r="W188" s="65" t="str">
        <f>+IFERROR(INDEX('Restaurant Base (Hidden)'!$A$2:$Z$1048576,MATCH($C188,'Restaurant Base (Hidden)'!$C$2:$C$1048576,0),MATCH(W$6,'Restaurant Base (Hidden)'!$A$1:$Z$1,0)),"")</f>
        <v>76,80 %</v>
      </c>
      <c r="X188" s="1">
        <f>+IFERROR(INDEX('Restaurant Base (Hidden)'!$A$2:$Z$1048576,MATCH($C188,'Restaurant Base (Hidden)'!$C$2:$C$1048576,0),MATCH(X$6,'Restaurant Base (Hidden)'!$A$1:$Z$1,0)),"")</f>
        <v>2</v>
      </c>
      <c r="Y188" s="65" t="str">
        <f>+IFERROR(INDEX('Restaurant Base (Hidden)'!$A$2:$Z$1048576,MATCH($C188,'Restaurant Base (Hidden)'!$C$2:$C$1048576,0),MATCH(Y$6,'Restaurant Base (Hidden)'!$A$1:$Z$1,0)),"")</f>
        <v>58,30 %</v>
      </c>
      <c r="Z188" s="106">
        <f>+IFERROR(INDEX('Restaurant Base (Hidden)'!$A$2:$Z$1048576,MATCH($C188,'Restaurant Base (Hidden)'!$C$2:$C$1048576,0),MATCH(Z$6,'Restaurant Base (Hidden)'!$A$1:$Z$1,0)),"")</f>
        <v>1</v>
      </c>
      <c r="AA188" s="65" t="str">
        <f>+IFERROR(INDEX('Restaurant Base (Hidden)'!$A$2:$Z$1048576,MATCH($C188,'Restaurant Base (Hidden)'!$C$2:$C$1048576,0),MATCH(AA$6,'Restaurant Base (Hidden)'!$A$1:$Z$1,0)),"")</f>
        <v>95,50 %</v>
      </c>
      <c r="AB188" s="1">
        <f>+IFERROR(INDEX('Restaurant Base (Hidden)'!$A$2:$Z$1048576,MATCH($C188,'Restaurant Base (Hidden)'!$C$2:$C$1048576,0),MATCH(AB$6,'Restaurant Base (Hidden)'!$A$1:$Z$1,0)),"")</f>
        <v>3</v>
      </c>
      <c r="AC188" s="20" t="str">
        <f>+IFERROR(INDEX('Restaurant Base (Hidden)'!$A$2:$Z$1048576,MATCH($C188,'Restaurant Base (Hidden)'!$C$2:$C$1048576,0),MATCH(AC$6,'Restaurant Base (Hidden)'!$A$1:$Z$1,0)),"")</f>
        <v/>
      </c>
      <c r="AD188" s="65" t="str">
        <f>+IFERROR(INDEX('Restaurant Base (Hidden)'!$A$2:$Z$1048576,MATCH($C188,'Restaurant Base (Hidden)'!$C$2:$C$1048576,0),MATCH(AD$6,'Restaurant Base (Hidden)'!$A$1:$Z$1,0)),"")</f>
        <v>76,40 %</v>
      </c>
      <c r="AE188" s="1">
        <f>+IFERROR(INDEX('Restaurant Base (Hidden)'!$A$2:$Z$1048576,MATCH($C188,'Restaurant Base (Hidden)'!$C$2:$C$1048576,0),MATCH(AE$6,'Restaurant Base (Hidden)'!$A$1:$Z$1,0)),"")</f>
        <v>2</v>
      </c>
      <c r="AF188" s="65" t="str">
        <f>+IFERROR(INDEX('Restaurant Base (Hidden)'!$A$2:$Z$1048576,MATCH($C188,'Restaurant Base (Hidden)'!$C$2:$C$1048576,0),MATCH(AF$6,'Restaurant Base (Hidden)'!$A$1:$Z$1,0)),"")</f>
        <v>74,80 %</v>
      </c>
      <c r="AG188" s="1">
        <f>+IFERROR(INDEX('Restaurant Base (Hidden)'!$A$2:$Z$1048576,MATCH($C188,'Restaurant Base (Hidden)'!$C$2:$C$1048576,0),MATCH(AG$6,'Restaurant Base (Hidden)'!$A$1:$Z$1,0)),"")</f>
        <v>1</v>
      </c>
    </row>
    <row r="189" spans="1:33" x14ac:dyDescent="0.4">
      <c r="A189" s="163" t="str">
        <f>IF('Restaurant Base (Hidden)'!A212=0,"", 'Restaurant Base (Hidden)'!A212)</f>
        <v>Harper Langford</v>
      </c>
      <c r="B189" s="163" t="str">
        <f>IF('Restaurant Base (Hidden)'!B212=0,"", 'Restaurant Base (Hidden)'!B212)</f>
        <v>Kingswell Food Partners</v>
      </c>
      <c r="C189" s="163" t="str">
        <f>IF('Restaurant Base (Hidden)'!C212=0,"", 'Restaurant Base (Hidden)'!C212)</f>
        <v>Liberty Junction</v>
      </c>
      <c r="D189" s="104">
        <f t="shared" si="2"/>
        <v>180</v>
      </c>
      <c r="E189" s="105">
        <f>+IFERROR(INDEX('Restaurant Base (Hidden)'!$A$2:$Z$1048576,MATCH($C189,'Restaurant Base (Hidden)'!$C$2:$C$1048576,0),MATCH(E$6,'Restaurant Base (Hidden)'!$A$1:$Z$1,0)),"")</f>
        <v>3.06</v>
      </c>
      <c r="F189" s="2" t="str">
        <f>+IFERROR(INDEX('Restaurant Base (Hidden)'!$A$2:$Z$1048576,MATCH($C189,'Restaurant Base (Hidden)'!$C$2:$C$1048576,0),MATCH(F$6,'Restaurant Base (Hidden)'!$A$1:$Z$1,0)),"")</f>
        <v/>
      </c>
      <c r="G189" s="20" t="str">
        <f>+IFERROR(INDEX('Restaurant Base (Hidden)'!$A$2:$Z$1048576,MATCH($C189,'Restaurant Base (Hidden)'!$C$2:$C$1048576,0),MATCH(G$6,'Restaurant Base (Hidden)'!$A$1:$Z$1,0)),"")</f>
        <v>4,320</v>
      </c>
      <c r="H189" s="50">
        <f>+IFERROR(INDEX('Restaurant Base (Hidden)'!$A$2:$Z$1048576,MATCH($C189,'Restaurant Base (Hidden)'!$C$2:$C$1048576,0),MATCH(H$6,'Restaurant Base (Hidden)'!$A$1:$Z$1,0)),"")</f>
        <v>3</v>
      </c>
      <c r="I189" s="20" t="str">
        <f>+IFERROR(INDEX('Restaurant Base (Hidden)'!$A$2:$Z$1048576,MATCH($C189,'Restaurant Base (Hidden)'!$C$2:$C$1048576,0),MATCH(I$6,'Restaurant Base (Hidden)'!$A$1:$Z$1,0)),"")</f>
        <v>86,80 %</v>
      </c>
      <c r="J189" s="49">
        <f>+IFERROR(INDEX('Restaurant Base (Hidden)'!$A$2:$Z$1048576,MATCH($C189,'Restaurant Base (Hidden)'!$C$2:$C$1048576,0),MATCH(J$6,'Restaurant Base (Hidden)'!$A$1:$Z$1,0)),"")</f>
        <v>3</v>
      </c>
      <c r="K189" s="20" t="str">
        <f>+IFERROR(INDEX('Restaurant Base (Hidden)'!$A$2:$Z$1048576,MATCH($C189,'Restaurant Base (Hidden)'!$C$2:$C$1048576,0),MATCH(K$6,'Restaurant Base (Hidden)'!$A$1:$Z$1,0)),"")</f>
        <v>0,095</v>
      </c>
      <c r="L189" s="51">
        <f>+IFERROR(INDEX('Restaurant Base (Hidden)'!$A$2:$Z$1048576,MATCH($C189,'Restaurant Base (Hidden)'!$C$2:$C$1048576,0),MATCH(L$6,'Restaurant Base (Hidden)'!$A$1:$Z$1,0)),"")</f>
        <v>4</v>
      </c>
      <c r="M189" s="2" t="str">
        <f>+IFERROR(INDEX('Restaurant Base (Hidden)'!$A$2:$Z$1048576,MATCH($C189,'Restaurant Base (Hidden)'!$C$2:$C$1048576,0),MATCH(M$6,'Restaurant Base (Hidden)'!$A$1:$Z$1,0)),"")</f>
        <v/>
      </c>
      <c r="N189" s="234" t="str">
        <f>+IFERROR(INDEX('Restaurant Base (Hidden)'!$A$2:$Z$1048576,MATCH($C189,'Restaurant Base (Hidden)'!$C$2:$C$1048576,0),MATCH(N$6,'Restaurant Base (Hidden)'!$A$1:$Z$1,0)),"")</f>
        <v>66,10 %</v>
      </c>
      <c r="O189" s="1">
        <f>+IFERROR(INDEX('Restaurant Base (Hidden)'!$A$2:$Z$1048576,MATCH($C189,'Restaurant Base (Hidden)'!$C$2:$C$1048576,0),MATCH(O$6,'Restaurant Base (Hidden)'!$A$1:$Z$1,0)),"")</f>
        <v>3</v>
      </c>
      <c r="P189" s="2" t="str">
        <f>+IFERROR(INDEX('Restaurant Base (Hidden)'!$A$2:$Z$1048576,MATCH($C189,'Restaurant Base (Hidden)'!$C$2:$C$1048576,0),MATCH(P$6,'Restaurant Base (Hidden)'!$A$1:$Z$1,0)),"")</f>
        <v/>
      </c>
      <c r="Q189" s="234" t="str">
        <f>+IFERROR(INDEX('Restaurant Base (Hidden)'!$A$2:$Z$1048576,MATCH($C189,'Restaurant Base (Hidden)'!$C$2:$C$1048576,0),MATCH(Q$6,'Restaurant Base (Hidden)'!$A$1:$Z$1,0)),"")</f>
        <v>86,90 %</v>
      </c>
      <c r="R189" s="1">
        <f>+IFERROR(INDEX('Restaurant Base (Hidden)'!$A$2:$Z$1048576,MATCH($C189,'Restaurant Base (Hidden)'!$C$2:$C$1048576,0),MATCH(R$6,'Restaurant Base (Hidden)'!$A$1:$Z$1,0)),"")</f>
        <v>5</v>
      </c>
      <c r="S189" s="2" t="str">
        <f>+IFERROR(INDEX('Restaurant Base (Hidden)'!$A$2:$Z$1048576,MATCH($C189,'Restaurant Base (Hidden)'!$C$2:$C$1048576,0),MATCH(S$6,'Restaurant Base (Hidden)'!$A$1:$Z$1,0)),"")</f>
        <v/>
      </c>
      <c r="T189" s="62">
        <f>+IFERROR(INDEX('Restaurant Base (Hidden)'!$A$2:$Z$1048576,MATCH($C189,'Restaurant Base (Hidden)'!$C$2:$C$1048576,0),MATCH(T$6,'Restaurant Base (Hidden)'!$A$1:$Z$1,0)),"")</f>
        <v>66.5</v>
      </c>
      <c r="U189" s="1">
        <f>+IFERROR(INDEX('Restaurant Base (Hidden)'!$A$2:$Z$1048576,MATCH($C189,'Restaurant Base (Hidden)'!$C$2:$C$1048576,0),MATCH(U$6,'Restaurant Base (Hidden)'!$A$1:$Z$1,0)),"")</f>
        <v>4</v>
      </c>
      <c r="V189" s="2" t="str">
        <f>+IFERROR(INDEX('Restaurant Base (Hidden)'!$A$2:$Z$1048576,MATCH($C189,'Restaurant Base (Hidden)'!$C$2:$C$1048576,0),MATCH(V$6,'Restaurant Base (Hidden)'!$A$1:$Z$1,0)),"")</f>
        <v/>
      </c>
      <c r="W189" s="65" t="str">
        <f>+IFERROR(INDEX('Restaurant Base (Hidden)'!$A$2:$Z$1048576,MATCH($C189,'Restaurant Base (Hidden)'!$C$2:$C$1048576,0),MATCH(W$6,'Restaurant Base (Hidden)'!$A$1:$Z$1,0)),"")</f>
        <v>67,60 %</v>
      </c>
      <c r="X189" s="1">
        <f>+IFERROR(INDEX('Restaurant Base (Hidden)'!$A$2:$Z$1048576,MATCH($C189,'Restaurant Base (Hidden)'!$C$2:$C$1048576,0),MATCH(X$6,'Restaurant Base (Hidden)'!$A$1:$Z$1,0)),"")</f>
        <v>2</v>
      </c>
      <c r="Y189" s="65" t="str">
        <f>+IFERROR(INDEX('Restaurant Base (Hidden)'!$A$2:$Z$1048576,MATCH($C189,'Restaurant Base (Hidden)'!$C$2:$C$1048576,0),MATCH(Y$6,'Restaurant Base (Hidden)'!$A$1:$Z$1,0)),"")</f>
        <v>56,10 %</v>
      </c>
      <c r="Z189" s="106">
        <f>+IFERROR(INDEX('Restaurant Base (Hidden)'!$A$2:$Z$1048576,MATCH($C189,'Restaurant Base (Hidden)'!$C$2:$C$1048576,0),MATCH(Z$6,'Restaurant Base (Hidden)'!$A$1:$Z$1,0)),"")</f>
        <v>1</v>
      </c>
      <c r="AA189" s="65" t="str">
        <f>+IFERROR(INDEX('Restaurant Base (Hidden)'!$A$2:$Z$1048576,MATCH($C189,'Restaurant Base (Hidden)'!$C$2:$C$1048576,0),MATCH(AA$6,'Restaurant Base (Hidden)'!$A$1:$Z$1,0)),"")</f>
        <v>68,50 %</v>
      </c>
      <c r="AB189" s="1">
        <f>+IFERROR(INDEX('Restaurant Base (Hidden)'!$A$2:$Z$1048576,MATCH($C189,'Restaurant Base (Hidden)'!$C$2:$C$1048576,0),MATCH(AB$6,'Restaurant Base (Hidden)'!$A$1:$Z$1,0)),"")</f>
        <v>2</v>
      </c>
      <c r="AC189" s="20" t="str">
        <f>+IFERROR(INDEX('Restaurant Base (Hidden)'!$A$2:$Z$1048576,MATCH($C189,'Restaurant Base (Hidden)'!$C$2:$C$1048576,0),MATCH(AC$6,'Restaurant Base (Hidden)'!$A$1:$Z$1,0)),"")</f>
        <v/>
      </c>
      <c r="AD189" s="65" t="str">
        <f>+IFERROR(INDEX('Restaurant Base (Hidden)'!$A$2:$Z$1048576,MATCH($C189,'Restaurant Base (Hidden)'!$C$2:$C$1048576,0),MATCH(AD$6,'Restaurant Base (Hidden)'!$A$1:$Z$1,0)),"")</f>
        <v>69,20 %</v>
      </c>
      <c r="AE189" s="1">
        <f>+IFERROR(INDEX('Restaurant Base (Hidden)'!$A$2:$Z$1048576,MATCH($C189,'Restaurant Base (Hidden)'!$C$2:$C$1048576,0),MATCH(AE$6,'Restaurant Base (Hidden)'!$A$1:$Z$1,0)),"")</f>
        <v>1</v>
      </c>
      <c r="AF189" s="65" t="str">
        <f>+IFERROR(INDEX('Restaurant Base (Hidden)'!$A$2:$Z$1048576,MATCH($C189,'Restaurant Base (Hidden)'!$C$2:$C$1048576,0),MATCH(AF$6,'Restaurant Base (Hidden)'!$A$1:$Z$1,0)),"")</f>
        <v>87,30 %</v>
      </c>
      <c r="AG189" s="1">
        <f>+IFERROR(INDEX('Restaurant Base (Hidden)'!$A$2:$Z$1048576,MATCH($C189,'Restaurant Base (Hidden)'!$C$2:$C$1048576,0),MATCH(AG$6,'Restaurant Base (Hidden)'!$A$1:$Z$1,0)),"")</f>
        <v>3</v>
      </c>
    </row>
    <row r="190" spans="1:33" x14ac:dyDescent="0.4">
      <c r="A190" s="163" t="str">
        <f>IF('Restaurant Base (Hidden)'!A345=0,"", 'Restaurant Base (Hidden)'!A345)</f>
        <v>Dakota Cavendish</v>
      </c>
      <c r="B190" s="163" t="str">
        <f>IF('Restaurant Base (Hidden)'!B345=0,"", 'Restaurant Base (Hidden)'!B345)</f>
        <v>Lakeshore Food Partners</v>
      </c>
      <c r="C190" s="163" t="str">
        <f>IF('Restaurant Base (Hidden)'!C345=0,"", 'Restaurant Base (Hidden)'!C345)</f>
        <v>Glen Way</v>
      </c>
      <c r="D190" s="104">
        <f t="shared" si="2"/>
        <v>180</v>
      </c>
      <c r="E190" s="105">
        <f>+IFERROR(INDEX('Restaurant Base (Hidden)'!$A$2:$Z$1048576,MATCH($C190,'Restaurant Base (Hidden)'!$C$2:$C$1048576,0),MATCH(E$6,'Restaurant Base (Hidden)'!$A$1:$Z$1,0)),"")</f>
        <v>3.06</v>
      </c>
      <c r="F190" s="2" t="str">
        <f>+IFERROR(INDEX('Restaurant Base (Hidden)'!$A$2:$Z$1048576,MATCH($C190,'Restaurant Base (Hidden)'!$C$2:$C$1048576,0),MATCH(F$6,'Restaurant Base (Hidden)'!$A$1:$Z$1,0)),"")</f>
        <v/>
      </c>
      <c r="G190" s="20" t="str">
        <f>+IFERROR(INDEX('Restaurant Base (Hidden)'!$A$2:$Z$1048576,MATCH($C190,'Restaurant Base (Hidden)'!$C$2:$C$1048576,0),MATCH(G$6,'Restaurant Base (Hidden)'!$A$1:$Z$1,0)),"")</f>
        <v>4,243</v>
      </c>
      <c r="H190" s="50">
        <f>+IFERROR(INDEX('Restaurant Base (Hidden)'!$A$2:$Z$1048576,MATCH($C190,'Restaurant Base (Hidden)'!$C$2:$C$1048576,0),MATCH(H$6,'Restaurant Base (Hidden)'!$A$1:$Z$1,0)),"")</f>
        <v>3</v>
      </c>
      <c r="I190" s="20" t="str">
        <f>+IFERROR(INDEX('Restaurant Base (Hidden)'!$A$2:$Z$1048576,MATCH($C190,'Restaurant Base (Hidden)'!$C$2:$C$1048576,0),MATCH(I$6,'Restaurant Base (Hidden)'!$A$1:$Z$1,0)),"")</f>
        <v>69,00 %</v>
      </c>
      <c r="J190" s="49">
        <f>+IFERROR(INDEX('Restaurant Base (Hidden)'!$A$2:$Z$1048576,MATCH($C190,'Restaurant Base (Hidden)'!$C$2:$C$1048576,0),MATCH(J$6,'Restaurant Base (Hidden)'!$A$1:$Z$1,0)),"")</f>
        <v>1</v>
      </c>
      <c r="K190" s="20" t="str">
        <f>+IFERROR(INDEX('Restaurant Base (Hidden)'!$A$2:$Z$1048576,MATCH($C190,'Restaurant Base (Hidden)'!$C$2:$C$1048576,0),MATCH(K$6,'Restaurant Base (Hidden)'!$A$1:$Z$1,0)),"")</f>
        <v>0,066</v>
      </c>
      <c r="L190" s="51">
        <f>+IFERROR(INDEX('Restaurant Base (Hidden)'!$A$2:$Z$1048576,MATCH($C190,'Restaurant Base (Hidden)'!$C$2:$C$1048576,0),MATCH(L$6,'Restaurant Base (Hidden)'!$A$1:$Z$1,0)),"")</f>
        <v>4</v>
      </c>
      <c r="M190" s="2" t="str">
        <f>+IFERROR(INDEX('Restaurant Base (Hidden)'!$A$2:$Z$1048576,MATCH($C190,'Restaurant Base (Hidden)'!$C$2:$C$1048576,0),MATCH(M$6,'Restaurant Base (Hidden)'!$A$1:$Z$1,0)),"")</f>
        <v/>
      </c>
      <c r="N190" s="234" t="str">
        <f>+IFERROR(INDEX('Restaurant Base (Hidden)'!$A$2:$Z$1048576,MATCH($C190,'Restaurant Base (Hidden)'!$C$2:$C$1048576,0),MATCH(N$6,'Restaurant Base (Hidden)'!$A$1:$Z$1,0)),"")</f>
        <v>86,70 %</v>
      </c>
      <c r="O190" s="1">
        <f>+IFERROR(INDEX('Restaurant Base (Hidden)'!$A$2:$Z$1048576,MATCH($C190,'Restaurant Base (Hidden)'!$C$2:$C$1048576,0),MATCH(O$6,'Restaurant Base (Hidden)'!$A$1:$Z$1,0)),"")</f>
        <v>5</v>
      </c>
      <c r="P190" s="2" t="str">
        <f>+IFERROR(INDEX('Restaurant Base (Hidden)'!$A$2:$Z$1048576,MATCH($C190,'Restaurant Base (Hidden)'!$C$2:$C$1048576,0),MATCH(P$6,'Restaurant Base (Hidden)'!$A$1:$Z$1,0)),"")</f>
        <v/>
      </c>
      <c r="Q190" s="234" t="str">
        <f>+IFERROR(INDEX('Restaurant Base (Hidden)'!$A$2:$Z$1048576,MATCH($C190,'Restaurant Base (Hidden)'!$C$2:$C$1048576,0),MATCH(Q$6,'Restaurant Base (Hidden)'!$A$1:$Z$1,0)),"")</f>
        <v>64,70 %</v>
      </c>
      <c r="R190" s="1">
        <f>+IFERROR(INDEX('Restaurant Base (Hidden)'!$A$2:$Z$1048576,MATCH($C190,'Restaurant Base (Hidden)'!$C$2:$C$1048576,0),MATCH(R$6,'Restaurant Base (Hidden)'!$A$1:$Z$1,0)),"")</f>
        <v>2</v>
      </c>
      <c r="S190" s="2" t="str">
        <f>+IFERROR(INDEX('Restaurant Base (Hidden)'!$A$2:$Z$1048576,MATCH($C190,'Restaurant Base (Hidden)'!$C$2:$C$1048576,0),MATCH(S$6,'Restaurant Base (Hidden)'!$A$1:$Z$1,0)),"")</f>
        <v/>
      </c>
      <c r="T190" s="62">
        <f>+IFERROR(INDEX('Restaurant Base (Hidden)'!$A$2:$Z$1048576,MATCH($C190,'Restaurant Base (Hidden)'!$C$2:$C$1048576,0),MATCH(T$6,'Restaurant Base (Hidden)'!$A$1:$Z$1,0)),"")</f>
        <v>67</v>
      </c>
      <c r="U190" s="1">
        <f>+IFERROR(INDEX('Restaurant Base (Hidden)'!$A$2:$Z$1048576,MATCH($C190,'Restaurant Base (Hidden)'!$C$2:$C$1048576,0),MATCH(U$6,'Restaurant Base (Hidden)'!$A$1:$Z$1,0)),"")</f>
        <v>4</v>
      </c>
      <c r="V190" s="2" t="str">
        <f>+IFERROR(INDEX('Restaurant Base (Hidden)'!$A$2:$Z$1048576,MATCH($C190,'Restaurant Base (Hidden)'!$C$2:$C$1048576,0),MATCH(V$6,'Restaurant Base (Hidden)'!$A$1:$Z$1,0)),"")</f>
        <v/>
      </c>
      <c r="W190" s="65" t="str">
        <f>+IFERROR(INDEX('Restaurant Base (Hidden)'!$A$2:$Z$1048576,MATCH($C190,'Restaurant Base (Hidden)'!$C$2:$C$1048576,0),MATCH(W$6,'Restaurant Base (Hidden)'!$A$1:$Z$1,0)),"")</f>
        <v>84,50 %</v>
      </c>
      <c r="X190" s="1">
        <f>+IFERROR(INDEX('Restaurant Base (Hidden)'!$A$2:$Z$1048576,MATCH($C190,'Restaurant Base (Hidden)'!$C$2:$C$1048576,0),MATCH(X$6,'Restaurant Base (Hidden)'!$A$1:$Z$1,0)),"")</f>
        <v>3</v>
      </c>
      <c r="Y190" s="65" t="str">
        <f>+IFERROR(INDEX('Restaurant Base (Hidden)'!$A$2:$Z$1048576,MATCH($C190,'Restaurant Base (Hidden)'!$C$2:$C$1048576,0),MATCH(Y$6,'Restaurant Base (Hidden)'!$A$1:$Z$1,0)),"")</f>
        <v>97,10 %</v>
      </c>
      <c r="Z190" s="106">
        <f>+IFERROR(INDEX('Restaurant Base (Hidden)'!$A$2:$Z$1048576,MATCH($C190,'Restaurant Base (Hidden)'!$C$2:$C$1048576,0),MATCH(Z$6,'Restaurant Base (Hidden)'!$A$1:$Z$1,0)),"")</f>
        <v>4</v>
      </c>
      <c r="AA190" s="65" t="str">
        <f>+IFERROR(INDEX('Restaurant Base (Hidden)'!$A$2:$Z$1048576,MATCH($C190,'Restaurant Base (Hidden)'!$C$2:$C$1048576,0),MATCH(AA$6,'Restaurant Base (Hidden)'!$A$1:$Z$1,0)),"")</f>
        <v>68,40 %</v>
      </c>
      <c r="AB190" s="1">
        <f>+IFERROR(INDEX('Restaurant Base (Hidden)'!$A$2:$Z$1048576,MATCH($C190,'Restaurant Base (Hidden)'!$C$2:$C$1048576,0),MATCH(AB$6,'Restaurant Base (Hidden)'!$A$1:$Z$1,0)),"")</f>
        <v>2</v>
      </c>
      <c r="AC190" s="20" t="str">
        <f>+IFERROR(INDEX('Restaurant Base (Hidden)'!$A$2:$Z$1048576,MATCH($C190,'Restaurant Base (Hidden)'!$C$2:$C$1048576,0),MATCH(AC$6,'Restaurant Base (Hidden)'!$A$1:$Z$1,0)),"")</f>
        <v/>
      </c>
      <c r="AD190" s="65" t="str">
        <f>+IFERROR(INDEX('Restaurant Base (Hidden)'!$A$2:$Z$1048576,MATCH($C190,'Restaurant Base (Hidden)'!$C$2:$C$1048576,0),MATCH(AD$6,'Restaurant Base (Hidden)'!$A$1:$Z$1,0)),"")</f>
        <v>86,80 %</v>
      </c>
      <c r="AE190" s="1">
        <f>+IFERROR(INDEX('Restaurant Base (Hidden)'!$A$2:$Z$1048576,MATCH($C190,'Restaurant Base (Hidden)'!$C$2:$C$1048576,0),MATCH(AE$6,'Restaurant Base (Hidden)'!$A$1:$Z$1,0)),"")</f>
        <v>3</v>
      </c>
      <c r="AF190" s="65" t="str">
        <f>+IFERROR(INDEX('Restaurant Base (Hidden)'!$A$2:$Z$1048576,MATCH($C190,'Restaurant Base (Hidden)'!$C$2:$C$1048576,0),MATCH(AF$6,'Restaurant Base (Hidden)'!$A$1:$Z$1,0)),"")</f>
        <v>91,90 %</v>
      </c>
      <c r="AG190" s="1">
        <f>+IFERROR(INDEX('Restaurant Base (Hidden)'!$A$2:$Z$1048576,MATCH($C190,'Restaurant Base (Hidden)'!$C$2:$C$1048576,0),MATCH(AG$6,'Restaurant Base (Hidden)'!$A$1:$Z$1,0)),"")</f>
        <v>3</v>
      </c>
    </row>
    <row r="191" spans="1:33" x14ac:dyDescent="0.4">
      <c r="A191" s="163" t="str">
        <f>IF('Restaurant Base (Hidden)'!A112=0,"", 'Restaurant Base (Hidden)'!A112)</f>
        <v>Bailey Silverton</v>
      </c>
      <c r="B191" s="163" t="str">
        <f>IF('Restaurant Base (Hidden)'!B112=0,"", 'Restaurant Base (Hidden)'!B112)</f>
        <v>Oakmont Dining Partners</v>
      </c>
      <c r="C191" s="163" t="str">
        <f>IF('Restaurant Base (Hidden)'!C112=0,"", 'Restaurant Base (Hidden)'!C112)</f>
        <v>Sunny Harbor</v>
      </c>
      <c r="D191" s="104">
        <f t="shared" si="2"/>
        <v>185</v>
      </c>
      <c r="E191" s="105">
        <f>+IFERROR(INDEX('Restaurant Base (Hidden)'!$A$2:$Z$1048576,MATCH($C191,'Restaurant Base (Hidden)'!$C$2:$C$1048576,0),MATCH(E$6,'Restaurant Base (Hidden)'!$A$1:$Z$1,0)),"")</f>
        <v>3.05</v>
      </c>
      <c r="F191" s="2" t="str">
        <f>+IFERROR(INDEX('Restaurant Base (Hidden)'!$A$2:$Z$1048576,MATCH($C191,'Restaurant Base (Hidden)'!$C$2:$C$1048576,0),MATCH(F$6,'Restaurant Base (Hidden)'!$A$1:$Z$1,0)),"")</f>
        <v/>
      </c>
      <c r="G191" s="20" t="str">
        <f>+IFERROR(INDEX('Restaurant Base (Hidden)'!$A$2:$Z$1048576,MATCH($C191,'Restaurant Base (Hidden)'!$C$2:$C$1048576,0),MATCH(G$6,'Restaurant Base (Hidden)'!$A$1:$Z$1,0)),"")</f>
        <v>4,582</v>
      </c>
      <c r="H191" s="50">
        <f>+IFERROR(INDEX('Restaurant Base (Hidden)'!$A$2:$Z$1048576,MATCH($C191,'Restaurant Base (Hidden)'!$C$2:$C$1048576,0),MATCH(H$6,'Restaurant Base (Hidden)'!$A$1:$Z$1,0)),"")</f>
        <v>5</v>
      </c>
      <c r="I191" s="20" t="str">
        <f>+IFERROR(INDEX('Restaurant Base (Hidden)'!$A$2:$Z$1048576,MATCH($C191,'Restaurant Base (Hidden)'!$C$2:$C$1048576,0),MATCH(I$6,'Restaurant Base (Hidden)'!$A$1:$Z$1,0)),"")</f>
        <v>55,30 %</v>
      </c>
      <c r="J191" s="49">
        <f>+IFERROR(INDEX('Restaurant Base (Hidden)'!$A$2:$Z$1048576,MATCH($C191,'Restaurant Base (Hidden)'!$C$2:$C$1048576,0),MATCH(J$6,'Restaurant Base (Hidden)'!$A$1:$Z$1,0)),"")</f>
        <v>1</v>
      </c>
      <c r="K191" s="20" t="str">
        <f>+IFERROR(INDEX('Restaurant Base (Hidden)'!$A$2:$Z$1048576,MATCH($C191,'Restaurant Base (Hidden)'!$C$2:$C$1048576,0),MATCH(K$6,'Restaurant Base (Hidden)'!$A$1:$Z$1,0)),"")</f>
        <v>0,111</v>
      </c>
      <c r="L191" s="51">
        <f>+IFERROR(INDEX('Restaurant Base (Hidden)'!$A$2:$Z$1048576,MATCH($C191,'Restaurant Base (Hidden)'!$C$2:$C$1048576,0),MATCH(L$6,'Restaurant Base (Hidden)'!$A$1:$Z$1,0)),"")</f>
        <v>3</v>
      </c>
      <c r="M191" s="2" t="str">
        <f>+IFERROR(INDEX('Restaurant Base (Hidden)'!$A$2:$Z$1048576,MATCH($C191,'Restaurant Base (Hidden)'!$C$2:$C$1048576,0),MATCH(M$6,'Restaurant Base (Hidden)'!$A$1:$Z$1,0)),"")</f>
        <v/>
      </c>
      <c r="N191" s="234" t="str">
        <f>+IFERROR(INDEX('Restaurant Base (Hidden)'!$A$2:$Z$1048576,MATCH($C191,'Restaurant Base (Hidden)'!$C$2:$C$1048576,0),MATCH(N$6,'Restaurant Base (Hidden)'!$A$1:$Z$1,0)),"")</f>
        <v>78,00 %</v>
      </c>
      <c r="O191" s="1">
        <f>+IFERROR(INDEX('Restaurant Base (Hidden)'!$A$2:$Z$1048576,MATCH($C191,'Restaurant Base (Hidden)'!$C$2:$C$1048576,0),MATCH(O$6,'Restaurant Base (Hidden)'!$A$1:$Z$1,0)),"")</f>
        <v>5</v>
      </c>
      <c r="P191" s="2" t="str">
        <f>+IFERROR(INDEX('Restaurant Base (Hidden)'!$A$2:$Z$1048576,MATCH($C191,'Restaurant Base (Hidden)'!$C$2:$C$1048576,0),MATCH(P$6,'Restaurant Base (Hidden)'!$A$1:$Z$1,0)),"")</f>
        <v/>
      </c>
      <c r="Q191" s="234" t="str">
        <f>+IFERROR(INDEX('Restaurant Base (Hidden)'!$A$2:$Z$1048576,MATCH($C191,'Restaurant Base (Hidden)'!$C$2:$C$1048576,0),MATCH(Q$6,'Restaurant Base (Hidden)'!$A$1:$Z$1,0)),"")</f>
        <v>65,10 %</v>
      </c>
      <c r="R191" s="1">
        <f>+IFERROR(INDEX('Restaurant Base (Hidden)'!$A$2:$Z$1048576,MATCH($C191,'Restaurant Base (Hidden)'!$C$2:$C$1048576,0),MATCH(R$6,'Restaurant Base (Hidden)'!$A$1:$Z$1,0)),"")</f>
        <v>3</v>
      </c>
      <c r="S191" s="2" t="str">
        <f>+IFERROR(INDEX('Restaurant Base (Hidden)'!$A$2:$Z$1048576,MATCH($C191,'Restaurant Base (Hidden)'!$C$2:$C$1048576,0),MATCH(S$6,'Restaurant Base (Hidden)'!$A$1:$Z$1,0)),"")</f>
        <v/>
      </c>
      <c r="T191" s="62">
        <f>+IFERROR(INDEX('Restaurant Base (Hidden)'!$A$2:$Z$1048576,MATCH($C191,'Restaurant Base (Hidden)'!$C$2:$C$1048576,0),MATCH(T$6,'Restaurant Base (Hidden)'!$A$1:$Z$1,0)),"")</f>
        <v>60.7</v>
      </c>
      <c r="U191" s="1">
        <f>+IFERROR(INDEX('Restaurant Base (Hidden)'!$A$2:$Z$1048576,MATCH($C191,'Restaurant Base (Hidden)'!$C$2:$C$1048576,0),MATCH(U$6,'Restaurant Base (Hidden)'!$A$1:$Z$1,0)),"")</f>
        <v>2</v>
      </c>
      <c r="V191" s="2" t="str">
        <f>+IFERROR(INDEX('Restaurant Base (Hidden)'!$A$2:$Z$1048576,MATCH($C191,'Restaurant Base (Hidden)'!$C$2:$C$1048576,0),MATCH(V$6,'Restaurant Base (Hidden)'!$A$1:$Z$1,0)),"")</f>
        <v/>
      </c>
      <c r="W191" s="65" t="str">
        <f>+IFERROR(INDEX('Restaurant Base (Hidden)'!$A$2:$Z$1048576,MATCH($C191,'Restaurant Base (Hidden)'!$C$2:$C$1048576,0),MATCH(W$6,'Restaurant Base (Hidden)'!$A$1:$Z$1,0)),"")</f>
        <v>63,50 %</v>
      </c>
      <c r="X191" s="1">
        <f>+IFERROR(INDEX('Restaurant Base (Hidden)'!$A$2:$Z$1048576,MATCH($C191,'Restaurant Base (Hidden)'!$C$2:$C$1048576,0),MATCH(X$6,'Restaurant Base (Hidden)'!$A$1:$Z$1,0)),"")</f>
        <v>2</v>
      </c>
      <c r="Y191" s="65" t="str">
        <f>+IFERROR(INDEX('Restaurant Base (Hidden)'!$A$2:$Z$1048576,MATCH($C191,'Restaurant Base (Hidden)'!$C$2:$C$1048576,0),MATCH(Y$6,'Restaurant Base (Hidden)'!$A$1:$Z$1,0)),"")</f>
        <v>75,60 %</v>
      </c>
      <c r="Z191" s="106">
        <f>+IFERROR(INDEX('Restaurant Base (Hidden)'!$A$2:$Z$1048576,MATCH($C191,'Restaurant Base (Hidden)'!$C$2:$C$1048576,0),MATCH(Z$6,'Restaurant Base (Hidden)'!$A$1:$Z$1,0)),"")</f>
        <v>2</v>
      </c>
      <c r="AA191" s="65" t="str">
        <f>+IFERROR(INDEX('Restaurant Base (Hidden)'!$A$2:$Z$1048576,MATCH($C191,'Restaurant Base (Hidden)'!$C$2:$C$1048576,0),MATCH(AA$6,'Restaurant Base (Hidden)'!$A$1:$Z$1,0)),"")</f>
        <v>56,40 %</v>
      </c>
      <c r="AB191" s="1">
        <f>+IFERROR(INDEX('Restaurant Base (Hidden)'!$A$2:$Z$1048576,MATCH($C191,'Restaurant Base (Hidden)'!$C$2:$C$1048576,0),MATCH(AB$6,'Restaurant Base (Hidden)'!$A$1:$Z$1,0)),"")</f>
        <v>1</v>
      </c>
      <c r="AC191" s="20" t="str">
        <f>+IFERROR(INDEX('Restaurant Base (Hidden)'!$A$2:$Z$1048576,MATCH($C191,'Restaurant Base (Hidden)'!$C$2:$C$1048576,0),MATCH(AC$6,'Restaurant Base (Hidden)'!$A$1:$Z$1,0)),"")</f>
        <v/>
      </c>
      <c r="AD191" s="65" t="str">
        <f>+IFERROR(INDEX('Restaurant Base (Hidden)'!$A$2:$Z$1048576,MATCH($C191,'Restaurant Base (Hidden)'!$C$2:$C$1048576,0),MATCH(AD$6,'Restaurant Base (Hidden)'!$A$1:$Z$1,0)),"")</f>
        <v>99,10 %</v>
      </c>
      <c r="AE191" s="1">
        <f>+IFERROR(INDEX('Restaurant Base (Hidden)'!$A$2:$Z$1048576,MATCH($C191,'Restaurant Base (Hidden)'!$C$2:$C$1048576,0),MATCH(AE$6,'Restaurant Base (Hidden)'!$A$1:$Z$1,0)),"")</f>
        <v>5</v>
      </c>
      <c r="AF191" s="65" t="str">
        <f>+IFERROR(INDEX('Restaurant Base (Hidden)'!$A$2:$Z$1048576,MATCH($C191,'Restaurant Base (Hidden)'!$C$2:$C$1048576,0),MATCH(AF$6,'Restaurant Base (Hidden)'!$A$1:$Z$1,0)),"")</f>
        <v>89,90 %</v>
      </c>
      <c r="AG191" s="1">
        <f>+IFERROR(INDEX('Restaurant Base (Hidden)'!$A$2:$Z$1048576,MATCH($C191,'Restaurant Base (Hidden)'!$C$2:$C$1048576,0),MATCH(AG$6,'Restaurant Base (Hidden)'!$A$1:$Z$1,0)),"")</f>
        <v>3</v>
      </c>
    </row>
    <row r="192" spans="1:33" x14ac:dyDescent="0.4">
      <c r="A192" s="163" t="str">
        <f>IF('Restaurant Base (Hidden)'!A172=0,"", 'Restaurant Base (Hidden)'!A172)</f>
        <v>Marlowe Ellington</v>
      </c>
      <c r="B192" s="163" t="str">
        <f>IF('Restaurant Base (Hidden)'!B172=0,"", 'Restaurant Base (Hidden)'!B172)</f>
        <v>Kingswell Food Partners</v>
      </c>
      <c r="C192" s="163" t="str">
        <f>IF('Restaurant Base (Hidden)'!C172=0,"", 'Restaurant Base (Hidden)'!C172)</f>
        <v>Redwood Ridge</v>
      </c>
      <c r="D192" s="104">
        <f t="shared" si="2"/>
        <v>185</v>
      </c>
      <c r="E192" s="105">
        <f>+IFERROR(INDEX('Restaurant Base (Hidden)'!$A$2:$Z$1048576,MATCH($C192,'Restaurant Base (Hidden)'!$C$2:$C$1048576,0),MATCH(E$6,'Restaurant Base (Hidden)'!$A$1:$Z$1,0)),"")</f>
        <v>3.05</v>
      </c>
      <c r="F192" s="2" t="str">
        <f>+IFERROR(INDEX('Restaurant Base (Hidden)'!$A$2:$Z$1048576,MATCH($C192,'Restaurant Base (Hidden)'!$C$2:$C$1048576,0),MATCH(F$6,'Restaurant Base (Hidden)'!$A$1:$Z$1,0)),"")</f>
        <v/>
      </c>
      <c r="G192" s="20" t="str">
        <f>+IFERROR(INDEX('Restaurant Base (Hidden)'!$A$2:$Z$1048576,MATCH($C192,'Restaurant Base (Hidden)'!$C$2:$C$1048576,0),MATCH(G$6,'Restaurant Base (Hidden)'!$A$1:$Z$1,0)),"")</f>
        <v>4,815</v>
      </c>
      <c r="H192" s="50">
        <f>+IFERROR(INDEX('Restaurant Base (Hidden)'!$A$2:$Z$1048576,MATCH($C192,'Restaurant Base (Hidden)'!$C$2:$C$1048576,0),MATCH(H$6,'Restaurant Base (Hidden)'!$A$1:$Z$1,0)),"")</f>
        <v>5</v>
      </c>
      <c r="I192" s="20" t="str">
        <f>+IFERROR(INDEX('Restaurant Base (Hidden)'!$A$2:$Z$1048576,MATCH($C192,'Restaurant Base (Hidden)'!$C$2:$C$1048576,0),MATCH(I$6,'Restaurant Base (Hidden)'!$A$1:$Z$1,0)),"")</f>
        <v>89,80 %</v>
      </c>
      <c r="J192" s="49">
        <f>+IFERROR(INDEX('Restaurant Base (Hidden)'!$A$2:$Z$1048576,MATCH($C192,'Restaurant Base (Hidden)'!$C$2:$C$1048576,0),MATCH(J$6,'Restaurant Base (Hidden)'!$A$1:$Z$1,0)),"")</f>
        <v>4</v>
      </c>
      <c r="K192" s="20" t="str">
        <f>+IFERROR(INDEX('Restaurant Base (Hidden)'!$A$2:$Z$1048576,MATCH($C192,'Restaurant Base (Hidden)'!$C$2:$C$1048576,0),MATCH(K$6,'Restaurant Base (Hidden)'!$A$1:$Z$1,0)),"")</f>
        <v>0,208</v>
      </c>
      <c r="L192" s="51">
        <f>+IFERROR(INDEX('Restaurant Base (Hidden)'!$A$2:$Z$1048576,MATCH($C192,'Restaurant Base (Hidden)'!$C$2:$C$1048576,0),MATCH(L$6,'Restaurant Base (Hidden)'!$A$1:$Z$1,0)),"")</f>
        <v>1</v>
      </c>
      <c r="M192" s="2" t="str">
        <f>+IFERROR(INDEX('Restaurant Base (Hidden)'!$A$2:$Z$1048576,MATCH($C192,'Restaurant Base (Hidden)'!$C$2:$C$1048576,0),MATCH(M$6,'Restaurant Base (Hidden)'!$A$1:$Z$1,0)),"")</f>
        <v/>
      </c>
      <c r="N192" s="234" t="str">
        <f>+IFERROR(INDEX('Restaurant Base (Hidden)'!$A$2:$Z$1048576,MATCH($C192,'Restaurant Base (Hidden)'!$C$2:$C$1048576,0),MATCH(N$6,'Restaurant Base (Hidden)'!$A$1:$Z$1,0)),"")</f>
        <v>70,20 %</v>
      </c>
      <c r="O192" s="1">
        <f>+IFERROR(INDEX('Restaurant Base (Hidden)'!$A$2:$Z$1048576,MATCH($C192,'Restaurant Base (Hidden)'!$C$2:$C$1048576,0),MATCH(O$6,'Restaurant Base (Hidden)'!$A$1:$Z$1,0)),"")</f>
        <v>4</v>
      </c>
      <c r="P192" s="2" t="str">
        <f>+IFERROR(INDEX('Restaurant Base (Hidden)'!$A$2:$Z$1048576,MATCH($C192,'Restaurant Base (Hidden)'!$C$2:$C$1048576,0),MATCH(P$6,'Restaurant Base (Hidden)'!$A$1:$Z$1,0)),"")</f>
        <v/>
      </c>
      <c r="Q192" s="234" t="str">
        <f>+IFERROR(INDEX('Restaurant Base (Hidden)'!$A$2:$Z$1048576,MATCH($C192,'Restaurant Base (Hidden)'!$C$2:$C$1048576,0),MATCH(Q$6,'Restaurant Base (Hidden)'!$A$1:$Z$1,0)),"")</f>
        <v>85,90 %</v>
      </c>
      <c r="R192" s="1">
        <f>+IFERROR(INDEX('Restaurant Base (Hidden)'!$A$2:$Z$1048576,MATCH($C192,'Restaurant Base (Hidden)'!$C$2:$C$1048576,0),MATCH(R$6,'Restaurant Base (Hidden)'!$A$1:$Z$1,0)),"")</f>
        <v>5</v>
      </c>
      <c r="S192" s="2" t="str">
        <f>+IFERROR(INDEX('Restaurant Base (Hidden)'!$A$2:$Z$1048576,MATCH($C192,'Restaurant Base (Hidden)'!$C$2:$C$1048576,0),MATCH(S$6,'Restaurant Base (Hidden)'!$A$1:$Z$1,0)),"")</f>
        <v/>
      </c>
      <c r="T192" s="62">
        <f>+IFERROR(INDEX('Restaurant Base (Hidden)'!$A$2:$Z$1048576,MATCH($C192,'Restaurant Base (Hidden)'!$C$2:$C$1048576,0),MATCH(T$6,'Restaurant Base (Hidden)'!$A$1:$Z$1,0)),"")</f>
        <v>52.8</v>
      </c>
      <c r="U192" s="1">
        <f>+IFERROR(INDEX('Restaurant Base (Hidden)'!$A$2:$Z$1048576,MATCH($C192,'Restaurant Base (Hidden)'!$C$2:$C$1048576,0),MATCH(U$6,'Restaurant Base (Hidden)'!$A$1:$Z$1,0)),"")</f>
        <v>1</v>
      </c>
      <c r="V192" s="2" t="str">
        <f>+IFERROR(INDEX('Restaurant Base (Hidden)'!$A$2:$Z$1048576,MATCH($C192,'Restaurant Base (Hidden)'!$C$2:$C$1048576,0),MATCH(V$6,'Restaurant Base (Hidden)'!$A$1:$Z$1,0)),"")</f>
        <v/>
      </c>
      <c r="W192" s="65" t="str">
        <f>+IFERROR(INDEX('Restaurant Base (Hidden)'!$A$2:$Z$1048576,MATCH($C192,'Restaurant Base (Hidden)'!$C$2:$C$1048576,0),MATCH(W$6,'Restaurant Base (Hidden)'!$A$1:$Z$1,0)),"")</f>
        <v>87,80 %</v>
      </c>
      <c r="X192" s="1">
        <f>+IFERROR(INDEX('Restaurant Base (Hidden)'!$A$2:$Z$1048576,MATCH($C192,'Restaurant Base (Hidden)'!$C$2:$C$1048576,0),MATCH(X$6,'Restaurant Base (Hidden)'!$A$1:$Z$1,0)),"")</f>
        <v>3</v>
      </c>
      <c r="Y192" s="65" t="str">
        <f>+IFERROR(INDEX('Restaurant Base (Hidden)'!$A$2:$Z$1048576,MATCH($C192,'Restaurant Base (Hidden)'!$C$2:$C$1048576,0),MATCH(Y$6,'Restaurant Base (Hidden)'!$A$1:$Z$1,0)),"")</f>
        <v>93,40 %</v>
      </c>
      <c r="Z192" s="106">
        <f>+IFERROR(INDEX('Restaurant Base (Hidden)'!$A$2:$Z$1048576,MATCH($C192,'Restaurant Base (Hidden)'!$C$2:$C$1048576,0),MATCH(Z$6,'Restaurant Base (Hidden)'!$A$1:$Z$1,0)),"")</f>
        <v>3</v>
      </c>
      <c r="AA192" s="65" t="str">
        <f>+IFERROR(INDEX('Restaurant Base (Hidden)'!$A$2:$Z$1048576,MATCH($C192,'Restaurant Base (Hidden)'!$C$2:$C$1048576,0),MATCH(AA$6,'Restaurant Base (Hidden)'!$A$1:$Z$1,0)),"")</f>
        <v>56,10 %</v>
      </c>
      <c r="AB192" s="1">
        <f>+IFERROR(INDEX('Restaurant Base (Hidden)'!$A$2:$Z$1048576,MATCH($C192,'Restaurant Base (Hidden)'!$C$2:$C$1048576,0),MATCH(AB$6,'Restaurant Base (Hidden)'!$A$1:$Z$1,0)),"")</f>
        <v>1</v>
      </c>
      <c r="AC192" s="20" t="str">
        <f>+IFERROR(INDEX('Restaurant Base (Hidden)'!$A$2:$Z$1048576,MATCH($C192,'Restaurant Base (Hidden)'!$C$2:$C$1048576,0),MATCH(AC$6,'Restaurant Base (Hidden)'!$A$1:$Z$1,0)),"")</f>
        <v/>
      </c>
      <c r="AD192" s="65" t="str">
        <f>+IFERROR(INDEX('Restaurant Base (Hidden)'!$A$2:$Z$1048576,MATCH($C192,'Restaurant Base (Hidden)'!$C$2:$C$1048576,0),MATCH(AD$6,'Restaurant Base (Hidden)'!$A$1:$Z$1,0)),"")</f>
        <v>81,90 %</v>
      </c>
      <c r="AE192" s="1">
        <f>+IFERROR(INDEX('Restaurant Base (Hidden)'!$A$2:$Z$1048576,MATCH($C192,'Restaurant Base (Hidden)'!$C$2:$C$1048576,0),MATCH(AE$6,'Restaurant Base (Hidden)'!$A$1:$Z$1,0)),"")</f>
        <v>2</v>
      </c>
      <c r="AF192" s="65" t="str">
        <f>+IFERROR(INDEX('Restaurant Base (Hidden)'!$A$2:$Z$1048576,MATCH($C192,'Restaurant Base (Hidden)'!$C$2:$C$1048576,0),MATCH(AF$6,'Restaurant Base (Hidden)'!$A$1:$Z$1,0)),"")</f>
        <v>80,90 %</v>
      </c>
      <c r="AG192" s="1">
        <f>+IFERROR(INDEX('Restaurant Base (Hidden)'!$A$2:$Z$1048576,MATCH($C192,'Restaurant Base (Hidden)'!$C$2:$C$1048576,0),MATCH(AG$6,'Restaurant Base (Hidden)'!$A$1:$Z$1,0)),"")</f>
        <v>2</v>
      </c>
    </row>
    <row r="193" spans="1:33" x14ac:dyDescent="0.4">
      <c r="A193" s="163" t="str">
        <f>IF('Restaurant Base (Hidden)'!A273=0,"", 'Restaurant Base (Hidden)'!A273)</f>
        <v>Jordan Oakley</v>
      </c>
      <c r="B193" s="163" t="str">
        <f>IF('Restaurant Base (Hidden)'!B273=0,"", 'Restaurant Base (Hidden)'!B273)</f>
        <v>Brightstone Food Group</v>
      </c>
      <c r="C193" s="163" t="str">
        <f>IF('Restaurant Base (Hidden)'!C273=0,"", 'Restaurant Base (Hidden)'!C273)</f>
        <v>Highland Creek</v>
      </c>
      <c r="D193" s="104">
        <f t="shared" si="2"/>
        <v>185</v>
      </c>
      <c r="E193" s="105">
        <f>+IFERROR(INDEX('Restaurant Base (Hidden)'!$A$2:$Z$1048576,MATCH($C193,'Restaurant Base (Hidden)'!$C$2:$C$1048576,0),MATCH(E$6,'Restaurant Base (Hidden)'!$A$1:$Z$1,0)),"")</f>
        <v>3.05</v>
      </c>
      <c r="F193" s="2" t="str">
        <f>+IFERROR(INDEX('Restaurant Base (Hidden)'!$A$2:$Z$1048576,MATCH($C193,'Restaurant Base (Hidden)'!$C$2:$C$1048576,0),MATCH(F$6,'Restaurant Base (Hidden)'!$A$1:$Z$1,0)),"")</f>
        <v/>
      </c>
      <c r="G193" s="20" t="str">
        <f>+IFERROR(INDEX('Restaurant Base (Hidden)'!$A$2:$Z$1048576,MATCH($C193,'Restaurant Base (Hidden)'!$C$2:$C$1048576,0),MATCH(G$6,'Restaurant Base (Hidden)'!$A$1:$Z$1,0)),"")</f>
        <v>4,719</v>
      </c>
      <c r="H193" s="50">
        <f>+IFERROR(INDEX('Restaurant Base (Hidden)'!$A$2:$Z$1048576,MATCH($C193,'Restaurant Base (Hidden)'!$C$2:$C$1048576,0),MATCH(H$6,'Restaurant Base (Hidden)'!$A$1:$Z$1,0)),"")</f>
        <v>5</v>
      </c>
      <c r="I193" s="20" t="str">
        <f>+IFERROR(INDEX('Restaurant Base (Hidden)'!$A$2:$Z$1048576,MATCH($C193,'Restaurant Base (Hidden)'!$C$2:$C$1048576,0),MATCH(I$6,'Restaurant Base (Hidden)'!$A$1:$Z$1,0)),"")</f>
        <v>74,40 %</v>
      </c>
      <c r="J193" s="49">
        <f>+IFERROR(INDEX('Restaurant Base (Hidden)'!$A$2:$Z$1048576,MATCH($C193,'Restaurant Base (Hidden)'!$C$2:$C$1048576,0),MATCH(J$6,'Restaurant Base (Hidden)'!$A$1:$Z$1,0)),"")</f>
        <v>1</v>
      </c>
      <c r="K193" s="20" t="str">
        <f>+IFERROR(INDEX('Restaurant Base (Hidden)'!$A$2:$Z$1048576,MATCH($C193,'Restaurant Base (Hidden)'!$C$2:$C$1048576,0),MATCH(K$6,'Restaurant Base (Hidden)'!$A$1:$Z$1,0)),"")</f>
        <v>0,136</v>
      </c>
      <c r="L193" s="51">
        <f>+IFERROR(INDEX('Restaurant Base (Hidden)'!$A$2:$Z$1048576,MATCH($C193,'Restaurant Base (Hidden)'!$C$2:$C$1048576,0),MATCH(L$6,'Restaurant Base (Hidden)'!$A$1:$Z$1,0)),"")</f>
        <v>2</v>
      </c>
      <c r="M193" s="2" t="str">
        <f>+IFERROR(INDEX('Restaurant Base (Hidden)'!$A$2:$Z$1048576,MATCH($C193,'Restaurant Base (Hidden)'!$C$2:$C$1048576,0),MATCH(M$6,'Restaurant Base (Hidden)'!$A$1:$Z$1,0)),"")</f>
        <v/>
      </c>
      <c r="N193" s="234" t="str">
        <f>+IFERROR(INDEX('Restaurant Base (Hidden)'!$A$2:$Z$1048576,MATCH($C193,'Restaurant Base (Hidden)'!$C$2:$C$1048576,0),MATCH(N$6,'Restaurant Base (Hidden)'!$A$1:$Z$1,0)),"")</f>
        <v>96,30 %</v>
      </c>
      <c r="O193" s="1">
        <f>+IFERROR(INDEX('Restaurant Base (Hidden)'!$A$2:$Z$1048576,MATCH($C193,'Restaurant Base (Hidden)'!$C$2:$C$1048576,0),MATCH(O$6,'Restaurant Base (Hidden)'!$A$1:$Z$1,0)),"")</f>
        <v>5</v>
      </c>
      <c r="P193" s="2" t="str">
        <f>+IFERROR(INDEX('Restaurant Base (Hidden)'!$A$2:$Z$1048576,MATCH($C193,'Restaurant Base (Hidden)'!$C$2:$C$1048576,0),MATCH(P$6,'Restaurant Base (Hidden)'!$A$1:$Z$1,0)),"")</f>
        <v/>
      </c>
      <c r="Q193" s="234" t="str">
        <f>+IFERROR(INDEX('Restaurant Base (Hidden)'!$A$2:$Z$1048576,MATCH($C193,'Restaurant Base (Hidden)'!$C$2:$C$1048576,0),MATCH(Q$6,'Restaurant Base (Hidden)'!$A$1:$Z$1,0)),"")</f>
        <v>92,70 %</v>
      </c>
      <c r="R193" s="1">
        <f>+IFERROR(INDEX('Restaurant Base (Hidden)'!$A$2:$Z$1048576,MATCH($C193,'Restaurant Base (Hidden)'!$C$2:$C$1048576,0),MATCH(R$6,'Restaurant Base (Hidden)'!$A$1:$Z$1,0)),"")</f>
        <v>5</v>
      </c>
      <c r="S193" s="2" t="str">
        <f>+IFERROR(INDEX('Restaurant Base (Hidden)'!$A$2:$Z$1048576,MATCH($C193,'Restaurant Base (Hidden)'!$C$2:$C$1048576,0),MATCH(S$6,'Restaurant Base (Hidden)'!$A$1:$Z$1,0)),"")</f>
        <v/>
      </c>
      <c r="T193" s="62">
        <f>+IFERROR(INDEX('Restaurant Base (Hidden)'!$A$2:$Z$1048576,MATCH($C193,'Restaurant Base (Hidden)'!$C$2:$C$1048576,0),MATCH(T$6,'Restaurant Base (Hidden)'!$A$1:$Z$1,0)),"")</f>
        <v>54.2</v>
      </c>
      <c r="U193" s="1">
        <f>+IFERROR(INDEX('Restaurant Base (Hidden)'!$A$2:$Z$1048576,MATCH($C193,'Restaurant Base (Hidden)'!$C$2:$C$1048576,0),MATCH(U$6,'Restaurant Base (Hidden)'!$A$1:$Z$1,0)),"")</f>
        <v>1</v>
      </c>
      <c r="V193" s="2" t="str">
        <f>+IFERROR(INDEX('Restaurant Base (Hidden)'!$A$2:$Z$1048576,MATCH($C193,'Restaurant Base (Hidden)'!$C$2:$C$1048576,0),MATCH(V$6,'Restaurant Base (Hidden)'!$A$1:$Z$1,0)),"")</f>
        <v/>
      </c>
      <c r="W193" s="65" t="str">
        <f>+IFERROR(INDEX('Restaurant Base (Hidden)'!$A$2:$Z$1048576,MATCH($C193,'Restaurant Base (Hidden)'!$C$2:$C$1048576,0),MATCH(W$6,'Restaurant Base (Hidden)'!$A$1:$Z$1,0)),"")</f>
        <v>64,90 %</v>
      </c>
      <c r="X193" s="1">
        <f>+IFERROR(INDEX('Restaurant Base (Hidden)'!$A$2:$Z$1048576,MATCH($C193,'Restaurant Base (Hidden)'!$C$2:$C$1048576,0),MATCH(X$6,'Restaurant Base (Hidden)'!$A$1:$Z$1,0)),"")</f>
        <v>2</v>
      </c>
      <c r="Y193" s="65" t="str">
        <f>+IFERROR(INDEX('Restaurant Base (Hidden)'!$A$2:$Z$1048576,MATCH($C193,'Restaurant Base (Hidden)'!$C$2:$C$1048576,0),MATCH(Y$6,'Restaurant Base (Hidden)'!$A$1:$Z$1,0)),"")</f>
        <v>64,70 %</v>
      </c>
      <c r="Z193" s="106">
        <f>+IFERROR(INDEX('Restaurant Base (Hidden)'!$A$2:$Z$1048576,MATCH($C193,'Restaurant Base (Hidden)'!$C$2:$C$1048576,0),MATCH(Z$6,'Restaurant Base (Hidden)'!$A$1:$Z$1,0)),"")</f>
        <v>2</v>
      </c>
      <c r="AA193" s="65" t="str">
        <f>+IFERROR(INDEX('Restaurant Base (Hidden)'!$A$2:$Z$1048576,MATCH($C193,'Restaurant Base (Hidden)'!$C$2:$C$1048576,0),MATCH(AA$6,'Restaurant Base (Hidden)'!$A$1:$Z$1,0)),"")</f>
        <v>70,00 %</v>
      </c>
      <c r="AB193" s="1">
        <f>+IFERROR(INDEX('Restaurant Base (Hidden)'!$A$2:$Z$1048576,MATCH($C193,'Restaurant Base (Hidden)'!$C$2:$C$1048576,0),MATCH(AB$6,'Restaurant Base (Hidden)'!$A$1:$Z$1,0)),"")</f>
        <v>2</v>
      </c>
      <c r="AC193" s="20" t="str">
        <f>+IFERROR(INDEX('Restaurant Base (Hidden)'!$A$2:$Z$1048576,MATCH($C193,'Restaurant Base (Hidden)'!$C$2:$C$1048576,0),MATCH(AC$6,'Restaurant Base (Hidden)'!$A$1:$Z$1,0)),"")</f>
        <v/>
      </c>
      <c r="AD193" s="65" t="str">
        <f>+IFERROR(INDEX('Restaurant Base (Hidden)'!$A$2:$Z$1048576,MATCH($C193,'Restaurant Base (Hidden)'!$C$2:$C$1048576,0),MATCH(AD$6,'Restaurant Base (Hidden)'!$A$1:$Z$1,0)),"")</f>
        <v>77,90 %</v>
      </c>
      <c r="AE193" s="1">
        <f>+IFERROR(INDEX('Restaurant Base (Hidden)'!$A$2:$Z$1048576,MATCH($C193,'Restaurant Base (Hidden)'!$C$2:$C$1048576,0),MATCH(AE$6,'Restaurant Base (Hidden)'!$A$1:$Z$1,0)),"")</f>
        <v>2</v>
      </c>
      <c r="AF193" s="65" t="str">
        <f>+IFERROR(INDEX('Restaurant Base (Hidden)'!$A$2:$Z$1048576,MATCH($C193,'Restaurant Base (Hidden)'!$C$2:$C$1048576,0),MATCH(AF$6,'Restaurant Base (Hidden)'!$A$1:$Z$1,0)),"")</f>
        <v>94,90 %</v>
      </c>
      <c r="AG193" s="1">
        <f>+IFERROR(INDEX('Restaurant Base (Hidden)'!$A$2:$Z$1048576,MATCH($C193,'Restaurant Base (Hidden)'!$C$2:$C$1048576,0),MATCH(AG$6,'Restaurant Base (Hidden)'!$A$1:$Z$1,0)),"")</f>
        <v>4</v>
      </c>
    </row>
    <row r="194" spans="1:33" x14ac:dyDescent="0.4">
      <c r="A194" s="163" t="str">
        <f>IF('Restaurant Base (Hidden)'!A17=0,"", 'Restaurant Base (Hidden)'!A17)</f>
        <v>Quinn Westbrook</v>
      </c>
      <c r="B194" s="163" t="str">
        <f>IF('Restaurant Base (Hidden)'!B17=0,"", 'Restaurant Base (Hidden)'!B17)</f>
        <v>Greenhaven Restaurants</v>
      </c>
      <c r="C194" s="163" t="str">
        <f>IF('Restaurant Base (Hidden)'!C17=0,"", 'Restaurant Base (Hidden)'!C17)</f>
        <v>Woodland Walk</v>
      </c>
      <c r="D194" s="104">
        <f t="shared" si="2"/>
        <v>188</v>
      </c>
      <c r="E194" s="105">
        <f>+IFERROR(INDEX('Restaurant Base (Hidden)'!$A$2:$Z$1048576,MATCH($C194,'Restaurant Base (Hidden)'!$C$2:$C$1048576,0),MATCH(E$6,'Restaurant Base (Hidden)'!$A$1:$Z$1,0)),"")</f>
        <v>3.04</v>
      </c>
      <c r="F194" s="64" t="str">
        <f>+IFERROR(INDEX('Restaurant Base (Hidden)'!$A$2:$Z$1048576,MATCH($C194,'Restaurant Base (Hidden)'!$C$2:$C$1048576,0),MATCH(F$6,'Restaurant Base (Hidden)'!$A$1:$Z$1,0)),"")</f>
        <v/>
      </c>
      <c r="G194" s="20" t="str">
        <f>+IFERROR(INDEX('Restaurant Base (Hidden)'!$A$2:$Z$1048576,MATCH($C194,'Restaurant Base (Hidden)'!$C$2:$C$1048576,0),MATCH(G$6,'Restaurant Base (Hidden)'!$A$1:$Z$1,0)),"")</f>
        <v>4,517</v>
      </c>
      <c r="H194" s="50">
        <f>+IFERROR(INDEX('Restaurant Base (Hidden)'!$A$2:$Z$1048576,MATCH($C194,'Restaurant Base (Hidden)'!$C$2:$C$1048576,0),MATCH(H$6,'Restaurant Base (Hidden)'!$A$1:$Z$1,0)),"")</f>
        <v>5</v>
      </c>
      <c r="I194" s="20" t="str">
        <f>+IFERROR(INDEX('Restaurant Base (Hidden)'!$A$2:$Z$1048576,MATCH($C194,'Restaurant Base (Hidden)'!$C$2:$C$1048576,0),MATCH(I$6,'Restaurant Base (Hidden)'!$A$1:$Z$1,0)),"")</f>
        <v>80,30 %</v>
      </c>
      <c r="J194" s="49">
        <f>+IFERROR(INDEX('Restaurant Base (Hidden)'!$A$2:$Z$1048576,MATCH($C194,'Restaurant Base (Hidden)'!$C$2:$C$1048576,0),MATCH(J$6,'Restaurant Base (Hidden)'!$A$1:$Z$1,0)),"")</f>
        <v>2</v>
      </c>
      <c r="K194" s="20" t="str">
        <f>+IFERROR(INDEX('Restaurant Base (Hidden)'!$A$2:$Z$1048576,MATCH($C194,'Restaurant Base (Hidden)'!$C$2:$C$1048576,0),MATCH(K$6,'Restaurant Base (Hidden)'!$A$1:$Z$1,0)),"")</f>
        <v>0,099</v>
      </c>
      <c r="L194" s="51">
        <f>+IFERROR(INDEX('Restaurant Base (Hidden)'!$A$2:$Z$1048576,MATCH($C194,'Restaurant Base (Hidden)'!$C$2:$C$1048576,0),MATCH(L$6,'Restaurant Base (Hidden)'!$A$1:$Z$1,0)),"")</f>
        <v>4</v>
      </c>
      <c r="M194" s="2" t="str">
        <f>+IFERROR(INDEX('Restaurant Base (Hidden)'!$A$2:$Z$1048576,MATCH($C194,'Restaurant Base (Hidden)'!$C$2:$C$1048576,0),MATCH(M$6,'Restaurant Base (Hidden)'!$A$1:$Z$1,0)),"")</f>
        <v/>
      </c>
      <c r="N194" s="234" t="str">
        <f>+IFERROR(INDEX('Restaurant Base (Hidden)'!$A$2:$Z$1048576,MATCH($C194,'Restaurant Base (Hidden)'!$C$2:$C$1048576,0),MATCH(N$6,'Restaurant Base (Hidden)'!$A$1:$Z$1,0)),"")</f>
        <v>59,60 %</v>
      </c>
      <c r="O194" s="1">
        <f>+IFERROR(INDEX('Restaurant Base (Hidden)'!$A$2:$Z$1048576,MATCH($C194,'Restaurant Base (Hidden)'!$C$2:$C$1048576,0),MATCH(O$6,'Restaurant Base (Hidden)'!$A$1:$Z$1,0)),"")</f>
        <v>1</v>
      </c>
      <c r="P194" s="2" t="str">
        <f>+IFERROR(INDEX('Restaurant Base (Hidden)'!$A$2:$Z$1048576,MATCH($C194,'Restaurant Base (Hidden)'!$C$2:$C$1048576,0),MATCH(P$6,'Restaurant Base (Hidden)'!$A$1:$Z$1,0)),"")</f>
        <v/>
      </c>
      <c r="Q194" s="234" t="str">
        <f>+IFERROR(INDEX('Restaurant Base (Hidden)'!$A$2:$Z$1048576,MATCH($C194,'Restaurant Base (Hidden)'!$C$2:$C$1048576,0),MATCH(Q$6,'Restaurant Base (Hidden)'!$A$1:$Z$1,0)),"")</f>
        <v>95,20 %</v>
      </c>
      <c r="R194" s="1">
        <f>+IFERROR(INDEX('Restaurant Base (Hidden)'!$A$2:$Z$1048576,MATCH($C194,'Restaurant Base (Hidden)'!$C$2:$C$1048576,0),MATCH(R$6,'Restaurant Base (Hidden)'!$A$1:$Z$1,0)),"")</f>
        <v>5</v>
      </c>
      <c r="S194" s="2" t="str">
        <f>+IFERROR(INDEX('Restaurant Base (Hidden)'!$A$2:$Z$1048576,MATCH($C194,'Restaurant Base (Hidden)'!$C$2:$C$1048576,0),MATCH(S$6,'Restaurant Base (Hidden)'!$A$1:$Z$1,0)),"")</f>
        <v/>
      </c>
      <c r="T194" s="62">
        <f>+IFERROR(INDEX('Restaurant Base (Hidden)'!$A$2:$Z$1048576,MATCH($C194,'Restaurant Base (Hidden)'!$C$2:$C$1048576,0),MATCH(T$6,'Restaurant Base (Hidden)'!$A$1:$Z$1,0)),"")</f>
        <v>74.900000000000006</v>
      </c>
      <c r="U194" s="1">
        <f>+IFERROR(INDEX('Restaurant Base (Hidden)'!$A$2:$Z$1048576,MATCH($C194,'Restaurant Base (Hidden)'!$C$2:$C$1048576,0),MATCH(U$6,'Restaurant Base (Hidden)'!$A$1:$Z$1,0)),"")</f>
        <v>5</v>
      </c>
      <c r="V194" s="2" t="str">
        <f>+IFERROR(INDEX('Restaurant Base (Hidden)'!$A$2:$Z$1048576,MATCH($C194,'Restaurant Base (Hidden)'!$C$2:$C$1048576,0),MATCH(V$6,'Restaurant Base (Hidden)'!$A$1:$Z$1,0)),"")</f>
        <v/>
      </c>
      <c r="W194" s="65" t="str">
        <f>+IFERROR(INDEX('Restaurant Base (Hidden)'!$A$2:$Z$1048576,MATCH($C194,'Restaurant Base (Hidden)'!$C$2:$C$1048576,0),MATCH(W$6,'Restaurant Base (Hidden)'!$A$1:$Z$1,0)),"")</f>
        <v>71,20 %</v>
      </c>
      <c r="X194" s="1">
        <f>+IFERROR(INDEX('Restaurant Base (Hidden)'!$A$2:$Z$1048576,MATCH($C194,'Restaurant Base (Hidden)'!$C$2:$C$1048576,0),MATCH(X$6,'Restaurant Base (Hidden)'!$A$1:$Z$1,0)),"")</f>
        <v>2</v>
      </c>
      <c r="Y194" s="65" t="str">
        <f>+IFERROR(INDEX('Restaurant Base (Hidden)'!$A$2:$Z$1048576,MATCH($C194,'Restaurant Base (Hidden)'!$C$2:$C$1048576,0),MATCH(Y$6,'Restaurant Base (Hidden)'!$A$1:$Z$1,0)),"")</f>
        <v>97,90 %</v>
      </c>
      <c r="Z194" s="106">
        <f>+IFERROR(INDEX('Restaurant Base (Hidden)'!$A$2:$Z$1048576,MATCH($C194,'Restaurant Base (Hidden)'!$C$2:$C$1048576,0),MATCH(Z$6,'Restaurant Base (Hidden)'!$A$1:$Z$1,0)),"")</f>
        <v>4</v>
      </c>
      <c r="AA194" s="65" t="str">
        <f>+IFERROR(INDEX('Restaurant Base (Hidden)'!$A$2:$Z$1048576,MATCH($C194,'Restaurant Base (Hidden)'!$C$2:$C$1048576,0),MATCH(AA$6,'Restaurant Base (Hidden)'!$A$1:$Z$1,0)),"")</f>
        <v>95,50 %</v>
      </c>
      <c r="AB194" s="1">
        <f>+IFERROR(INDEX('Restaurant Base (Hidden)'!$A$2:$Z$1048576,MATCH($C194,'Restaurant Base (Hidden)'!$C$2:$C$1048576,0),MATCH(AB$6,'Restaurant Base (Hidden)'!$A$1:$Z$1,0)),"")</f>
        <v>3</v>
      </c>
      <c r="AC194" s="20" t="str">
        <f>+IFERROR(INDEX('Restaurant Base (Hidden)'!$A$2:$Z$1048576,MATCH($C194,'Restaurant Base (Hidden)'!$C$2:$C$1048576,0),MATCH(AC$6,'Restaurant Base (Hidden)'!$A$1:$Z$1,0)),"")</f>
        <v/>
      </c>
      <c r="AD194" s="65" t="str">
        <f>+IFERROR(INDEX('Restaurant Base (Hidden)'!$A$2:$Z$1048576,MATCH($C194,'Restaurant Base (Hidden)'!$C$2:$C$1048576,0),MATCH(AD$6,'Restaurant Base (Hidden)'!$A$1:$Z$1,0)),"")</f>
        <v>62,70 %</v>
      </c>
      <c r="AE194" s="1">
        <f>+IFERROR(INDEX('Restaurant Base (Hidden)'!$A$2:$Z$1048576,MATCH($C194,'Restaurant Base (Hidden)'!$C$2:$C$1048576,0),MATCH(AE$6,'Restaurant Base (Hidden)'!$A$1:$Z$1,0)),"")</f>
        <v>1</v>
      </c>
      <c r="AF194" s="65" t="str">
        <f>+IFERROR(INDEX('Restaurant Base (Hidden)'!$A$2:$Z$1048576,MATCH($C194,'Restaurant Base (Hidden)'!$C$2:$C$1048576,0),MATCH(AF$6,'Restaurant Base (Hidden)'!$A$1:$Z$1,0)),"")</f>
        <v>77,50 %</v>
      </c>
      <c r="AG194" s="1">
        <f>+IFERROR(INDEX('Restaurant Base (Hidden)'!$A$2:$Z$1048576,MATCH($C194,'Restaurant Base (Hidden)'!$C$2:$C$1048576,0),MATCH(AG$6,'Restaurant Base (Hidden)'!$A$1:$Z$1,0)),"")</f>
        <v>2</v>
      </c>
    </row>
    <row r="195" spans="1:33" x14ac:dyDescent="0.4">
      <c r="A195" s="163" t="str">
        <f>IF('Restaurant Base (Hidden)'!A44=0,"", 'Restaurant Base (Hidden)'!A44)</f>
        <v>Morgan Rivington</v>
      </c>
      <c r="B195" s="163" t="str">
        <f>IF('Restaurant Base (Hidden)'!B44=0,"", 'Restaurant Base (Hidden)'!B44)</f>
        <v>Silverline Hospitality</v>
      </c>
      <c r="C195" s="163" t="str">
        <f>IF('Restaurant Base (Hidden)'!C44=0,"", 'Restaurant Base (Hidden)'!C44)</f>
        <v>Golden Valley</v>
      </c>
      <c r="D195" s="104">
        <f t="shared" si="2"/>
        <v>188</v>
      </c>
      <c r="E195" s="105">
        <f>+IFERROR(INDEX('Restaurant Base (Hidden)'!$A$2:$Z$1048576,MATCH($C195,'Restaurant Base (Hidden)'!$C$2:$C$1048576,0),MATCH(E$6,'Restaurant Base (Hidden)'!$A$1:$Z$1,0)),"")</f>
        <v>3.04</v>
      </c>
      <c r="F195" s="64" t="str">
        <f>+IFERROR(INDEX('Restaurant Base (Hidden)'!$A$2:$Z$1048576,MATCH($C195,'Restaurant Base (Hidden)'!$C$2:$C$1048576,0),MATCH(F$6,'Restaurant Base (Hidden)'!$A$1:$Z$1,0)),"")</f>
        <v/>
      </c>
      <c r="G195" s="20" t="str">
        <f>+IFERROR(INDEX('Restaurant Base (Hidden)'!$A$2:$Z$1048576,MATCH($C195,'Restaurant Base (Hidden)'!$C$2:$C$1048576,0),MATCH(G$6,'Restaurant Base (Hidden)'!$A$1:$Z$1,0)),"")</f>
        <v>4,582</v>
      </c>
      <c r="H195" s="50">
        <f>+IFERROR(INDEX('Restaurant Base (Hidden)'!$A$2:$Z$1048576,MATCH($C195,'Restaurant Base (Hidden)'!$C$2:$C$1048576,0),MATCH(H$6,'Restaurant Base (Hidden)'!$A$1:$Z$1,0)),"")</f>
        <v>5</v>
      </c>
      <c r="I195" s="20" t="str">
        <f>+IFERROR(INDEX('Restaurant Base (Hidden)'!$A$2:$Z$1048576,MATCH($C195,'Restaurant Base (Hidden)'!$C$2:$C$1048576,0),MATCH(I$6,'Restaurant Base (Hidden)'!$A$1:$Z$1,0)),"")</f>
        <v>61,70 %</v>
      </c>
      <c r="J195" s="49">
        <f>+IFERROR(INDEX('Restaurant Base (Hidden)'!$A$2:$Z$1048576,MATCH($C195,'Restaurant Base (Hidden)'!$C$2:$C$1048576,0),MATCH(J$6,'Restaurant Base (Hidden)'!$A$1:$Z$1,0)),"")</f>
        <v>1</v>
      </c>
      <c r="K195" s="20" t="str">
        <f>+IFERROR(INDEX('Restaurant Base (Hidden)'!$A$2:$Z$1048576,MATCH($C195,'Restaurant Base (Hidden)'!$C$2:$C$1048576,0),MATCH(K$6,'Restaurant Base (Hidden)'!$A$1:$Z$1,0)),"")</f>
        <v>0,148</v>
      </c>
      <c r="L195" s="51">
        <f>+IFERROR(INDEX('Restaurant Base (Hidden)'!$A$2:$Z$1048576,MATCH($C195,'Restaurant Base (Hidden)'!$C$2:$C$1048576,0),MATCH(L$6,'Restaurant Base (Hidden)'!$A$1:$Z$1,0)),"")</f>
        <v>2</v>
      </c>
      <c r="M195" s="2" t="str">
        <f>+IFERROR(INDEX('Restaurant Base (Hidden)'!$A$2:$Z$1048576,MATCH($C195,'Restaurant Base (Hidden)'!$C$2:$C$1048576,0),MATCH(M$6,'Restaurant Base (Hidden)'!$A$1:$Z$1,0)),"")</f>
        <v/>
      </c>
      <c r="N195" s="234" t="str">
        <f>+IFERROR(INDEX('Restaurant Base (Hidden)'!$A$2:$Z$1048576,MATCH($C195,'Restaurant Base (Hidden)'!$C$2:$C$1048576,0),MATCH(N$6,'Restaurant Base (Hidden)'!$A$1:$Z$1,0)),"")</f>
        <v>59,30 %</v>
      </c>
      <c r="O195" s="1">
        <f>+IFERROR(INDEX('Restaurant Base (Hidden)'!$A$2:$Z$1048576,MATCH($C195,'Restaurant Base (Hidden)'!$C$2:$C$1048576,0),MATCH(O$6,'Restaurant Base (Hidden)'!$A$1:$Z$1,0)),"")</f>
        <v>1</v>
      </c>
      <c r="P195" s="2" t="str">
        <f>+IFERROR(INDEX('Restaurant Base (Hidden)'!$A$2:$Z$1048576,MATCH($C195,'Restaurant Base (Hidden)'!$C$2:$C$1048576,0),MATCH(P$6,'Restaurant Base (Hidden)'!$A$1:$Z$1,0)),"")</f>
        <v/>
      </c>
      <c r="Q195" s="234" t="str">
        <f>+IFERROR(INDEX('Restaurant Base (Hidden)'!$A$2:$Z$1048576,MATCH($C195,'Restaurant Base (Hidden)'!$C$2:$C$1048576,0),MATCH(Q$6,'Restaurant Base (Hidden)'!$A$1:$Z$1,0)),"")</f>
        <v>90,10 %</v>
      </c>
      <c r="R195" s="1">
        <f>+IFERROR(INDEX('Restaurant Base (Hidden)'!$A$2:$Z$1048576,MATCH($C195,'Restaurant Base (Hidden)'!$C$2:$C$1048576,0),MATCH(R$6,'Restaurant Base (Hidden)'!$A$1:$Z$1,0)),"")</f>
        <v>5</v>
      </c>
      <c r="S195" s="2" t="str">
        <f>+IFERROR(INDEX('Restaurant Base (Hidden)'!$A$2:$Z$1048576,MATCH($C195,'Restaurant Base (Hidden)'!$C$2:$C$1048576,0),MATCH(S$6,'Restaurant Base (Hidden)'!$A$1:$Z$1,0)),"")</f>
        <v/>
      </c>
      <c r="T195" s="62">
        <f>+IFERROR(INDEX('Restaurant Base (Hidden)'!$A$2:$Z$1048576,MATCH($C195,'Restaurant Base (Hidden)'!$C$2:$C$1048576,0),MATCH(T$6,'Restaurant Base (Hidden)'!$A$1:$Z$1,0)),"")</f>
        <v>76.599999999999994</v>
      </c>
      <c r="U195" s="1">
        <f>+IFERROR(INDEX('Restaurant Base (Hidden)'!$A$2:$Z$1048576,MATCH($C195,'Restaurant Base (Hidden)'!$C$2:$C$1048576,0),MATCH(U$6,'Restaurant Base (Hidden)'!$A$1:$Z$1,0)),"")</f>
        <v>5</v>
      </c>
      <c r="V195" s="2" t="str">
        <f>+IFERROR(INDEX('Restaurant Base (Hidden)'!$A$2:$Z$1048576,MATCH($C195,'Restaurant Base (Hidden)'!$C$2:$C$1048576,0),MATCH(V$6,'Restaurant Base (Hidden)'!$A$1:$Z$1,0)),"")</f>
        <v/>
      </c>
      <c r="W195" s="65" t="str">
        <f>+IFERROR(INDEX('Restaurant Base (Hidden)'!$A$2:$Z$1048576,MATCH($C195,'Restaurant Base (Hidden)'!$C$2:$C$1048576,0),MATCH(W$6,'Restaurant Base (Hidden)'!$A$1:$Z$1,0)),"")</f>
        <v>92,80 %</v>
      </c>
      <c r="X195" s="1">
        <f>+IFERROR(INDEX('Restaurant Base (Hidden)'!$A$2:$Z$1048576,MATCH($C195,'Restaurant Base (Hidden)'!$C$2:$C$1048576,0),MATCH(X$6,'Restaurant Base (Hidden)'!$A$1:$Z$1,0)),"")</f>
        <v>4</v>
      </c>
      <c r="Y195" s="65" t="str">
        <f>+IFERROR(INDEX('Restaurant Base (Hidden)'!$A$2:$Z$1048576,MATCH($C195,'Restaurant Base (Hidden)'!$C$2:$C$1048576,0),MATCH(Y$6,'Restaurant Base (Hidden)'!$A$1:$Z$1,0)),"")</f>
        <v>89,20 %</v>
      </c>
      <c r="Z195" s="106">
        <f>+IFERROR(INDEX('Restaurant Base (Hidden)'!$A$2:$Z$1048576,MATCH($C195,'Restaurant Base (Hidden)'!$C$2:$C$1048576,0),MATCH(Z$6,'Restaurant Base (Hidden)'!$A$1:$Z$1,0)),"")</f>
        <v>3</v>
      </c>
      <c r="AA195" s="65" t="str">
        <f>+IFERROR(INDEX('Restaurant Base (Hidden)'!$A$2:$Z$1048576,MATCH($C195,'Restaurant Base (Hidden)'!$C$2:$C$1048576,0),MATCH(AA$6,'Restaurant Base (Hidden)'!$A$1:$Z$1,0)),"")</f>
        <v>85,60 %</v>
      </c>
      <c r="AB195" s="1">
        <f>+IFERROR(INDEX('Restaurant Base (Hidden)'!$A$2:$Z$1048576,MATCH($C195,'Restaurant Base (Hidden)'!$C$2:$C$1048576,0),MATCH(AB$6,'Restaurant Base (Hidden)'!$A$1:$Z$1,0)),"")</f>
        <v>3</v>
      </c>
      <c r="AC195" s="20" t="str">
        <f>+IFERROR(INDEX('Restaurant Base (Hidden)'!$A$2:$Z$1048576,MATCH($C195,'Restaurant Base (Hidden)'!$C$2:$C$1048576,0),MATCH(AC$6,'Restaurant Base (Hidden)'!$A$1:$Z$1,0)),"")</f>
        <v/>
      </c>
      <c r="AD195" s="65" t="str">
        <f>+IFERROR(INDEX('Restaurant Base (Hidden)'!$A$2:$Z$1048576,MATCH($C195,'Restaurant Base (Hidden)'!$C$2:$C$1048576,0),MATCH(AD$6,'Restaurant Base (Hidden)'!$A$1:$Z$1,0)),"")</f>
        <v>81,20 %</v>
      </c>
      <c r="AE195" s="1">
        <f>+IFERROR(INDEX('Restaurant Base (Hidden)'!$A$2:$Z$1048576,MATCH($C195,'Restaurant Base (Hidden)'!$C$2:$C$1048576,0),MATCH(AE$6,'Restaurant Base (Hidden)'!$A$1:$Z$1,0)),"")</f>
        <v>2</v>
      </c>
      <c r="AF195" s="65" t="str">
        <f>+IFERROR(INDEX('Restaurant Base (Hidden)'!$A$2:$Z$1048576,MATCH($C195,'Restaurant Base (Hidden)'!$C$2:$C$1048576,0),MATCH(AF$6,'Restaurant Base (Hidden)'!$A$1:$Z$1,0)),"")</f>
        <v>91,60 %</v>
      </c>
      <c r="AG195" s="1">
        <f>+IFERROR(INDEX('Restaurant Base (Hidden)'!$A$2:$Z$1048576,MATCH($C195,'Restaurant Base (Hidden)'!$C$2:$C$1048576,0),MATCH(AG$6,'Restaurant Base (Hidden)'!$A$1:$Z$1,0)),"")</f>
        <v>3</v>
      </c>
    </row>
    <row r="196" spans="1:33" x14ac:dyDescent="0.4">
      <c r="A196" s="163" t="str">
        <f>IF('Restaurant Base (Hidden)'!A91=0,"", 'Restaurant Base (Hidden)'!A91)</f>
        <v>Casey Briarwood</v>
      </c>
      <c r="B196" s="163" t="str">
        <f>IF('Restaurant Base (Hidden)'!B91=0,"", 'Restaurant Base (Hidden)'!B91)</f>
        <v>Harborline Dining</v>
      </c>
      <c r="C196" s="163" t="str">
        <f>IF('Restaurant Base (Hidden)'!C91=0,"", 'Restaurant Base (Hidden)'!C91)</f>
        <v>Bluebell Village</v>
      </c>
      <c r="D196" s="104">
        <f t="shared" si="2"/>
        <v>188</v>
      </c>
      <c r="E196" s="105">
        <f>+IFERROR(INDEX('Restaurant Base (Hidden)'!$A$2:$Z$1048576,MATCH($C196,'Restaurant Base (Hidden)'!$C$2:$C$1048576,0),MATCH(E$6,'Restaurant Base (Hidden)'!$A$1:$Z$1,0)),"")</f>
        <v>3.04</v>
      </c>
      <c r="F196" s="2" t="str">
        <f>+IFERROR(INDEX('Restaurant Base (Hidden)'!$A$2:$Z$1048576,MATCH($C196,'Restaurant Base (Hidden)'!$C$2:$C$1048576,0),MATCH(F$6,'Restaurant Base (Hidden)'!$A$1:$Z$1,0)),"")</f>
        <v/>
      </c>
      <c r="G196" s="20" t="str">
        <f>+IFERROR(INDEX('Restaurant Base (Hidden)'!$A$2:$Z$1048576,MATCH($C196,'Restaurant Base (Hidden)'!$C$2:$C$1048576,0),MATCH(G$6,'Restaurant Base (Hidden)'!$A$1:$Z$1,0)),"")</f>
        <v>4,169</v>
      </c>
      <c r="H196" s="50">
        <f>+IFERROR(INDEX('Restaurant Base (Hidden)'!$A$2:$Z$1048576,MATCH($C196,'Restaurant Base (Hidden)'!$C$2:$C$1048576,0),MATCH(H$6,'Restaurant Base (Hidden)'!$A$1:$Z$1,0)),"")</f>
        <v>2</v>
      </c>
      <c r="I196" s="20" t="str">
        <f>+IFERROR(INDEX('Restaurant Base (Hidden)'!$A$2:$Z$1048576,MATCH($C196,'Restaurant Base (Hidden)'!$C$2:$C$1048576,0),MATCH(I$6,'Restaurant Base (Hidden)'!$A$1:$Z$1,0)),"")</f>
        <v>73,30 %</v>
      </c>
      <c r="J196" s="49">
        <f>+IFERROR(INDEX('Restaurant Base (Hidden)'!$A$2:$Z$1048576,MATCH($C196,'Restaurant Base (Hidden)'!$C$2:$C$1048576,0),MATCH(J$6,'Restaurant Base (Hidden)'!$A$1:$Z$1,0)),"")</f>
        <v>1</v>
      </c>
      <c r="K196" s="20" t="str">
        <f>+IFERROR(INDEX('Restaurant Base (Hidden)'!$A$2:$Z$1048576,MATCH($C196,'Restaurant Base (Hidden)'!$C$2:$C$1048576,0),MATCH(K$6,'Restaurant Base (Hidden)'!$A$1:$Z$1,0)),"")</f>
        <v>0,084</v>
      </c>
      <c r="L196" s="51">
        <f>+IFERROR(INDEX('Restaurant Base (Hidden)'!$A$2:$Z$1048576,MATCH($C196,'Restaurant Base (Hidden)'!$C$2:$C$1048576,0),MATCH(L$6,'Restaurant Base (Hidden)'!$A$1:$Z$1,0)),"")</f>
        <v>4</v>
      </c>
      <c r="M196" s="2" t="str">
        <f>+IFERROR(INDEX('Restaurant Base (Hidden)'!$A$2:$Z$1048576,MATCH($C196,'Restaurant Base (Hidden)'!$C$2:$C$1048576,0),MATCH(M$6,'Restaurant Base (Hidden)'!$A$1:$Z$1,0)),"")</f>
        <v/>
      </c>
      <c r="N196" s="234" t="str">
        <f>+IFERROR(INDEX('Restaurant Base (Hidden)'!$A$2:$Z$1048576,MATCH($C196,'Restaurant Base (Hidden)'!$C$2:$C$1048576,0),MATCH(N$6,'Restaurant Base (Hidden)'!$A$1:$Z$1,0)),"")</f>
        <v>91,10 %</v>
      </c>
      <c r="O196" s="1">
        <f>+IFERROR(INDEX('Restaurant Base (Hidden)'!$A$2:$Z$1048576,MATCH($C196,'Restaurant Base (Hidden)'!$C$2:$C$1048576,0),MATCH(O$6,'Restaurant Base (Hidden)'!$A$1:$Z$1,0)),"")</f>
        <v>5</v>
      </c>
      <c r="P196" s="2" t="str">
        <f>+IFERROR(INDEX('Restaurant Base (Hidden)'!$A$2:$Z$1048576,MATCH($C196,'Restaurant Base (Hidden)'!$C$2:$C$1048576,0),MATCH(P$6,'Restaurant Base (Hidden)'!$A$1:$Z$1,0)),"")</f>
        <v/>
      </c>
      <c r="Q196" s="234" t="str">
        <f>+IFERROR(INDEX('Restaurant Base (Hidden)'!$A$2:$Z$1048576,MATCH($C196,'Restaurant Base (Hidden)'!$C$2:$C$1048576,0),MATCH(Q$6,'Restaurant Base (Hidden)'!$A$1:$Z$1,0)),"")</f>
        <v>92,00 %</v>
      </c>
      <c r="R196" s="1">
        <f>+IFERROR(INDEX('Restaurant Base (Hidden)'!$A$2:$Z$1048576,MATCH($C196,'Restaurant Base (Hidden)'!$C$2:$C$1048576,0),MATCH(R$6,'Restaurant Base (Hidden)'!$A$1:$Z$1,0)),"")</f>
        <v>5</v>
      </c>
      <c r="S196" s="2" t="str">
        <f>+IFERROR(INDEX('Restaurant Base (Hidden)'!$A$2:$Z$1048576,MATCH($C196,'Restaurant Base (Hidden)'!$C$2:$C$1048576,0),MATCH(S$6,'Restaurant Base (Hidden)'!$A$1:$Z$1,0)),"")</f>
        <v/>
      </c>
      <c r="T196" s="62">
        <f>+IFERROR(INDEX('Restaurant Base (Hidden)'!$A$2:$Z$1048576,MATCH($C196,'Restaurant Base (Hidden)'!$C$2:$C$1048576,0),MATCH(T$6,'Restaurant Base (Hidden)'!$A$1:$Z$1,0)),"")</f>
        <v>68.599999999999994</v>
      </c>
      <c r="U196" s="1">
        <f>+IFERROR(INDEX('Restaurant Base (Hidden)'!$A$2:$Z$1048576,MATCH($C196,'Restaurant Base (Hidden)'!$C$2:$C$1048576,0),MATCH(U$6,'Restaurant Base (Hidden)'!$A$1:$Z$1,0)),"")</f>
        <v>4</v>
      </c>
      <c r="V196" s="2" t="str">
        <f>+IFERROR(INDEX('Restaurant Base (Hidden)'!$A$2:$Z$1048576,MATCH($C196,'Restaurant Base (Hidden)'!$C$2:$C$1048576,0),MATCH(V$6,'Restaurant Base (Hidden)'!$A$1:$Z$1,0)),"")</f>
        <v/>
      </c>
      <c r="W196" s="65" t="str">
        <f>+IFERROR(INDEX('Restaurant Base (Hidden)'!$A$2:$Z$1048576,MATCH($C196,'Restaurant Base (Hidden)'!$C$2:$C$1048576,0),MATCH(W$6,'Restaurant Base (Hidden)'!$A$1:$Z$1,0)),"")</f>
        <v>57,50 %</v>
      </c>
      <c r="X196" s="1">
        <f>+IFERROR(INDEX('Restaurant Base (Hidden)'!$A$2:$Z$1048576,MATCH($C196,'Restaurant Base (Hidden)'!$C$2:$C$1048576,0),MATCH(X$6,'Restaurant Base (Hidden)'!$A$1:$Z$1,0)),"")</f>
        <v>1</v>
      </c>
      <c r="Y196" s="65" t="str">
        <f>+IFERROR(INDEX('Restaurant Base (Hidden)'!$A$2:$Z$1048576,MATCH($C196,'Restaurant Base (Hidden)'!$C$2:$C$1048576,0),MATCH(Y$6,'Restaurant Base (Hidden)'!$A$1:$Z$1,0)),"")</f>
        <v>95,30 %</v>
      </c>
      <c r="Z196" s="106">
        <f>+IFERROR(INDEX('Restaurant Base (Hidden)'!$A$2:$Z$1048576,MATCH($C196,'Restaurant Base (Hidden)'!$C$2:$C$1048576,0),MATCH(Z$6,'Restaurant Base (Hidden)'!$A$1:$Z$1,0)),"")</f>
        <v>4</v>
      </c>
      <c r="AA196" s="65" t="str">
        <f>+IFERROR(INDEX('Restaurant Base (Hidden)'!$A$2:$Z$1048576,MATCH($C196,'Restaurant Base (Hidden)'!$C$2:$C$1048576,0),MATCH(AA$6,'Restaurant Base (Hidden)'!$A$1:$Z$1,0)),"")</f>
        <v>98,50 %</v>
      </c>
      <c r="AB196" s="1">
        <f>+IFERROR(INDEX('Restaurant Base (Hidden)'!$A$2:$Z$1048576,MATCH($C196,'Restaurant Base (Hidden)'!$C$2:$C$1048576,0),MATCH(AB$6,'Restaurant Base (Hidden)'!$A$1:$Z$1,0)),"")</f>
        <v>4</v>
      </c>
      <c r="AC196" s="20" t="str">
        <f>+IFERROR(INDEX('Restaurant Base (Hidden)'!$A$2:$Z$1048576,MATCH($C196,'Restaurant Base (Hidden)'!$C$2:$C$1048576,0),MATCH(AC$6,'Restaurant Base (Hidden)'!$A$1:$Z$1,0)),"")</f>
        <v/>
      </c>
      <c r="AD196" s="65" t="str">
        <f>+IFERROR(INDEX('Restaurant Base (Hidden)'!$A$2:$Z$1048576,MATCH($C196,'Restaurant Base (Hidden)'!$C$2:$C$1048576,0),MATCH(AD$6,'Restaurant Base (Hidden)'!$A$1:$Z$1,0)),"")</f>
        <v>56,40 %</v>
      </c>
      <c r="AE196" s="1">
        <f>+IFERROR(INDEX('Restaurant Base (Hidden)'!$A$2:$Z$1048576,MATCH($C196,'Restaurant Base (Hidden)'!$C$2:$C$1048576,0),MATCH(AE$6,'Restaurant Base (Hidden)'!$A$1:$Z$1,0)),"")</f>
        <v>1</v>
      </c>
      <c r="AF196" s="65" t="str">
        <f>+IFERROR(INDEX('Restaurant Base (Hidden)'!$A$2:$Z$1048576,MATCH($C196,'Restaurant Base (Hidden)'!$C$2:$C$1048576,0),MATCH(AF$6,'Restaurant Base (Hidden)'!$A$1:$Z$1,0)),"")</f>
        <v>61,30 %</v>
      </c>
      <c r="AG196" s="1">
        <f>+IFERROR(INDEX('Restaurant Base (Hidden)'!$A$2:$Z$1048576,MATCH($C196,'Restaurant Base (Hidden)'!$C$2:$C$1048576,0),MATCH(AG$6,'Restaurant Base (Hidden)'!$A$1:$Z$1,0)),"")</f>
        <v>1</v>
      </c>
    </row>
    <row r="197" spans="1:33" x14ac:dyDescent="0.4">
      <c r="A197" s="163" t="str">
        <f>IF('Restaurant Base (Hidden)'!A192=0,"", 'Restaurant Base (Hidden)'!A192)</f>
        <v>Reese Whitmore</v>
      </c>
      <c r="B197" s="163" t="str">
        <f>IF('Restaurant Base (Hidden)'!B192=0,"", 'Restaurant Base (Hidden)'!B192)</f>
        <v>Oakmont Dining Partners</v>
      </c>
      <c r="C197" s="163" t="str">
        <f>IF('Restaurant Base (Hidden)'!C192=0,"", 'Restaurant Base (Hidden)'!C192)</f>
        <v>Northern Commons</v>
      </c>
      <c r="D197" s="104">
        <f t="shared" si="2"/>
        <v>188</v>
      </c>
      <c r="E197" s="105">
        <f>+IFERROR(INDEX('Restaurant Base (Hidden)'!$A$2:$Z$1048576,MATCH($C197,'Restaurant Base (Hidden)'!$C$2:$C$1048576,0),MATCH(E$6,'Restaurant Base (Hidden)'!$A$1:$Z$1,0)),"")</f>
        <v>3.04</v>
      </c>
      <c r="F197" s="2" t="str">
        <f>+IFERROR(INDEX('Restaurant Base (Hidden)'!$A$2:$Z$1048576,MATCH($C197,'Restaurant Base (Hidden)'!$C$2:$C$1048576,0),MATCH(F$6,'Restaurant Base (Hidden)'!$A$1:$Z$1,0)),"")</f>
        <v/>
      </c>
      <c r="G197" s="20" t="str">
        <f>+IFERROR(INDEX('Restaurant Base (Hidden)'!$A$2:$Z$1048576,MATCH($C197,'Restaurant Base (Hidden)'!$C$2:$C$1048576,0),MATCH(G$6,'Restaurant Base (Hidden)'!$A$1:$Z$1,0)),"")</f>
        <v>4,512</v>
      </c>
      <c r="H197" s="50">
        <f>+IFERROR(INDEX('Restaurant Base (Hidden)'!$A$2:$Z$1048576,MATCH($C197,'Restaurant Base (Hidden)'!$C$2:$C$1048576,0),MATCH(H$6,'Restaurant Base (Hidden)'!$A$1:$Z$1,0)),"")</f>
        <v>5</v>
      </c>
      <c r="I197" s="20" t="str">
        <f>+IFERROR(INDEX('Restaurant Base (Hidden)'!$A$2:$Z$1048576,MATCH($C197,'Restaurant Base (Hidden)'!$C$2:$C$1048576,0),MATCH(I$6,'Restaurant Base (Hidden)'!$A$1:$Z$1,0)),"")</f>
        <v>60,10 %</v>
      </c>
      <c r="J197" s="49">
        <f>+IFERROR(INDEX('Restaurant Base (Hidden)'!$A$2:$Z$1048576,MATCH($C197,'Restaurant Base (Hidden)'!$C$2:$C$1048576,0),MATCH(J$6,'Restaurant Base (Hidden)'!$A$1:$Z$1,0)),"")</f>
        <v>1</v>
      </c>
      <c r="K197" s="20" t="str">
        <f>+IFERROR(INDEX('Restaurant Base (Hidden)'!$A$2:$Z$1048576,MATCH($C197,'Restaurant Base (Hidden)'!$C$2:$C$1048576,0),MATCH(K$6,'Restaurant Base (Hidden)'!$A$1:$Z$1,0)),"")</f>
        <v>0,210</v>
      </c>
      <c r="L197" s="51">
        <f>+IFERROR(INDEX('Restaurant Base (Hidden)'!$A$2:$Z$1048576,MATCH($C197,'Restaurant Base (Hidden)'!$C$2:$C$1048576,0),MATCH(L$6,'Restaurant Base (Hidden)'!$A$1:$Z$1,0)),"")</f>
        <v>1</v>
      </c>
      <c r="M197" s="2" t="str">
        <f>+IFERROR(INDEX('Restaurant Base (Hidden)'!$A$2:$Z$1048576,MATCH($C197,'Restaurant Base (Hidden)'!$C$2:$C$1048576,0),MATCH(M$6,'Restaurant Base (Hidden)'!$A$1:$Z$1,0)),"")</f>
        <v/>
      </c>
      <c r="N197" s="234" t="str">
        <f>+IFERROR(INDEX('Restaurant Base (Hidden)'!$A$2:$Z$1048576,MATCH($C197,'Restaurant Base (Hidden)'!$C$2:$C$1048576,0),MATCH(N$6,'Restaurant Base (Hidden)'!$A$1:$Z$1,0)),"")</f>
        <v>89,00 %</v>
      </c>
      <c r="O197" s="1">
        <f>+IFERROR(INDEX('Restaurant Base (Hidden)'!$A$2:$Z$1048576,MATCH($C197,'Restaurant Base (Hidden)'!$C$2:$C$1048576,0),MATCH(O$6,'Restaurant Base (Hidden)'!$A$1:$Z$1,0)),"")</f>
        <v>5</v>
      </c>
      <c r="P197" s="2" t="str">
        <f>+IFERROR(INDEX('Restaurant Base (Hidden)'!$A$2:$Z$1048576,MATCH($C197,'Restaurant Base (Hidden)'!$C$2:$C$1048576,0),MATCH(P$6,'Restaurant Base (Hidden)'!$A$1:$Z$1,0)),"")</f>
        <v/>
      </c>
      <c r="Q197" s="234" t="str">
        <f>+IFERROR(INDEX('Restaurant Base (Hidden)'!$A$2:$Z$1048576,MATCH($C197,'Restaurant Base (Hidden)'!$C$2:$C$1048576,0),MATCH(Q$6,'Restaurant Base (Hidden)'!$A$1:$Z$1,0)),"")</f>
        <v>69,00 %</v>
      </c>
      <c r="R197" s="1">
        <f>+IFERROR(INDEX('Restaurant Base (Hidden)'!$A$2:$Z$1048576,MATCH($C197,'Restaurant Base (Hidden)'!$C$2:$C$1048576,0),MATCH(R$6,'Restaurant Base (Hidden)'!$A$1:$Z$1,0)),"")</f>
        <v>4</v>
      </c>
      <c r="S197" s="2" t="str">
        <f>+IFERROR(INDEX('Restaurant Base (Hidden)'!$A$2:$Z$1048576,MATCH($C197,'Restaurant Base (Hidden)'!$C$2:$C$1048576,0),MATCH(S$6,'Restaurant Base (Hidden)'!$A$1:$Z$1,0)),"")</f>
        <v/>
      </c>
      <c r="T197" s="62">
        <f>+IFERROR(INDEX('Restaurant Base (Hidden)'!$A$2:$Z$1048576,MATCH($C197,'Restaurant Base (Hidden)'!$C$2:$C$1048576,0),MATCH(T$6,'Restaurant Base (Hidden)'!$A$1:$Z$1,0)),"")</f>
        <v>63.5</v>
      </c>
      <c r="U197" s="1">
        <f>+IFERROR(INDEX('Restaurant Base (Hidden)'!$A$2:$Z$1048576,MATCH($C197,'Restaurant Base (Hidden)'!$C$2:$C$1048576,0),MATCH(U$6,'Restaurant Base (Hidden)'!$A$1:$Z$1,0)),"")</f>
        <v>3</v>
      </c>
      <c r="V197" s="2" t="str">
        <f>+IFERROR(INDEX('Restaurant Base (Hidden)'!$A$2:$Z$1048576,MATCH($C197,'Restaurant Base (Hidden)'!$C$2:$C$1048576,0),MATCH(V$6,'Restaurant Base (Hidden)'!$A$1:$Z$1,0)),"")</f>
        <v/>
      </c>
      <c r="W197" s="65" t="str">
        <f>+IFERROR(INDEX('Restaurant Base (Hidden)'!$A$2:$Z$1048576,MATCH($C197,'Restaurant Base (Hidden)'!$C$2:$C$1048576,0),MATCH(W$6,'Restaurant Base (Hidden)'!$A$1:$Z$1,0)),"")</f>
        <v>62,00 %</v>
      </c>
      <c r="X197" s="1">
        <f>+IFERROR(INDEX('Restaurant Base (Hidden)'!$A$2:$Z$1048576,MATCH($C197,'Restaurant Base (Hidden)'!$C$2:$C$1048576,0),MATCH(X$6,'Restaurant Base (Hidden)'!$A$1:$Z$1,0)),"")</f>
        <v>2</v>
      </c>
      <c r="Y197" s="65" t="str">
        <f>+IFERROR(INDEX('Restaurant Base (Hidden)'!$A$2:$Z$1048576,MATCH($C197,'Restaurant Base (Hidden)'!$C$2:$C$1048576,0),MATCH(Y$6,'Restaurant Base (Hidden)'!$A$1:$Z$1,0)),"")</f>
        <v>97,60 %</v>
      </c>
      <c r="Z197" s="106">
        <f>+IFERROR(INDEX('Restaurant Base (Hidden)'!$A$2:$Z$1048576,MATCH($C197,'Restaurant Base (Hidden)'!$C$2:$C$1048576,0),MATCH(Z$6,'Restaurant Base (Hidden)'!$A$1:$Z$1,0)),"")</f>
        <v>4</v>
      </c>
      <c r="AA197" s="65" t="str">
        <f>+IFERROR(INDEX('Restaurant Base (Hidden)'!$A$2:$Z$1048576,MATCH($C197,'Restaurant Base (Hidden)'!$C$2:$C$1048576,0),MATCH(AA$6,'Restaurant Base (Hidden)'!$A$1:$Z$1,0)),"")</f>
        <v>85,40 %</v>
      </c>
      <c r="AB197" s="1">
        <f>+IFERROR(INDEX('Restaurant Base (Hidden)'!$A$2:$Z$1048576,MATCH($C197,'Restaurant Base (Hidden)'!$C$2:$C$1048576,0),MATCH(AB$6,'Restaurant Base (Hidden)'!$A$1:$Z$1,0)),"")</f>
        <v>3</v>
      </c>
      <c r="AC197" s="20" t="str">
        <f>+IFERROR(INDEX('Restaurant Base (Hidden)'!$A$2:$Z$1048576,MATCH($C197,'Restaurant Base (Hidden)'!$C$2:$C$1048576,0),MATCH(AC$6,'Restaurant Base (Hidden)'!$A$1:$Z$1,0)),"")</f>
        <v/>
      </c>
      <c r="AD197" s="65" t="str">
        <f>+IFERROR(INDEX('Restaurant Base (Hidden)'!$A$2:$Z$1048576,MATCH($C197,'Restaurant Base (Hidden)'!$C$2:$C$1048576,0),MATCH(AD$6,'Restaurant Base (Hidden)'!$A$1:$Z$1,0)),"")</f>
        <v>58,40 %</v>
      </c>
      <c r="AE197" s="1">
        <f>+IFERROR(INDEX('Restaurant Base (Hidden)'!$A$2:$Z$1048576,MATCH($C197,'Restaurant Base (Hidden)'!$C$2:$C$1048576,0),MATCH(AE$6,'Restaurant Base (Hidden)'!$A$1:$Z$1,0)),"")</f>
        <v>1</v>
      </c>
      <c r="AF197" s="65" t="str">
        <f>+IFERROR(INDEX('Restaurant Base (Hidden)'!$A$2:$Z$1048576,MATCH($C197,'Restaurant Base (Hidden)'!$C$2:$C$1048576,0),MATCH(AF$6,'Restaurant Base (Hidden)'!$A$1:$Z$1,0)),"")</f>
        <v>88,20 %</v>
      </c>
      <c r="AG197" s="1">
        <f>+IFERROR(INDEX('Restaurant Base (Hidden)'!$A$2:$Z$1048576,MATCH($C197,'Restaurant Base (Hidden)'!$C$2:$C$1048576,0),MATCH(AG$6,'Restaurant Base (Hidden)'!$A$1:$Z$1,0)),"")</f>
        <v>3</v>
      </c>
    </row>
    <row r="198" spans="1:33" x14ac:dyDescent="0.4">
      <c r="A198" s="163" t="str">
        <f>IF('Restaurant Base (Hidden)'!A310=0,"", 'Restaurant Base (Hidden)'!A310)</f>
        <v>Rowan Kingsley</v>
      </c>
      <c r="B198" s="163" t="str">
        <f>IF('Restaurant Base (Hidden)'!B310=0,"", 'Restaurant Base (Hidden)'!B310)</f>
        <v>Northvale Restaurants</v>
      </c>
      <c r="C198" s="163" t="str">
        <f>IF('Restaurant Base (Hidden)'!C310=0,"", 'Restaurant Base (Hidden)'!C310)</f>
        <v>Westwood Meadows</v>
      </c>
      <c r="D198" s="104">
        <f t="shared" si="2"/>
        <v>188</v>
      </c>
      <c r="E198" s="105">
        <f>+IFERROR(INDEX('Restaurant Base (Hidden)'!$A$2:$Z$1048576,MATCH($C198,'Restaurant Base (Hidden)'!$C$2:$C$1048576,0),MATCH(E$6,'Restaurant Base (Hidden)'!$A$1:$Z$1,0)),"")</f>
        <v>3.04</v>
      </c>
      <c r="F198" s="2" t="str">
        <f>+IFERROR(INDEX('Restaurant Base (Hidden)'!$A$2:$Z$1048576,MATCH($C198,'Restaurant Base (Hidden)'!$C$2:$C$1048576,0),MATCH(F$6,'Restaurant Base (Hidden)'!$A$1:$Z$1,0)),"")</f>
        <v/>
      </c>
      <c r="G198" s="20" t="str">
        <f>+IFERROR(INDEX('Restaurant Base (Hidden)'!$A$2:$Z$1048576,MATCH($C198,'Restaurant Base (Hidden)'!$C$2:$C$1048576,0),MATCH(G$6,'Restaurant Base (Hidden)'!$A$1:$Z$1,0)),"")</f>
        <v>4,343</v>
      </c>
      <c r="H198" s="50">
        <f>+IFERROR(INDEX('Restaurant Base (Hidden)'!$A$2:$Z$1048576,MATCH($C198,'Restaurant Base (Hidden)'!$C$2:$C$1048576,0),MATCH(H$6,'Restaurant Base (Hidden)'!$A$1:$Z$1,0)),"")</f>
        <v>3</v>
      </c>
      <c r="I198" s="20" t="str">
        <f>+IFERROR(INDEX('Restaurant Base (Hidden)'!$A$2:$Z$1048576,MATCH($C198,'Restaurant Base (Hidden)'!$C$2:$C$1048576,0),MATCH(I$6,'Restaurant Base (Hidden)'!$A$1:$Z$1,0)),"")</f>
        <v>56,10 %</v>
      </c>
      <c r="J198" s="49">
        <f>+IFERROR(INDEX('Restaurant Base (Hidden)'!$A$2:$Z$1048576,MATCH($C198,'Restaurant Base (Hidden)'!$C$2:$C$1048576,0),MATCH(J$6,'Restaurant Base (Hidden)'!$A$1:$Z$1,0)),"")</f>
        <v>1</v>
      </c>
      <c r="K198" s="20" t="str">
        <f>+IFERROR(INDEX('Restaurant Base (Hidden)'!$A$2:$Z$1048576,MATCH($C198,'Restaurant Base (Hidden)'!$C$2:$C$1048576,0),MATCH(K$6,'Restaurant Base (Hidden)'!$A$1:$Z$1,0)),"")</f>
        <v>0,097</v>
      </c>
      <c r="L198" s="51">
        <f>+IFERROR(INDEX('Restaurant Base (Hidden)'!$A$2:$Z$1048576,MATCH($C198,'Restaurant Base (Hidden)'!$C$2:$C$1048576,0),MATCH(L$6,'Restaurant Base (Hidden)'!$A$1:$Z$1,0)),"")</f>
        <v>4</v>
      </c>
      <c r="M198" s="2" t="str">
        <f>+IFERROR(INDEX('Restaurant Base (Hidden)'!$A$2:$Z$1048576,MATCH($C198,'Restaurant Base (Hidden)'!$C$2:$C$1048576,0),MATCH(M$6,'Restaurant Base (Hidden)'!$A$1:$Z$1,0)),"")</f>
        <v/>
      </c>
      <c r="N198" s="234" t="str">
        <f>+IFERROR(INDEX('Restaurant Base (Hidden)'!$A$2:$Z$1048576,MATCH($C198,'Restaurant Base (Hidden)'!$C$2:$C$1048576,0),MATCH(N$6,'Restaurant Base (Hidden)'!$A$1:$Z$1,0)),"")</f>
        <v>94,00 %</v>
      </c>
      <c r="O198" s="1">
        <f>+IFERROR(INDEX('Restaurant Base (Hidden)'!$A$2:$Z$1048576,MATCH($C198,'Restaurant Base (Hidden)'!$C$2:$C$1048576,0),MATCH(O$6,'Restaurant Base (Hidden)'!$A$1:$Z$1,0)),"")</f>
        <v>5</v>
      </c>
      <c r="P198" s="2" t="str">
        <f>+IFERROR(INDEX('Restaurant Base (Hidden)'!$A$2:$Z$1048576,MATCH($C198,'Restaurant Base (Hidden)'!$C$2:$C$1048576,0),MATCH(P$6,'Restaurant Base (Hidden)'!$A$1:$Z$1,0)),"")</f>
        <v/>
      </c>
      <c r="Q198" s="234" t="str">
        <f>+IFERROR(INDEX('Restaurant Base (Hidden)'!$A$2:$Z$1048576,MATCH($C198,'Restaurant Base (Hidden)'!$C$2:$C$1048576,0),MATCH(Q$6,'Restaurant Base (Hidden)'!$A$1:$Z$1,0)),"")</f>
        <v>91,40 %</v>
      </c>
      <c r="R198" s="1">
        <f>+IFERROR(INDEX('Restaurant Base (Hidden)'!$A$2:$Z$1048576,MATCH($C198,'Restaurant Base (Hidden)'!$C$2:$C$1048576,0),MATCH(R$6,'Restaurant Base (Hidden)'!$A$1:$Z$1,0)),"")</f>
        <v>5</v>
      </c>
      <c r="S198" s="2" t="str">
        <f>+IFERROR(INDEX('Restaurant Base (Hidden)'!$A$2:$Z$1048576,MATCH($C198,'Restaurant Base (Hidden)'!$C$2:$C$1048576,0),MATCH(S$6,'Restaurant Base (Hidden)'!$A$1:$Z$1,0)),"")</f>
        <v/>
      </c>
      <c r="T198" s="62">
        <f>+IFERROR(INDEX('Restaurant Base (Hidden)'!$A$2:$Z$1048576,MATCH($C198,'Restaurant Base (Hidden)'!$C$2:$C$1048576,0),MATCH(T$6,'Restaurant Base (Hidden)'!$A$1:$Z$1,0)),"")</f>
        <v>63.9</v>
      </c>
      <c r="U198" s="1">
        <f>+IFERROR(INDEX('Restaurant Base (Hidden)'!$A$2:$Z$1048576,MATCH($C198,'Restaurant Base (Hidden)'!$C$2:$C$1048576,0),MATCH(U$6,'Restaurant Base (Hidden)'!$A$1:$Z$1,0)),"")</f>
        <v>3</v>
      </c>
      <c r="V198" s="2" t="str">
        <f>+IFERROR(INDEX('Restaurant Base (Hidden)'!$A$2:$Z$1048576,MATCH($C198,'Restaurant Base (Hidden)'!$C$2:$C$1048576,0),MATCH(V$6,'Restaurant Base (Hidden)'!$A$1:$Z$1,0)),"")</f>
        <v/>
      </c>
      <c r="W198" s="65" t="str">
        <f>+IFERROR(INDEX('Restaurant Base (Hidden)'!$A$2:$Z$1048576,MATCH($C198,'Restaurant Base (Hidden)'!$C$2:$C$1048576,0),MATCH(W$6,'Restaurant Base (Hidden)'!$A$1:$Z$1,0)),"")</f>
        <v>61,60 %</v>
      </c>
      <c r="X198" s="1">
        <f>+IFERROR(INDEX('Restaurant Base (Hidden)'!$A$2:$Z$1048576,MATCH($C198,'Restaurant Base (Hidden)'!$C$2:$C$1048576,0),MATCH(X$6,'Restaurant Base (Hidden)'!$A$1:$Z$1,0)),"")</f>
        <v>2</v>
      </c>
      <c r="Y198" s="65" t="str">
        <f>+IFERROR(INDEX('Restaurant Base (Hidden)'!$A$2:$Z$1048576,MATCH($C198,'Restaurant Base (Hidden)'!$C$2:$C$1048576,0),MATCH(Y$6,'Restaurant Base (Hidden)'!$A$1:$Z$1,0)),"")</f>
        <v>79,30 %</v>
      </c>
      <c r="Z198" s="106">
        <f>+IFERROR(INDEX('Restaurant Base (Hidden)'!$A$2:$Z$1048576,MATCH($C198,'Restaurant Base (Hidden)'!$C$2:$C$1048576,0),MATCH(Z$6,'Restaurant Base (Hidden)'!$A$1:$Z$1,0)),"")</f>
        <v>2</v>
      </c>
      <c r="AA198" s="65" t="str">
        <f>+IFERROR(INDEX('Restaurant Base (Hidden)'!$A$2:$Z$1048576,MATCH($C198,'Restaurant Base (Hidden)'!$C$2:$C$1048576,0),MATCH(AA$6,'Restaurant Base (Hidden)'!$A$1:$Z$1,0)),"")</f>
        <v>68,40 %</v>
      </c>
      <c r="AB198" s="1">
        <f>+IFERROR(INDEX('Restaurant Base (Hidden)'!$A$2:$Z$1048576,MATCH($C198,'Restaurant Base (Hidden)'!$C$2:$C$1048576,0),MATCH(AB$6,'Restaurant Base (Hidden)'!$A$1:$Z$1,0)),"")</f>
        <v>2</v>
      </c>
      <c r="AC198" s="20" t="str">
        <f>+IFERROR(INDEX('Restaurant Base (Hidden)'!$A$2:$Z$1048576,MATCH($C198,'Restaurant Base (Hidden)'!$C$2:$C$1048576,0),MATCH(AC$6,'Restaurant Base (Hidden)'!$A$1:$Z$1,0)),"")</f>
        <v/>
      </c>
      <c r="AD198" s="65" t="str">
        <f>+IFERROR(INDEX('Restaurant Base (Hidden)'!$A$2:$Z$1048576,MATCH($C198,'Restaurant Base (Hidden)'!$C$2:$C$1048576,0),MATCH(AD$6,'Restaurant Base (Hidden)'!$A$1:$Z$1,0)),"")</f>
        <v>70,20 %</v>
      </c>
      <c r="AE198" s="1">
        <f>+IFERROR(INDEX('Restaurant Base (Hidden)'!$A$2:$Z$1048576,MATCH($C198,'Restaurant Base (Hidden)'!$C$2:$C$1048576,0),MATCH(AE$6,'Restaurant Base (Hidden)'!$A$1:$Z$1,0)),"")</f>
        <v>1</v>
      </c>
      <c r="AF198" s="65" t="str">
        <f>+IFERROR(INDEX('Restaurant Base (Hidden)'!$A$2:$Z$1048576,MATCH($C198,'Restaurant Base (Hidden)'!$C$2:$C$1048576,0),MATCH(AF$6,'Restaurant Base (Hidden)'!$A$1:$Z$1,0)),"")</f>
        <v>89,70 %</v>
      </c>
      <c r="AG198" s="1">
        <f>+IFERROR(INDEX('Restaurant Base (Hidden)'!$A$2:$Z$1048576,MATCH($C198,'Restaurant Base (Hidden)'!$C$2:$C$1048576,0),MATCH(AG$6,'Restaurant Base (Hidden)'!$A$1:$Z$1,0)),"")</f>
        <v>3</v>
      </c>
    </row>
    <row r="199" spans="1:33" x14ac:dyDescent="0.4">
      <c r="A199" s="163" t="str">
        <f>IF('Restaurant Base (Hidden)'!A25=0,"", 'Restaurant Base (Hidden)'!A25)</f>
        <v>Bailey Silverton</v>
      </c>
      <c r="B199" s="163" t="str">
        <f>IF('Restaurant Base (Hidden)'!B25=0,"", 'Restaurant Base (Hidden)'!B25)</f>
        <v>Lakeshore Food Partners</v>
      </c>
      <c r="C199" s="163" t="str">
        <f>IF('Restaurant Base (Hidden)'!C25=0,"", 'Restaurant Base (Hidden)'!C25)</f>
        <v>Fox Terrace</v>
      </c>
      <c r="D199" s="104">
        <f t="shared" ref="D199:D262" si="3">+IFERROR(RANK(E199,$E$7:$E$3390,),"")</f>
        <v>193</v>
      </c>
      <c r="E199" s="105">
        <f>+IFERROR(INDEX('Restaurant Base (Hidden)'!$A$2:$Z$1048576,MATCH($C199,'Restaurant Base (Hidden)'!$C$2:$C$1048576,0),MATCH(E$6,'Restaurant Base (Hidden)'!$A$1:$Z$1,0)),"")</f>
        <v>3.03</v>
      </c>
      <c r="F199" s="64" t="str">
        <f>+IFERROR(INDEX('Restaurant Base (Hidden)'!$A$2:$Z$1048576,MATCH($C199,'Restaurant Base (Hidden)'!$C$2:$C$1048576,0),MATCH(F$6,'Restaurant Base (Hidden)'!$A$1:$Z$1,0)),"")</f>
        <v/>
      </c>
      <c r="G199" s="20" t="str">
        <f>+IFERROR(INDEX('Restaurant Base (Hidden)'!$A$2:$Z$1048576,MATCH($C199,'Restaurant Base (Hidden)'!$C$2:$C$1048576,0),MATCH(G$6,'Restaurant Base (Hidden)'!$A$1:$Z$1,0)),"")</f>
        <v>4,068</v>
      </c>
      <c r="H199" s="50">
        <f>+IFERROR(INDEX('Restaurant Base (Hidden)'!$A$2:$Z$1048576,MATCH($C199,'Restaurant Base (Hidden)'!$C$2:$C$1048576,0),MATCH(H$6,'Restaurant Base (Hidden)'!$A$1:$Z$1,0)),"")</f>
        <v>2</v>
      </c>
      <c r="I199" s="20" t="str">
        <f>+IFERROR(INDEX('Restaurant Base (Hidden)'!$A$2:$Z$1048576,MATCH($C199,'Restaurant Base (Hidden)'!$C$2:$C$1048576,0),MATCH(I$6,'Restaurant Base (Hidden)'!$A$1:$Z$1,0)),"")</f>
        <v>79,50 %</v>
      </c>
      <c r="J199" s="49">
        <f>+IFERROR(INDEX('Restaurant Base (Hidden)'!$A$2:$Z$1048576,MATCH($C199,'Restaurant Base (Hidden)'!$C$2:$C$1048576,0),MATCH(J$6,'Restaurant Base (Hidden)'!$A$1:$Z$1,0)),"")</f>
        <v>2</v>
      </c>
      <c r="K199" s="20" t="str">
        <f>+IFERROR(INDEX('Restaurant Base (Hidden)'!$A$2:$Z$1048576,MATCH($C199,'Restaurant Base (Hidden)'!$C$2:$C$1048576,0),MATCH(K$6,'Restaurant Base (Hidden)'!$A$1:$Z$1,0)),"")</f>
        <v>0,112</v>
      </c>
      <c r="L199" s="51">
        <f>+IFERROR(INDEX('Restaurant Base (Hidden)'!$A$2:$Z$1048576,MATCH($C199,'Restaurant Base (Hidden)'!$C$2:$C$1048576,0),MATCH(L$6,'Restaurant Base (Hidden)'!$A$1:$Z$1,0)),"")</f>
        <v>3</v>
      </c>
      <c r="M199" s="2" t="str">
        <f>+IFERROR(INDEX('Restaurant Base (Hidden)'!$A$2:$Z$1048576,MATCH($C199,'Restaurant Base (Hidden)'!$C$2:$C$1048576,0),MATCH(M$6,'Restaurant Base (Hidden)'!$A$1:$Z$1,0)),"")</f>
        <v/>
      </c>
      <c r="N199" s="234" t="str">
        <f>+IFERROR(INDEX('Restaurant Base (Hidden)'!$A$2:$Z$1048576,MATCH($C199,'Restaurant Base (Hidden)'!$C$2:$C$1048576,0),MATCH(N$6,'Restaurant Base (Hidden)'!$A$1:$Z$1,0)),"")</f>
        <v>86,10 %</v>
      </c>
      <c r="O199" s="1">
        <f>+IFERROR(INDEX('Restaurant Base (Hidden)'!$A$2:$Z$1048576,MATCH($C199,'Restaurant Base (Hidden)'!$C$2:$C$1048576,0),MATCH(O$6,'Restaurant Base (Hidden)'!$A$1:$Z$1,0)),"")</f>
        <v>5</v>
      </c>
      <c r="P199" s="2" t="str">
        <f>+IFERROR(INDEX('Restaurant Base (Hidden)'!$A$2:$Z$1048576,MATCH($C199,'Restaurant Base (Hidden)'!$C$2:$C$1048576,0),MATCH(P$6,'Restaurant Base (Hidden)'!$A$1:$Z$1,0)),"")</f>
        <v/>
      </c>
      <c r="Q199" s="234" t="str">
        <f>+IFERROR(INDEX('Restaurant Base (Hidden)'!$A$2:$Z$1048576,MATCH($C199,'Restaurant Base (Hidden)'!$C$2:$C$1048576,0),MATCH(Q$6,'Restaurant Base (Hidden)'!$A$1:$Z$1,0)),"")</f>
        <v>96,50 %</v>
      </c>
      <c r="R199" s="1">
        <f>+IFERROR(INDEX('Restaurant Base (Hidden)'!$A$2:$Z$1048576,MATCH($C199,'Restaurant Base (Hidden)'!$C$2:$C$1048576,0),MATCH(R$6,'Restaurant Base (Hidden)'!$A$1:$Z$1,0)),"")</f>
        <v>5</v>
      </c>
      <c r="S199" s="2" t="str">
        <f>+IFERROR(INDEX('Restaurant Base (Hidden)'!$A$2:$Z$1048576,MATCH($C199,'Restaurant Base (Hidden)'!$C$2:$C$1048576,0),MATCH(S$6,'Restaurant Base (Hidden)'!$A$1:$Z$1,0)),"")</f>
        <v/>
      </c>
      <c r="T199" s="62">
        <f>+IFERROR(INDEX('Restaurant Base (Hidden)'!$A$2:$Z$1048576,MATCH($C199,'Restaurant Base (Hidden)'!$C$2:$C$1048576,0),MATCH(T$6,'Restaurant Base (Hidden)'!$A$1:$Z$1,0)),"")</f>
        <v>64.900000000000006</v>
      </c>
      <c r="U199" s="1">
        <f>+IFERROR(INDEX('Restaurant Base (Hidden)'!$A$2:$Z$1048576,MATCH($C199,'Restaurant Base (Hidden)'!$C$2:$C$1048576,0),MATCH(U$6,'Restaurant Base (Hidden)'!$A$1:$Z$1,0)),"")</f>
        <v>4</v>
      </c>
      <c r="V199" s="2" t="str">
        <f>+IFERROR(INDEX('Restaurant Base (Hidden)'!$A$2:$Z$1048576,MATCH($C199,'Restaurant Base (Hidden)'!$C$2:$C$1048576,0),MATCH(V$6,'Restaurant Base (Hidden)'!$A$1:$Z$1,0)),"")</f>
        <v/>
      </c>
      <c r="W199" s="65" t="str">
        <f>+IFERROR(INDEX('Restaurant Base (Hidden)'!$A$2:$Z$1048576,MATCH($C199,'Restaurant Base (Hidden)'!$C$2:$C$1048576,0),MATCH(W$6,'Restaurant Base (Hidden)'!$A$1:$Z$1,0)),"")</f>
        <v>94,60 %</v>
      </c>
      <c r="X199" s="1">
        <f>+IFERROR(INDEX('Restaurant Base (Hidden)'!$A$2:$Z$1048576,MATCH($C199,'Restaurant Base (Hidden)'!$C$2:$C$1048576,0),MATCH(X$6,'Restaurant Base (Hidden)'!$A$1:$Z$1,0)),"")</f>
        <v>4</v>
      </c>
      <c r="Y199" s="65" t="str">
        <f>+IFERROR(INDEX('Restaurant Base (Hidden)'!$A$2:$Z$1048576,MATCH($C199,'Restaurant Base (Hidden)'!$C$2:$C$1048576,0),MATCH(Y$6,'Restaurant Base (Hidden)'!$A$1:$Z$1,0)),"")</f>
        <v>73,90 %</v>
      </c>
      <c r="Z199" s="106">
        <f>+IFERROR(INDEX('Restaurant Base (Hidden)'!$A$2:$Z$1048576,MATCH($C199,'Restaurant Base (Hidden)'!$C$2:$C$1048576,0),MATCH(Z$6,'Restaurant Base (Hidden)'!$A$1:$Z$1,0)),"")</f>
        <v>2</v>
      </c>
      <c r="AA199" s="65" t="str">
        <f>+IFERROR(INDEX('Restaurant Base (Hidden)'!$A$2:$Z$1048576,MATCH($C199,'Restaurant Base (Hidden)'!$C$2:$C$1048576,0),MATCH(AA$6,'Restaurant Base (Hidden)'!$A$1:$Z$1,0)),"")</f>
        <v>66,00 %</v>
      </c>
      <c r="AB199" s="1">
        <f>+IFERROR(INDEX('Restaurant Base (Hidden)'!$A$2:$Z$1048576,MATCH($C199,'Restaurant Base (Hidden)'!$C$2:$C$1048576,0),MATCH(AB$6,'Restaurant Base (Hidden)'!$A$1:$Z$1,0)),"")</f>
        <v>2</v>
      </c>
      <c r="AC199" s="20" t="str">
        <f>+IFERROR(INDEX('Restaurant Base (Hidden)'!$A$2:$Z$1048576,MATCH($C199,'Restaurant Base (Hidden)'!$C$2:$C$1048576,0),MATCH(AC$6,'Restaurant Base (Hidden)'!$A$1:$Z$1,0)),"")</f>
        <v/>
      </c>
      <c r="AD199" s="65" t="str">
        <f>+IFERROR(INDEX('Restaurant Base (Hidden)'!$A$2:$Z$1048576,MATCH($C199,'Restaurant Base (Hidden)'!$C$2:$C$1048576,0),MATCH(AD$6,'Restaurant Base (Hidden)'!$A$1:$Z$1,0)),"")</f>
        <v>70,20 %</v>
      </c>
      <c r="AE199" s="1">
        <f>+IFERROR(INDEX('Restaurant Base (Hidden)'!$A$2:$Z$1048576,MATCH($C199,'Restaurant Base (Hidden)'!$C$2:$C$1048576,0),MATCH(AE$6,'Restaurant Base (Hidden)'!$A$1:$Z$1,0)),"")</f>
        <v>1</v>
      </c>
      <c r="AF199" s="65" t="str">
        <f>+IFERROR(INDEX('Restaurant Base (Hidden)'!$A$2:$Z$1048576,MATCH($C199,'Restaurant Base (Hidden)'!$C$2:$C$1048576,0),MATCH(AF$6,'Restaurant Base (Hidden)'!$A$1:$Z$1,0)),"")</f>
        <v>56,20 %</v>
      </c>
      <c r="AG199" s="1">
        <f>+IFERROR(INDEX('Restaurant Base (Hidden)'!$A$2:$Z$1048576,MATCH($C199,'Restaurant Base (Hidden)'!$C$2:$C$1048576,0),MATCH(AG$6,'Restaurant Base (Hidden)'!$A$1:$Z$1,0)),"")</f>
        <v>1</v>
      </c>
    </row>
    <row r="200" spans="1:33" x14ac:dyDescent="0.4">
      <c r="A200" s="163" t="str">
        <f>IF('Restaurant Base (Hidden)'!A59=0,"", 'Restaurant Base (Hidden)'!A59)</f>
        <v>Tatum Westmere</v>
      </c>
      <c r="B200" s="163" t="str">
        <f>IF('Restaurant Base (Hidden)'!B59=0,"", 'Restaurant Base (Hidden)'!B59)</f>
        <v>Fairmont Food Group</v>
      </c>
      <c r="C200" s="163" t="str">
        <f>IF('Restaurant Base (Hidden)'!C59=0,"", 'Restaurant Base (Hidden)'!C59)</f>
        <v>Pine Park</v>
      </c>
      <c r="D200" s="104">
        <f t="shared" si="3"/>
        <v>193</v>
      </c>
      <c r="E200" s="105">
        <f>+IFERROR(INDEX('Restaurant Base (Hidden)'!$A$2:$Z$1048576,MATCH($C200,'Restaurant Base (Hidden)'!$C$2:$C$1048576,0),MATCH(E$6,'Restaurant Base (Hidden)'!$A$1:$Z$1,0)),"")</f>
        <v>3.03</v>
      </c>
      <c r="F200" s="64" t="str">
        <f>+IFERROR(INDEX('Restaurant Base (Hidden)'!$A$2:$Z$1048576,MATCH($C200,'Restaurant Base (Hidden)'!$C$2:$C$1048576,0),MATCH(F$6,'Restaurant Base (Hidden)'!$A$1:$Z$1,0)),"")</f>
        <v/>
      </c>
      <c r="G200" s="20" t="str">
        <f>+IFERROR(INDEX('Restaurant Base (Hidden)'!$A$2:$Z$1048576,MATCH($C200,'Restaurant Base (Hidden)'!$C$2:$C$1048576,0),MATCH(G$6,'Restaurant Base (Hidden)'!$A$1:$Z$1,0)),"")</f>
        <v>4,265</v>
      </c>
      <c r="H200" s="50">
        <f>+IFERROR(INDEX('Restaurant Base (Hidden)'!$A$2:$Z$1048576,MATCH($C200,'Restaurant Base (Hidden)'!$C$2:$C$1048576,0),MATCH(H$6,'Restaurant Base (Hidden)'!$A$1:$Z$1,0)),"")</f>
        <v>3</v>
      </c>
      <c r="I200" s="20" t="str">
        <f>+IFERROR(INDEX('Restaurant Base (Hidden)'!$A$2:$Z$1048576,MATCH($C200,'Restaurant Base (Hidden)'!$C$2:$C$1048576,0),MATCH(I$6,'Restaurant Base (Hidden)'!$A$1:$Z$1,0)),"")</f>
        <v>59,80 %</v>
      </c>
      <c r="J200" s="49">
        <f>+IFERROR(INDEX('Restaurant Base (Hidden)'!$A$2:$Z$1048576,MATCH($C200,'Restaurant Base (Hidden)'!$C$2:$C$1048576,0),MATCH(J$6,'Restaurant Base (Hidden)'!$A$1:$Z$1,0)),"")</f>
        <v>1</v>
      </c>
      <c r="K200" s="20" t="str">
        <f>+IFERROR(INDEX('Restaurant Base (Hidden)'!$A$2:$Z$1048576,MATCH($C200,'Restaurant Base (Hidden)'!$C$2:$C$1048576,0),MATCH(K$6,'Restaurant Base (Hidden)'!$A$1:$Z$1,0)),"")</f>
        <v>0,129</v>
      </c>
      <c r="L200" s="51">
        <f>+IFERROR(INDEX('Restaurant Base (Hidden)'!$A$2:$Z$1048576,MATCH($C200,'Restaurant Base (Hidden)'!$C$2:$C$1048576,0),MATCH(L$6,'Restaurant Base (Hidden)'!$A$1:$Z$1,0)),"")</f>
        <v>3</v>
      </c>
      <c r="M200" s="2" t="str">
        <f>+IFERROR(INDEX('Restaurant Base (Hidden)'!$A$2:$Z$1048576,MATCH($C200,'Restaurant Base (Hidden)'!$C$2:$C$1048576,0),MATCH(M$6,'Restaurant Base (Hidden)'!$A$1:$Z$1,0)),"")</f>
        <v/>
      </c>
      <c r="N200" s="234" t="str">
        <f>+IFERROR(INDEX('Restaurant Base (Hidden)'!$A$2:$Z$1048576,MATCH($C200,'Restaurant Base (Hidden)'!$C$2:$C$1048576,0),MATCH(N$6,'Restaurant Base (Hidden)'!$A$1:$Z$1,0)),"")</f>
        <v>85,30 %</v>
      </c>
      <c r="O200" s="1">
        <f>+IFERROR(INDEX('Restaurant Base (Hidden)'!$A$2:$Z$1048576,MATCH($C200,'Restaurant Base (Hidden)'!$C$2:$C$1048576,0),MATCH(O$6,'Restaurant Base (Hidden)'!$A$1:$Z$1,0)),"")</f>
        <v>5</v>
      </c>
      <c r="P200" s="2" t="str">
        <f>+IFERROR(INDEX('Restaurant Base (Hidden)'!$A$2:$Z$1048576,MATCH($C200,'Restaurant Base (Hidden)'!$C$2:$C$1048576,0),MATCH(P$6,'Restaurant Base (Hidden)'!$A$1:$Z$1,0)),"")</f>
        <v/>
      </c>
      <c r="Q200" s="234" t="str">
        <f>+IFERROR(INDEX('Restaurant Base (Hidden)'!$A$2:$Z$1048576,MATCH($C200,'Restaurant Base (Hidden)'!$C$2:$C$1048576,0),MATCH(Q$6,'Restaurant Base (Hidden)'!$A$1:$Z$1,0)),"")</f>
        <v>98,70 %</v>
      </c>
      <c r="R200" s="1">
        <f>+IFERROR(INDEX('Restaurant Base (Hidden)'!$A$2:$Z$1048576,MATCH($C200,'Restaurant Base (Hidden)'!$C$2:$C$1048576,0),MATCH(R$6,'Restaurant Base (Hidden)'!$A$1:$Z$1,0)),"")</f>
        <v>5</v>
      </c>
      <c r="S200" s="2" t="str">
        <f>+IFERROR(INDEX('Restaurant Base (Hidden)'!$A$2:$Z$1048576,MATCH($C200,'Restaurant Base (Hidden)'!$C$2:$C$1048576,0),MATCH(S$6,'Restaurant Base (Hidden)'!$A$1:$Z$1,0)),"")</f>
        <v/>
      </c>
      <c r="T200" s="62">
        <f>+IFERROR(INDEX('Restaurant Base (Hidden)'!$A$2:$Z$1048576,MATCH($C200,'Restaurant Base (Hidden)'!$C$2:$C$1048576,0),MATCH(T$6,'Restaurant Base (Hidden)'!$A$1:$Z$1,0)),"")</f>
        <v>61.9</v>
      </c>
      <c r="U200" s="1">
        <f>+IFERROR(INDEX('Restaurant Base (Hidden)'!$A$2:$Z$1048576,MATCH($C200,'Restaurant Base (Hidden)'!$C$2:$C$1048576,0),MATCH(U$6,'Restaurant Base (Hidden)'!$A$1:$Z$1,0)),"")</f>
        <v>3</v>
      </c>
      <c r="V200" s="2" t="str">
        <f>+IFERROR(INDEX('Restaurant Base (Hidden)'!$A$2:$Z$1048576,MATCH($C200,'Restaurant Base (Hidden)'!$C$2:$C$1048576,0),MATCH(V$6,'Restaurant Base (Hidden)'!$A$1:$Z$1,0)),"")</f>
        <v/>
      </c>
      <c r="W200" s="65" t="str">
        <f>+IFERROR(INDEX('Restaurant Base (Hidden)'!$A$2:$Z$1048576,MATCH($C200,'Restaurant Base (Hidden)'!$C$2:$C$1048576,0),MATCH(W$6,'Restaurant Base (Hidden)'!$A$1:$Z$1,0)),"")</f>
        <v>67,70 %</v>
      </c>
      <c r="X200" s="1">
        <f>+IFERROR(INDEX('Restaurant Base (Hidden)'!$A$2:$Z$1048576,MATCH($C200,'Restaurant Base (Hidden)'!$C$2:$C$1048576,0),MATCH(X$6,'Restaurant Base (Hidden)'!$A$1:$Z$1,0)),"")</f>
        <v>2</v>
      </c>
      <c r="Y200" s="65" t="str">
        <f>+IFERROR(INDEX('Restaurant Base (Hidden)'!$A$2:$Z$1048576,MATCH($C200,'Restaurant Base (Hidden)'!$C$2:$C$1048576,0),MATCH(Y$6,'Restaurant Base (Hidden)'!$A$1:$Z$1,0)),"")</f>
        <v>62,50 %</v>
      </c>
      <c r="Z200" s="106">
        <f>+IFERROR(INDEX('Restaurant Base (Hidden)'!$A$2:$Z$1048576,MATCH($C200,'Restaurant Base (Hidden)'!$C$2:$C$1048576,0),MATCH(Z$6,'Restaurant Base (Hidden)'!$A$1:$Z$1,0)),"")</f>
        <v>2</v>
      </c>
      <c r="AA200" s="65" t="str">
        <f>+IFERROR(INDEX('Restaurant Base (Hidden)'!$A$2:$Z$1048576,MATCH($C200,'Restaurant Base (Hidden)'!$C$2:$C$1048576,0),MATCH(AA$6,'Restaurant Base (Hidden)'!$A$1:$Z$1,0)),"")</f>
        <v>89,20 %</v>
      </c>
      <c r="AB200" s="1">
        <f>+IFERROR(INDEX('Restaurant Base (Hidden)'!$A$2:$Z$1048576,MATCH($C200,'Restaurant Base (Hidden)'!$C$2:$C$1048576,0),MATCH(AB$6,'Restaurant Base (Hidden)'!$A$1:$Z$1,0)),"")</f>
        <v>3</v>
      </c>
      <c r="AC200" s="20" t="str">
        <f>+IFERROR(INDEX('Restaurant Base (Hidden)'!$A$2:$Z$1048576,MATCH($C200,'Restaurant Base (Hidden)'!$C$2:$C$1048576,0),MATCH(AC$6,'Restaurant Base (Hidden)'!$A$1:$Z$1,0)),"")</f>
        <v/>
      </c>
      <c r="AD200" s="65" t="str">
        <f>+IFERROR(INDEX('Restaurant Base (Hidden)'!$A$2:$Z$1048576,MATCH($C200,'Restaurant Base (Hidden)'!$C$2:$C$1048576,0),MATCH(AD$6,'Restaurant Base (Hidden)'!$A$1:$Z$1,0)),"")</f>
        <v>77,80 %</v>
      </c>
      <c r="AE200" s="1">
        <f>+IFERROR(INDEX('Restaurant Base (Hidden)'!$A$2:$Z$1048576,MATCH($C200,'Restaurant Base (Hidden)'!$C$2:$C$1048576,0),MATCH(AE$6,'Restaurant Base (Hidden)'!$A$1:$Z$1,0)),"")</f>
        <v>2</v>
      </c>
      <c r="AF200" s="65" t="str">
        <f>+IFERROR(INDEX('Restaurant Base (Hidden)'!$A$2:$Z$1048576,MATCH($C200,'Restaurant Base (Hidden)'!$C$2:$C$1048576,0),MATCH(AF$6,'Restaurant Base (Hidden)'!$A$1:$Z$1,0)),"")</f>
        <v>83,60 %</v>
      </c>
      <c r="AG200" s="1">
        <f>+IFERROR(INDEX('Restaurant Base (Hidden)'!$A$2:$Z$1048576,MATCH($C200,'Restaurant Base (Hidden)'!$C$2:$C$1048576,0),MATCH(AG$6,'Restaurant Base (Hidden)'!$A$1:$Z$1,0)),"")</f>
        <v>2</v>
      </c>
    </row>
    <row r="201" spans="1:33" x14ac:dyDescent="0.4">
      <c r="A201" s="163" t="str">
        <f>IF('Restaurant Base (Hidden)'!A114=0,"", 'Restaurant Base (Hidden)'!A114)</f>
        <v>Marlowe Ellington</v>
      </c>
      <c r="B201" s="163" t="str">
        <f>IF('Restaurant Base (Hidden)'!B114=0,"", 'Restaurant Base (Hidden)'!B114)</f>
        <v>Ridgeway Restaurants</v>
      </c>
      <c r="C201" s="163" t="str">
        <f>IF('Restaurant Base (Hidden)'!C114=0,"", 'Restaurant Base (Hidden)'!C114)</f>
        <v>Oak Corner</v>
      </c>
      <c r="D201" s="104">
        <f t="shared" si="3"/>
        <v>193</v>
      </c>
      <c r="E201" s="105">
        <f>+IFERROR(INDEX('Restaurant Base (Hidden)'!$A$2:$Z$1048576,MATCH($C201,'Restaurant Base (Hidden)'!$C$2:$C$1048576,0),MATCH(E$6,'Restaurant Base (Hidden)'!$A$1:$Z$1,0)),"")</f>
        <v>3.03</v>
      </c>
      <c r="F201" s="2" t="str">
        <f>+IFERROR(INDEX('Restaurant Base (Hidden)'!$A$2:$Z$1048576,MATCH($C201,'Restaurant Base (Hidden)'!$C$2:$C$1048576,0),MATCH(F$6,'Restaurant Base (Hidden)'!$A$1:$Z$1,0)),"")</f>
        <v/>
      </c>
      <c r="G201" s="20" t="str">
        <f>+IFERROR(INDEX('Restaurant Base (Hidden)'!$A$2:$Z$1048576,MATCH($C201,'Restaurant Base (Hidden)'!$C$2:$C$1048576,0),MATCH(G$6,'Restaurant Base (Hidden)'!$A$1:$Z$1,0)),"")</f>
        <v>4,580</v>
      </c>
      <c r="H201" s="50">
        <f>+IFERROR(INDEX('Restaurant Base (Hidden)'!$A$2:$Z$1048576,MATCH($C201,'Restaurant Base (Hidden)'!$C$2:$C$1048576,0),MATCH(H$6,'Restaurant Base (Hidden)'!$A$1:$Z$1,0)),"")</f>
        <v>5</v>
      </c>
      <c r="I201" s="20" t="str">
        <f>+IFERROR(INDEX('Restaurant Base (Hidden)'!$A$2:$Z$1048576,MATCH($C201,'Restaurant Base (Hidden)'!$C$2:$C$1048576,0),MATCH(I$6,'Restaurant Base (Hidden)'!$A$1:$Z$1,0)),"")</f>
        <v>72,00 %</v>
      </c>
      <c r="J201" s="49">
        <f>+IFERROR(INDEX('Restaurant Base (Hidden)'!$A$2:$Z$1048576,MATCH($C201,'Restaurant Base (Hidden)'!$C$2:$C$1048576,0),MATCH(J$6,'Restaurant Base (Hidden)'!$A$1:$Z$1,0)),"")</f>
        <v>1</v>
      </c>
      <c r="K201" s="20" t="str">
        <f>+IFERROR(INDEX('Restaurant Base (Hidden)'!$A$2:$Z$1048576,MATCH($C201,'Restaurant Base (Hidden)'!$C$2:$C$1048576,0),MATCH(K$6,'Restaurant Base (Hidden)'!$A$1:$Z$1,0)),"")</f>
        <v>0,105</v>
      </c>
      <c r="L201" s="51">
        <f>+IFERROR(INDEX('Restaurant Base (Hidden)'!$A$2:$Z$1048576,MATCH($C201,'Restaurant Base (Hidden)'!$C$2:$C$1048576,0),MATCH(L$6,'Restaurant Base (Hidden)'!$A$1:$Z$1,0)),"")</f>
        <v>3</v>
      </c>
      <c r="M201" s="2" t="str">
        <f>+IFERROR(INDEX('Restaurant Base (Hidden)'!$A$2:$Z$1048576,MATCH($C201,'Restaurant Base (Hidden)'!$C$2:$C$1048576,0),MATCH(M$6,'Restaurant Base (Hidden)'!$A$1:$Z$1,0)),"")</f>
        <v/>
      </c>
      <c r="N201" s="234" t="str">
        <f>+IFERROR(INDEX('Restaurant Base (Hidden)'!$A$2:$Z$1048576,MATCH($C201,'Restaurant Base (Hidden)'!$C$2:$C$1048576,0),MATCH(N$6,'Restaurant Base (Hidden)'!$A$1:$Z$1,0)),"")</f>
        <v>61,00 %</v>
      </c>
      <c r="O201" s="1">
        <f>+IFERROR(INDEX('Restaurant Base (Hidden)'!$A$2:$Z$1048576,MATCH($C201,'Restaurant Base (Hidden)'!$C$2:$C$1048576,0),MATCH(O$6,'Restaurant Base (Hidden)'!$A$1:$Z$1,0)),"")</f>
        <v>2</v>
      </c>
      <c r="P201" s="2" t="str">
        <f>+IFERROR(INDEX('Restaurant Base (Hidden)'!$A$2:$Z$1048576,MATCH($C201,'Restaurant Base (Hidden)'!$C$2:$C$1048576,0),MATCH(P$6,'Restaurant Base (Hidden)'!$A$1:$Z$1,0)),"")</f>
        <v/>
      </c>
      <c r="Q201" s="234" t="str">
        <f>+IFERROR(INDEX('Restaurant Base (Hidden)'!$A$2:$Z$1048576,MATCH($C201,'Restaurant Base (Hidden)'!$C$2:$C$1048576,0),MATCH(Q$6,'Restaurant Base (Hidden)'!$A$1:$Z$1,0)),"")</f>
        <v>83,00 %</v>
      </c>
      <c r="R201" s="1">
        <f>+IFERROR(INDEX('Restaurant Base (Hidden)'!$A$2:$Z$1048576,MATCH($C201,'Restaurant Base (Hidden)'!$C$2:$C$1048576,0),MATCH(R$6,'Restaurant Base (Hidden)'!$A$1:$Z$1,0)),"")</f>
        <v>5</v>
      </c>
      <c r="S201" s="2" t="str">
        <f>+IFERROR(INDEX('Restaurant Base (Hidden)'!$A$2:$Z$1048576,MATCH($C201,'Restaurant Base (Hidden)'!$C$2:$C$1048576,0),MATCH(S$6,'Restaurant Base (Hidden)'!$A$1:$Z$1,0)),"")</f>
        <v/>
      </c>
      <c r="T201" s="62">
        <f>+IFERROR(INDEX('Restaurant Base (Hidden)'!$A$2:$Z$1048576,MATCH($C201,'Restaurant Base (Hidden)'!$C$2:$C$1048576,0),MATCH(T$6,'Restaurant Base (Hidden)'!$A$1:$Z$1,0)),"")</f>
        <v>67.400000000000006</v>
      </c>
      <c r="U201" s="1">
        <f>+IFERROR(INDEX('Restaurant Base (Hidden)'!$A$2:$Z$1048576,MATCH($C201,'Restaurant Base (Hidden)'!$C$2:$C$1048576,0),MATCH(U$6,'Restaurant Base (Hidden)'!$A$1:$Z$1,0)),"")</f>
        <v>4</v>
      </c>
      <c r="V201" s="2" t="str">
        <f>+IFERROR(INDEX('Restaurant Base (Hidden)'!$A$2:$Z$1048576,MATCH($C201,'Restaurant Base (Hidden)'!$C$2:$C$1048576,0),MATCH(V$6,'Restaurant Base (Hidden)'!$A$1:$Z$1,0)),"")</f>
        <v/>
      </c>
      <c r="W201" s="65" t="str">
        <f>+IFERROR(INDEX('Restaurant Base (Hidden)'!$A$2:$Z$1048576,MATCH($C201,'Restaurant Base (Hidden)'!$C$2:$C$1048576,0),MATCH(W$6,'Restaurant Base (Hidden)'!$A$1:$Z$1,0)),"")</f>
        <v>95,10 %</v>
      </c>
      <c r="X201" s="1">
        <f>+IFERROR(INDEX('Restaurant Base (Hidden)'!$A$2:$Z$1048576,MATCH($C201,'Restaurant Base (Hidden)'!$C$2:$C$1048576,0),MATCH(X$6,'Restaurant Base (Hidden)'!$A$1:$Z$1,0)),"")</f>
        <v>4</v>
      </c>
      <c r="Y201" s="65" t="str">
        <f>+IFERROR(INDEX('Restaurant Base (Hidden)'!$A$2:$Z$1048576,MATCH($C201,'Restaurant Base (Hidden)'!$C$2:$C$1048576,0),MATCH(Y$6,'Restaurant Base (Hidden)'!$A$1:$Z$1,0)),"")</f>
        <v>62,00 %</v>
      </c>
      <c r="Z201" s="106">
        <f>+IFERROR(INDEX('Restaurant Base (Hidden)'!$A$2:$Z$1048576,MATCH($C201,'Restaurant Base (Hidden)'!$C$2:$C$1048576,0),MATCH(Z$6,'Restaurant Base (Hidden)'!$A$1:$Z$1,0)),"")</f>
        <v>2</v>
      </c>
      <c r="AA201" s="65" t="str">
        <f>+IFERROR(INDEX('Restaurant Base (Hidden)'!$A$2:$Z$1048576,MATCH($C201,'Restaurant Base (Hidden)'!$C$2:$C$1048576,0),MATCH(AA$6,'Restaurant Base (Hidden)'!$A$1:$Z$1,0)),"")</f>
        <v>75,40 %</v>
      </c>
      <c r="AB201" s="1">
        <f>+IFERROR(INDEX('Restaurant Base (Hidden)'!$A$2:$Z$1048576,MATCH($C201,'Restaurant Base (Hidden)'!$C$2:$C$1048576,0),MATCH(AB$6,'Restaurant Base (Hidden)'!$A$1:$Z$1,0)),"")</f>
        <v>2</v>
      </c>
      <c r="AC201" s="20" t="str">
        <f>+IFERROR(INDEX('Restaurant Base (Hidden)'!$A$2:$Z$1048576,MATCH($C201,'Restaurant Base (Hidden)'!$C$2:$C$1048576,0),MATCH(AC$6,'Restaurant Base (Hidden)'!$A$1:$Z$1,0)),"")</f>
        <v/>
      </c>
      <c r="AD201" s="65" t="str">
        <f>+IFERROR(INDEX('Restaurant Base (Hidden)'!$A$2:$Z$1048576,MATCH($C201,'Restaurant Base (Hidden)'!$C$2:$C$1048576,0),MATCH(AD$6,'Restaurant Base (Hidden)'!$A$1:$Z$1,0)),"")</f>
        <v>59,60 %</v>
      </c>
      <c r="AE201" s="1">
        <f>+IFERROR(INDEX('Restaurant Base (Hidden)'!$A$2:$Z$1048576,MATCH($C201,'Restaurant Base (Hidden)'!$C$2:$C$1048576,0),MATCH(AE$6,'Restaurant Base (Hidden)'!$A$1:$Z$1,0)),"")</f>
        <v>1</v>
      </c>
      <c r="AF201" s="65" t="str">
        <f>+IFERROR(INDEX('Restaurant Base (Hidden)'!$A$2:$Z$1048576,MATCH($C201,'Restaurant Base (Hidden)'!$C$2:$C$1048576,0),MATCH(AF$6,'Restaurant Base (Hidden)'!$A$1:$Z$1,0)),"")</f>
        <v>96,20 %</v>
      </c>
      <c r="AG201" s="1">
        <f>+IFERROR(INDEX('Restaurant Base (Hidden)'!$A$2:$Z$1048576,MATCH($C201,'Restaurant Base (Hidden)'!$C$2:$C$1048576,0),MATCH(AG$6,'Restaurant Base (Hidden)'!$A$1:$Z$1,0)),"")</f>
        <v>4</v>
      </c>
    </row>
    <row r="202" spans="1:33" x14ac:dyDescent="0.4">
      <c r="A202" s="163" t="str">
        <f>IF('Restaurant Base (Hidden)'!A127=0,"", 'Restaurant Base (Hidden)'!A127)</f>
        <v>Jamie Northcott</v>
      </c>
      <c r="B202" s="163" t="str">
        <f>IF('Restaurant Base (Hidden)'!B127=0,"", 'Restaurant Base (Hidden)'!B127)</f>
        <v>Brightfield Dining</v>
      </c>
      <c r="C202" s="163" t="str">
        <f>IF('Restaurant Base (Hidden)'!C127=0,"", 'Restaurant Base (Hidden)'!C127)</f>
        <v>Bright Square</v>
      </c>
      <c r="D202" s="104">
        <f t="shared" si="3"/>
        <v>193</v>
      </c>
      <c r="E202" s="105">
        <f>+IFERROR(INDEX('Restaurant Base (Hidden)'!$A$2:$Z$1048576,MATCH($C202,'Restaurant Base (Hidden)'!$C$2:$C$1048576,0),MATCH(E$6,'Restaurant Base (Hidden)'!$A$1:$Z$1,0)),"")</f>
        <v>3.03</v>
      </c>
      <c r="F202" s="2" t="str">
        <f>+IFERROR(INDEX('Restaurant Base (Hidden)'!$A$2:$Z$1048576,MATCH($C202,'Restaurant Base (Hidden)'!$C$2:$C$1048576,0),MATCH(F$6,'Restaurant Base (Hidden)'!$A$1:$Z$1,0)),"")</f>
        <v/>
      </c>
      <c r="G202" s="20" t="str">
        <f>+IFERROR(INDEX('Restaurant Base (Hidden)'!$A$2:$Z$1048576,MATCH($C202,'Restaurant Base (Hidden)'!$C$2:$C$1048576,0),MATCH(G$6,'Restaurant Base (Hidden)'!$A$1:$Z$1,0)),"")</f>
        <v>4,428</v>
      </c>
      <c r="H202" s="50">
        <f>+IFERROR(INDEX('Restaurant Base (Hidden)'!$A$2:$Z$1048576,MATCH($C202,'Restaurant Base (Hidden)'!$C$2:$C$1048576,0),MATCH(H$6,'Restaurant Base (Hidden)'!$A$1:$Z$1,0)),"")</f>
        <v>4</v>
      </c>
      <c r="I202" s="20" t="str">
        <f>+IFERROR(INDEX('Restaurant Base (Hidden)'!$A$2:$Z$1048576,MATCH($C202,'Restaurant Base (Hidden)'!$C$2:$C$1048576,0),MATCH(I$6,'Restaurant Base (Hidden)'!$A$1:$Z$1,0)),"")</f>
        <v>56,90 %</v>
      </c>
      <c r="J202" s="49">
        <f>+IFERROR(INDEX('Restaurant Base (Hidden)'!$A$2:$Z$1048576,MATCH($C202,'Restaurant Base (Hidden)'!$C$2:$C$1048576,0),MATCH(J$6,'Restaurant Base (Hidden)'!$A$1:$Z$1,0)),"")</f>
        <v>1</v>
      </c>
      <c r="K202" s="20" t="str">
        <f>+IFERROR(INDEX('Restaurant Base (Hidden)'!$A$2:$Z$1048576,MATCH($C202,'Restaurant Base (Hidden)'!$C$2:$C$1048576,0),MATCH(K$6,'Restaurant Base (Hidden)'!$A$1:$Z$1,0)),"")</f>
        <v>0,080</v>
      </c>
      <c r="L202" s="51">
        <f>+IFERROR(INDEX('Restaurant Base (Hidden)'!$A$2:$Z$1048576,MATCH($C202,'Restaurant Base (Hidden)'!$C$2:$C$1048576,0),MATCH(L$6,'Restaurant Base (Hidden)'!$A$1:$Z$1,0)),"")</f>
        <v>4</v>
      </c>
      <c r="M202" s="2" t="str">
        <f>+IFERROR(INDEX('Restaurant Base (Hidden)'!$A$2:$Z$1048576,MATCH($C202,'Restaurant Base (Hidden)'!$C$2:$C$1048576,0),MATCH(M$6,'Restaurant Base (Hidden)'!$A$1:$Z$1,0)),"")</f>
        <v/>
      </c>
      <c r="N202" s="234" t="str">
        <f>+IFERROR(INDEX('Restaurant Base (Hidden)'!$A$2:$Z$1048576,MATCH($C202,'Restaurant Base (Hidden)'!$C$2:$C$1048576,0),MATCH(N$6,'Restaurant Base (Hidden)'!$A$1:$Z$1,0)),"")</f>
        <v>67,70 %</v>
      </c>
      <c r="O202" s="1">
        <f>+IFERROR(INDEX('Restaurant Base (Hidden)'!$A$2:$Z$1048576,MATCH($C202,'Restaurant Base (Hidden)'!$C$2:$C$1048576,0),MATCH(O$6,'Restaurant Base (Hidden)'!$A$1:$Z$1,0)),"")</f>
        <v>3</v>
      </c>
      <c r="P202" s="2" t="str">
        <f>+IFERROR(INDEX('Restaurant Base (Hidden)'!$A$2:$Z$1048576,MATCH($C202,'Restaurant Base (Hidden)'!$C$2:$C$1048576,0),MATCH(P$6,'Restaurant Base (Hidden)'!$A$1:$Z$1,0)),"")</f>
        <v/>
      </c>
      <c r="Q202" s="234" t="str">
        <f>+IFERROR(INDEX('Restaurant Base (Hidden)'!$A$2:$Z$1048576,MATCH($C202,'Restaurant Base (Hidden)'!$C$2:$C$1048576,0),MATCH(Q$6,'Restaurant Base (Hidden)'!$A$1:$Z$1,0)),"")</f>
        <v>81,80 %</v>
      </c>
      <c r="R202" s="1">
        <f>+IFERROR(INDEX('Restaurant Base (Hidden)'!$A$2:$Z$1048576,MATCH($C202,'Restaurant Base (Hidden)'!$C$2:$C$1048576,0),MATCH(R$6,'Restaurant Base (Hidden)'!$A$1:$Z$1,0)),"")</f>
        <v>5</v>
      </c>
      <c r="S202" s="2" t="str">
        <f>+IFERROR(INDEX('Restaurant Base (Hidden)'!$A$2:$Z$1048576,MATCH($C202,'Restaurant Base (Hidden)'!$C$2:$C$1048576,0),MATCH(S$6,'Restaurant Base (Hidden)'!$A$1:$Z$1,0)),"")</f>
        <v/>
      </c>
      <c r="T202" s="62">
        <f>+IFERROR(INDEX('Restaurant Base (Hidden)'!$A$2:$Z$1048576,MATCH($C202,'Restaurant Base (Hidden)'!$C$2:$C$1048576,0),MATCH(T$6,'Restaurant Base (Hidden)'!$A$1:$Z$1,0)),"")</f>
        <v>68.8</v>
      </c>
      <c r="U202" s="1">
        <f>+IFERROR(INDEX('Restaurant Base (Hidden)'!$A$2:$Z$1048576,MATCH($C202,'Restaurant Base (Hidden)'!$C$2:$C$1048576,0),MATCH(U$6,'Restaurant Base (Hidden)'!$A$1:$Z$1,0)),"")</f>
        <v>4</v>
      </c>
      <c r="V202" s="2" t="str">
        <f>+IFERROR(INDEX('Restaurant Base (Hidden)'!$A$2:$Z$1048576,MATCH($C202,'Restaurant Base (Hidden)'!$C$2:$C$1048576,0),MATCH(V$6,'Restaurant Base (Hidden)'!$A$1:$Z$1,0)),"")</f>
        <v/>
      </c>
      <c r="W202" s="65" t="str">
        <f>+IFERROR(INDEX('Restaurant Base (Hidden)'!$A$2:$Z$1048576,MATCH($C202,'Restaurant Base (Hidden)'!$C$2:$C$1048576,0),MATCH(W$6,'Restaurant Base (Hidden)'!$A$1:$Z$1,0)),"")</f>
        <v>94,40 %</v>
      </c>
      <c r="X202" s="1">
        <f>+IFERROR(INDEX('Restaurant Base (Hidden)'!$A$2:$Z$1048576,MATCH($C202,'Restaurant Base (Hidden)'!$C$2:$C$1048576,0),MATCH(X$6,'Restaurant Base (Hidden)'!$A$1:$Z$1,0)),"")</f>
        <v>4</v>
      </c>
      <c r="Y202" s="65" t="str">
        <f>+IFERROR(INDEX('Restaurant Base (Hidden)'!$A$2:$Z$1048576,MATCH($C202,'Restaurant Base (Hidden)'!$C$2:$C$1048576,0),MATCH(Y$6,'Restaurant Base (Hidden)'!$A$1:$Z$1,0)),"")</f>
        <v>68,80 %</v>
      </c>
      <c r="Z202" s="106">
        <f>+IFERROR(INDEX('Restaurant Base (Hidden)'!$A$2:$Z$1048576,MATCH($C202,'Restaurant Base (Hidden)'!$C$2:$C$1048576,0),MATCH(Z$6,'Restaurant Base (Hidden)'!$A$1:$Z$1,0)),"")</f>
        <v>2</v>
      </c>
      <c r="AA202" s="65" t="str">
        <f>+IFERROR(INDEX('Restaurant Base (Hidden)'!$A$2:$Z$1048576,MATCH($C202,'Restaurant Base (Hidden)'!$C$2:$C$1048576,0),MATCH(AA$6,'Restaurant Base (Hidden)'!$A$1:$Z$1,0)),"")</f>
        <v>65,70 %</v>
      </c>
      <c r="AB202" s="1">
        <f>+IFERROR(INDEX('Restaurant Base (Hidden)'!$A$2:$Z$1048576,MATCH($C202,'Restaurant Base (Hidden)'!$C$2:$C$1048576,0),MATCH(AB$6,'Restaurant Base (Hidden)'!$A$1:$Z$1,0)),"")</f>
        <v>2</v>
      </c>
      <c r="AC202" s="20" t="str">
        <f>+IFERROR(INDEX('Restaurant Base (Hidden)'!$A$2:$Z$1048576,MATCH($C202,'Restaurant Base (Hidden)'!$C$2:$C$1048576,0),MATCH(AC$6,'Restaurant Base (Hidden)'!$A$1:$Z$1,0)),"")</f>
        <v/>
      </c>
      <c r="AD202" s="65" t="str">
        <f>+IFERROR(INDEX('Restaurant Base (Hidden)'!$A$2:$Z$1048576,MATCH($C202,'Restaurant Base (Hidden)'!$C$2:$C$1048576,0),MATCH(AD$6,'Restaurant Base (Hidden)'!$A$1:$Z$1,0)),"")</f>
        <v>83,10 %</v>
      </c>
      <c r="AE202" s="1">
        <f>+IFERROR(INDEX('Restaurant Base (Hidden)'!$A$2:$Z$1048576,MATCH($C202,'Restaurant Base (Hidden)'!$C$2:$C$1048576,0),MATCH(AE$6,'Restaurant Base (Hidden)'!$A$1:$Z$1,0)),"")</f>
        <v>3</v>
      </c>
      <c r="AF202" s="65" t="str">
        <f>+IFERROR(INDEX('Restaurant Base (Hidden)'!$A$2:$Z$1048576,MATCH($C202,'Restaurant Base (Hidden)'!$C$2:$C$1048576,0),MATCH(AF$6,'Restaurant Base (Hidden)'!$A$1:$Z$1,0)),"")</f>
        <v>65,50 %</v>
      </c>
      <c r="AG202" s="1">
        <f>+IFERROR(INDEX('Restaurant Base (Hidden)'!$A$2:$Z$1048576,MATCH($C202,'Restaurant Base (Hidden)'!$C$2:$C$1048576,0),MATCH(AG$6,'Restaurant Base (Hidden)'!$A$1:$Z$1,0)),"")</f>
        <v>1</v>
      </c>
    </row>
    <row r="203" spans="1:33" x14ac:dyDescent="0.4">
      <c r="A203" s="163" t="str">
        <f>IF('Restaurant Base (Hidden)'!A141=0,"", 'Restaurant Base (Hidden)'!A141)</f>
        <v>Bailey Silverton</v>
      </c>
      <c r="B203" s="163" t="str">
        <f>IF('Restaurant Base (Hidden)'!B141=0,"", 'Restaurant Base (Hidden)'!B141)</f>
        <v>Parkstone Restaurant Group</v>
      </c>
      <c r="C203" s="163" t="str">
        <f>IF('Restaurant Base (Hidden)'!C141=0,"", 'Restaurant Base (Hidden)'!C141)</f>
        <v>Parkside Gate</v>
      </c>
      <c r="D203" s="104">
        <f t="shared" si="3"/>
        <v>193</v>
      </c>
      <c r="E203" s="105">
        <f>+IFERROR(INDEX('Restaurant Base (Hidden)'!$A$2:$Z$1048576,MATCH($C203,'Restaurant Base (Hidden)'!$C$2:$C$1048576,0),MATCH(E$6,'Restaurant Base (Hidden)'!$A$1:$Z$1,0)),"")</f>
        <v>3.03</v>
      </c>
      <c r="F203" s="2" t="str">
        <f>+IFERROR(INDEX('Restaurant Base (Hidden)'!$A$2:$Z$1048576,MATCH($C203,'Restaurant Base (Hidden)'!$C$2:$C$1048576,0),MATCH(F$6,'Restaurant Base (Hidden)'!$A$1:$Z$1,0)),"")</f>
        <v/>
      </c>
      <c r="G203" s="20" t="str">
        <f>+IFERROR(INDEX('Restaurant Base (Hidden)'!$A$2:$Z$1048576,MATCH($C203,'Restaurant Base (Hidden)'!$C$2:$C$1048576,0),MATCH(G$6,'Restaurant Base (Hidden)'!$A$1:$Z$1,0)),"")</f>
        <v>4,039</v>
      </c>
      <c r="H203" s="50">
        <f>+IFERROR(INDEX('Restaurant Base (Hidden)'!$A$2:$Z$1048576,MATCH($C203,'Restaurant Base (Hidden)'!$C$2:$C$1048576,0),MATCH(H$6,'Restaurant Base (Hidden)'!$A$1:$Z$1,0)),"")</f>
        <v>1</v>
      </c>
      <c r="I203" s="20" t="str">
        <f>+IFERROR(INDEX('Restaurant Base (Hidden)'!$A$2:$Z$1048576,MATCH($C203,'Restaurant Base (Hidden)'!$C$2:$C$1048576,0),MATCH(I$6,'Restaurant Base (Hidden)'!$A$1:$Z$1,0)),"")</f>
        <v>58,20 %</v>
      </c>
      <c r="J203" s="49">
        <f>+IFERROR(INDEX('Restaurant Base (Hidden)'!$A$2:$Z$1048576,MATCH($C203,'Restaurant Base (Hidden)'!$C$2:$C$1048576,0),MATCH(J$6,'Restaurant Base (Hidden)'!$A$1:$Z$1,0)),"")</f>
        <v>1</v>
      </c>
      <c r="K203" s="20" t="str">
        <f>+IFERROR(INDEX('Restaurant Base (Hidden)'!$A$2:$Z$1048576,MATCH($C203,'Restaurant Base (Hidden)'!$C$2:$C$1048576,0),MATCH(K$6,'Restaurant Base (Hidden)'!$A$1:$Z$1,0)),"")</f>
        <v>0,184</v>
      </c>
      <c r="L203" s="51">
        <f>+IFERROR(INDEX('Restaurant Base (Hidden)'!$A$2:$Z$1048576,MATCH($C203,'Restaurant Base (Hidden)'!$C$2:$C$1048576,0),MATCH(L$6,'Restaurant Base (Hidden)'!$A$1:$Z$1,0)),"")</f>
        <v>1</v>
      </c>
      <c r="M203" s="2" t="str">
        <f>+IFERROR(INDEX('Restaurant Base (Hidden)'!$A$2:$Z$1048576,MATCH($C203,'Restaurant Base (Hidden)'!$C$2:$C$1048576,0),MATCH(M$6,'Restaurant Base (Hidden)'!$A$1:$Z$1,0)),"")</f>
        <v/>
      </c>
      <c r="N203" s="234" t="str">
        <f>+IFERROR(INDEX('Restaurant Base (Hidden)'!$A$2:$Z$1048576,MATCH($C203,'Restaurant Base (Hidden)'!$C$2:$C$1048576,0),MATCH(N$6,'Restaurant Base (Hidden)'!$A$1:$Z$1,0)),"")</f>
        <v>91,90 %</v>
      </c>
      <c r="O203" s="1">
        <f>+IFERROR(INDEX('Restaurant Base (Hidden)'!$A$2:$Z$1048576,MATCH($C203,'Restaurant Base (Hidden)'!$C$2:$C$1048576,0),MATCH(O$6,'Restaurant Base (Hidden)'!$A$1:$Z$1,0)),"")</f>
        <v>5</v>
      </c>
      <c r="P203" s="2" t="str">
        <f>+IFERROR(INDEX('Restaurant Base (Hidden)'!$A$2:$Z$1048576,MATCH($C203,'Restaurant Base (Hidden)'!$C$2:$C$1048576,0),MATCH(P$6,'Restaurant Base (Hidden)'!$A$1:$Z$1,0)),"")</f>
        <v/>
      </c>
      <c r="Q203" s="234" t="str">
        <f>+IFERROR(INDEX('Restaurant Base (Hidden)'!$A$2:$Z$1048576,MATCH($C203,'Restaurant Base (Hidden)'!$C$2:$C$1048576,0),MATCH(Q$6,'Restaurant Base (Hidden)'!$A$1:$Z$1,0)),"")</f>
        <v>79,40 %</v>
      </c>
      <c r="R203" s="1">
        <f>+IFERROR(INDEX('Restaurant Base (Hidden)'!$A$2:$Z$1048576,MATCH($C203,'Restaurant Base (Hidden)'!$C$2:$C$1048576,0),MATCH(R$6,'Restaurant Base (Hidden)'!$A$1:$Z$1,0)),"")</f>
        <v>5</v>
      </c>
      <c r="S203" s="2" t="str">
        <f>+IFERROR(INDEX('Restaurant Base (Hidden)'!$A$2:$Z$1048576,MATCH($C203,'Restaurant Base (Hidden)'!$C$2:$C$1048576,0),MATCH(S$6,'Restaurant Base (Hidden)'!$A$1:$Z$1,0)),"")</f>
        <v/>
      </c>
      <c r="T203" s="62">
        <f>+IFERROR(INDEX('Restaurant Base (Hidden)'!$A$2:$Z$1048576,MATCH($C203,'Restaurant Base (Hidden)'!$C$2:$C$1048576,0),MATCH(T$6,'Restaurant Base (Hidden)'!$A$1:$Z$1,0)),"")</f>
        <v>75.7</v>
      </c>
      <c r="U203" s="1">
        <f>+IFERROR(INDEX('Restaurant Base (Hidden)'!$A$2:$Z$1048576,MATCH($C203,'Restaurant Base (Hidden)'!$C$2:$C$1048576,0),MATCH(U$6,'Restaurant Base (Hidden)'!$A$1:$Z$1,0)),"")</f>
        <v>5</v>
      </c>
      <c r="V203" s="2" t="str">
        <f>+IFERROR(INDEX('Restaurant Base (Hidden)'!$A$2:$Z$1048576,MATCH($C203,'Restaurant Base (Hidden)'!$C$2:$C$1048576,0),MATCH(V$6,'Restaurant Base (Hidden)'!$A$1:$Z$1,0)),"")</f>
        <v/>
      </c>
      <c r="W203" s="65" t="str">
        <f>+IFERROR(INDEX('Restaurant Base (Hidden)'!$A$2:$Z$1048576,MATCH($C203,'Restaurant Base (Hidden)'!$C$2:$C$1048576,0),MATCH(W$6,'Restaurant Base (Hidden)'!$A$1:$Z$1,0)),"")</f>
        <v>86,20 %</v>
      </c>
      <c r="X203" s="1">
        <f>+IFERROR(INDEX('Restaurant Base (Hidden)'!$A$2:$Z$1048576,MATCH($C203,'Restaurant Base (Hidden)'!$C$2:$C$1048576,0),MATCH(X$6,'Restaurant Base (Hidden)'!$A$1:$Z$1,0)),"")</f>
        <v>3</v>
      </c>
      <c r="Y203" s="65" t="str">
        <f>+IFERROR(INDEX('Restaurant Base (Hidden)'!$A$2:$Z$1048576,MATCH($C203,'Restaurant Base (Hidden)'!$C$2:$C$1048576,0),MATCH(Y$6,'Restaurant Base (Hidden)'!$A$1:$Z$1,0)),"")</f>
        <v>80,90 %</v>
      </c>
      <c r="Z203" s="106">
        <f>+IFERROR(INDEX('Restaurant Base (Hidden)'!$A$2:$Z$1048576,MATCH($C203,'Restaurant Base (Hidden)'!$C$2:$C$1048576,0),MATCH(Z$6,'Restaurant Base (Hidden)'!$A$1:$Z$1,0)),"")</f>
        <v>2</v>
      </c>
      <c r="AA203" s="65" t="str">
        <f>+IFERROR(INDEX('Restaurant Base (Hidden)'!$A$2:$Z$1048576,MATCH($C203,'Restaurant Base (Hidden)'!$C$2:$C$1048576,0),MATCH(AA$6,'Restaurant Base (Hidden)'!$A$1:$Z$1,0)),"")</f>
        <v>88,30 %</v>
      </c>
      <c r="AB203" s="1">
        <f>+IFERROR(INDEX('Restaurant Base (Hidden)'!$A$2:$Z$1048576,MATCH($C203,'Restaurant Base (Hidden)'!$C$2:$C$1048576,0),MATCH(AB$6,'Restaurant Base (Hidden)'!$A$1:$Z$1,0)),"")</f>
        <v>3</v>
      </c>
      <c r="AC203" s="20" t="str">
        <f>+IFERROR(INDEX('Restaurant Base (Hidden)'!$A$2:$Z$1048576,MATCH($C203,'Restaurant Base (Hidden)'!$C$2:$C$1048576,0),MATCH(AC$6,'Restaurant Base (Hidden)'!$A$1:$Z$1,0)),"")</f>
        <v/>
      </c>
      <c r="AD203" s="65" t="str">
        <f>+IFERROR(INDEX('Restaurant Base (Hidden)'!$A$2:$Z$1048576,MATCH($C203,'Restaurant Base (Hidden)'!$C$2:$C$1048576,0),MATCH(AD$6,'Restaurant Base (Hidden)'!$A$1:$Z$1,0)),"")</f>
        <v>61,80 %</v>
      </c>
      <c r="AE203" s="1">
        <f>+IFERROR(INDEX('Restaurant Base (Hidden)'!$A$2:$Z$1048576,MATCH($C203,'Restaurant Base (Hidden)'!$C$2:$C$1048576,0),MATCH(AE$6,'Restaurant Base (Hidden)'!$A$1:$Z$1,0)),"")</f>
        <v>1</v>
      </c>
      <c r="AF203" s="65" t="str">
        <f>+IFERROR(INDEX('Restaurant Base (Hidden)'!$A$2:$Z$1048576,MATCH($C203,'Restaurant Base (Hidden)'!$C$2:$C$1048576,0),MATCH(AF$6,'Restaurant Base (Hidden)'!$A$1:$Z$1,0)),"")</f>
        <v>86,80 %</v>
      </c>
      <c r="AG203" s="1">
        <f>+IFERROR(INDEX('Restaurant Base (Hidden)'!$A$2:$Z$1048576,MATCH($C203,'Restaurant Base (Hidden)'!$C$2:$C$1048576,0),MATCH(AG$6,'Restaurant Base (Hidden)'!$A$1:$Z$1,0)),"")</f>
        <v>3</v>
      </c>
    </row>
    <row r="204" spans="1:33" x14ac:dyDescent="0.4">
      <c r="A204" s="163" t="str">
        <f>IF('Restaurant Base (Hidden)'!A308=0,"", 'Restaurant Base (Hidden)'!A308)</f>
        <v>Reese Whitmore</v>
      </c>
      <c r="B204" s="163" t="str">
        <f>IF('Restaurant Base (Hidden)'!B308=0,"", 'Restaurant Base (Hidden)'!B308)</f>
        <v>Silverbrook Dining</v>
      </c>
      <c r="C204" s="163" t="str">
        <f>IF('Restaurant Base (Hidden)'!C308=0,"", 'Restaurant Base (Hidden)'!C308)</f>
        <v>Harbor Court</v>
      </c>
      <c r="D204" s="104">
        <f t="shared" si="3"/>
        <v>193</v>
      </c>
      <c r="E204" s="105">
        <f>+IFERROR(INDEX('Restaurant Base (Hidden)'!$A$2:$Z$1048576,MATCH($C204,'Restaurant Base (Hidden)'!$C$2:$C$1048576,0),MATCH(E$6,'Restaurant Base (Hidden)'!$A$1:$Z$1,0)),"")</f>
        <v>3.03</v>
      </c>
      <c r="F204" s="2" t="str">
        <f>+IFERROR(INDEX('Restaurant Base (Hidden)'!$A$2:$Z$1048576,MATCH($C204,'Restaurant Base (Hidden)'!$C$2:$C$1048576,0),MATCH(F$6,'Restaurant Base (Hidden)'!$A$1:$Z$1,0)),"")</f>
        <v/>
      </c>
      <c r="G204" s="20" t="str">
        <f>+IFERROR(INDEX('Restaurant Base (Hidden)'!$A$2:$Z$1048576,MATCH($C204,'Restaurant Base (Hidden)'!$C$2:$C$1048576,0),MATCH(G$6,'Restaurant Base (Hidden)'!$A$1:$Z$1,0)),"")</f>
        <v>4,839</v>
      </c>
      <c r="H204" s="50">
        <f>+IFERROR(INDEX('Restaurant Base (Hidden)'!$A$2:$Z$1048576,MATCH($C204,'Restaurant Base (Hidden)'!$C$2:$C$1048576,0),MATCH(H$6,'Restaurant Base (Hidden)'!$A$1:$Z$1,0)),"")</f>
        <v>5</v>
      </c>
      <c r="I204" s="20" t="str">
        <f>+IFERROR(INDEX('Restaurant Base (Hidden)'!$A$2:$Z$1048576,MATCH($C204,'Restaurant Base (Hidden)'!$C$2:$C$1048576,0),MATCH(I$6,'Restaurant Base (Hidden)'!$A$1:$Z$1,0)),"")</f>
        <v>74,90 %</v>
      </c>
      <c r="J204" s="49">
        <f>+IFERROR(INDEX('Restaurant Base (Hidden)'!$A$2:$Z$1048576,MATCH($C204,'Restaurant Base (Hidden)'!$C$2:$C$1048576,0),MATCH(J$6,'Restaurant Base (Hidden)'!$A$1:$Z$1,0)),"")</f>
        <v>1</v>
      </c>
      <c r="K204" s="20" t="str">
        <f>+IFERROR(INDEX('Restaurant Base (Hidden)'!$A$2:$Z$1048576,MATCH($C204,'Restaurant Base (Hidden)'!$C$2:$C$1048576,0),MATCH(K$6,'Restaurant Base (Hidden)'!$A$1:$Z$1,0)),"")</f>
        <v>0,125</v>
      </c>
      <c r="L204" s="51">
        <f>+IFERROR(INDEX('Restaurant Base (Hidden)'!$A$2:$Z$1048576,MATCH($C204,'Restaurant Base (Hidden)'!$C$2:$C$1048576,0),MATCH(L$6,'Restaurant Base (Hidden)'!$A$1:$Z$1,0)),"")</f>
        <v>3</v>
      </c>
      <c r="M204" s="2" t="str">
        <f>+IFERROR(INDEX('Restaurant Base (Hidden)'!$A$2:$Z$1048576,MATCH($C204,'Restaurant Base (Hidden)'!$C$2:$C$1048576,0),MATCH(M$6,'Restaurant Base (Hidden)'!$A$1:$Z$1,0)),"")</f>
        <v/>
      </c>
      <c r="N204" s="234" t="str">
        <f>+IFERROR(INDEX('Restaurant Base (Hidden)'!$A$2:$Z$1048576,MATCH($C204,'Restaurant Base (Hidden)'!$C$2:$C$1048576,0),MATCH(N$6,'Restaurant Base (Hidden)'!$A$1:$Z$1,0)),"")</f>
        <v>95,40 %</v>
      </c>
      <c r="O204" s="1">
        <f>+IFERROR(INDEX('Restaurant Base (Hidden)'!$A$2:$Z$1048576,MATCH($C204,'Restaurant Base (Hidden)'!$C$2:$C$1048576,0),MATCH(O$6,'Restaurant Base (Hidden)'!$A$1:$Z$1,0)),"")</f>
        <v>5</v>
      </c>
      <c r="P204" s="2" t="str">
        <f>+IFERROR(INDEX('Restaurant Base (Hidden)'!$A$2:$Z$1048576,MATCH($C204,'Restaurant Base (Hidden)'!$C$2:$C$1048576,0),MATCH(P$6,'Restaurant Base (Hidden)'!$A$1:$Z$1,0)),"")</f>
        <v/>
      </c>
      <c r="Q204" s="234" t="str">
        <f>+IFERROR(INDEX('Restaurant Base (Hidden)'!$A$2:$Z$1048576,MATCH($C204,'Restaurant Base (Hidden)'!$C$2:$C$1048576,0),MATCH(Q$6,'Restaurant Base (Hidden)'!$A$1:$Z$1,0)),"")</f>
        <v>87,70 %</v>
      </c>
      <c r="R204" s="1">
        <f>+IFERROR(INDEX('Restaurant Base (Hidden)'!$A$2:$Z$1048576,MATCH($C204,'Restaurant Base (Hidden)'!$C$2:$C$1048576,0),MATCH(R$6,'Restaurant Base (Hidden)'!$A$1:$Z$1,0)),"")</f>
        <v>5</v>
      </c>
      <c r="S204" s="2" t="str">
        <f>+IFERROR(INDEX('Restaurant Base (Hidden)'!$A$2:$Z$1048576,MATCH($C204,'Restaurant Base (Hidden)'!$C$2:$C$1048576,0),MATCH(S$6,'Restaurant Base (Hidden)'!$A$1:$Z$1,0)),"")</f>
        <v/>
      </c>
      <c r="T204" s="62">
        <f>+IFERROR(INDEX('Restaurant Base (Hidden)'!$A$2:$Z$1048576,MATCH($C204,'Restaurant Base (Hidden)'!$C$2:$C$1048576,0),MATCH(T$6,'Restaurant Base (Hidden)'!$A$1:$Z$1,0)),"")</f>
        <v>63.7</v>
      </c>
      <c r="U204" s="1">
        <f>+IFERROR(INDEX('Restaurant Base (Hidden)'!$A$2:$Z$1048576,MATCH($C204,'Restaurant Base (Hidden)'!$C$2:$C$1048576,0),MATCH(U$6,'Restaurant Base (Hidden)'!$A$1:$Z$1,0)),"")</f>
        <v>3</v>
      </c>
      <c r="V204" s="2" t="str">
        <f>+IFERROR(INDEX('Restaurant Base (Hidden)'!$A$2:$Z$1048576,MATCH($C204,'Restaurant Base (Hidden)'!$C$2:$C$1048576,0),MATCH(V$6,'Restaurant Base (Hidden)'!$A$1:$Z$1,0)),"")</f>
        <v/>
      </c>
      <c r="W204" s="65" t="str">
        <f>+IFERROR(INDEX('Restaurant Base (Hidden)'!$A$2:$Z$1048576,MATCH($C204,'Restaurant Base (Hidden)'!$C$2:$C$1048576,0),MATCH(W$6,'Restaurant Base (Hidden)'!$A$1:$Z$1,0)),"")</f>
        <v>98,70 %</v>
      </c>
      <c r="X204" s="1">
        <f>+IFERROR(INDEX('Restaurant Base (Hidden)'!$A$2:$Z$1048576,MATCH($C204,'Restaurant Base (Hidden)'!$C$2:$C$1048576,0),MATCH(X$6,'Restaurant Base (Hidden)'!$A$1:$Z$1,0)),"")</f>
        <v>5</v>
      </c>
      <c r="Y204" s="65" t="str">
        <f>+IFERROR(INDEX('Restaurant Base (Hidden)'!$A$2:$Z$1048576,MATCH($C204,'Restaurant Base (Hidden)'!$C$2:$C$1048576,0),MATCH(Y$6,'Restaurant Base (Hidden)'!$A$1:$Z$1,0)),"")</f>
        <v>75,70 %</v>
      </c>
      <c r="Z204" s="106">
        <f>+IFERROR(INDEX('Restaurant Base (Hidden)'!$A$2:$Z$1048576,MATCH($C204,'Restaurant Base (Hidden)'!$C$2:$C$1048576,0),MATCH(Z$6,'Restaurant Base (Hidden)'!$A$1:$Z$1,0)),"")</f>
        <v>2</v>
      </c>
      <c r="AA204" s="65" t="str">
        <f>+IFERROR(INDEX('Restaurant Base (Hidden)'!$A$2:$Z$1048576,MATCH($C204,'Restaurant Base (Hidden)'!$C$2:$C$1048576,0),MATCH(AA$6,'Restaurant Base (Hidden)'!$A$1:$Z$1,0)),"")</f>
        <v>58,90 %</v>
      </c>
      <c r="AB204" s="1">
        <f>+IFERROR(INDEX('Restaurant Base (Hidden)'!$A$2:$Z$1048576,MATCH($C204,'Restaurant Base (Hidden)'!$C$2:$C$1048576,0),MATCH(AB$6,'Restaurant Base (Hidden)'!$A$1:$Z$1,0)),"")</f>
        <v>1</v>
      </c>
      <c r="AC204" s="20" t="str">
        <f>+IFERROR(INDEX('Restaurant Base (Hidden)'!$A$2:$Z$1048576,MATCH($C204,'Restaurant Base (Hidden)'!$C$2:$C$1048576,0),MATCH(AC$6,'Restaurant Base (Hidden)'!$A$1:$Z$1,0)),"")</f>
        <v/>
      </c>
      <c r="AD204" s="65" t="str">
        <f>+IFERROR(INDEX('Restaurant Base (Hidden)'!$A$2:$Z$1048576,MATCH($C204,'Restaurant Base (Hidden)'!$C$2:$C$1048576,0),MATCH(AD$6,'Restaurant Base (Hidden)'!$A$1:$Z$1,0)),"")</f>
        <v>59,90 %</v>
      </c>
      <c r="AE204" s="1">
        <f>+IFERROR(INDEX('Restaurant Base (Hidden)'!$A$2:$Z$1048576,MATCH($C204,'Restaurant Base (Hidden)'!$C$2:$C$1048576,0),MATCH(AE$6,'Restaurant Base (Hidden)'!$A$1:$Z$1,0)),"")</f>
        <v>1</v>
      </c>
      <c r="AF204" s="65" t="str">
        <f>+IFERROR(INDEX('Restaurant Base (Hidden)'!$A$2:$Z$1048576,MATCH($C204,'Restaurant Base (Hidden)'!$C$2:$C$1048576,0),MATCH(AF$6,'Restaurant Base (Hidden)'!$A$1:$Z$1,0)),"")</f>
        <v>57,60 %</v>
      </c>
      <c r="AG204" s="1">
        <f>+IFERROR(INDEX('Restaurant Base (Hidden)'!$A$2:$Z$1048576,MATCH($C204,'Restaurant Base (Hidden)'!$C$2:$C$1048576,0),MATCH(AG$6,'Restaurant Base (Hidden)'!$A$1:$Z$1,0)),"")</f>
        <v>1</v>
      </c>
    </row>
    <row r="205" spans="1:33" x14ac:dyDescent="0.4">
      <c r="A205" s="163" t="str">
        <f>IF('Restaurant Base (Hidden)'!A368=0,"", 'Restaurant Base (Hidden)'!A368)</f>
        <v>Rowan Kingsley</v>
      </c>
      <c r="B205" s="163" t="str">
        <f>IF('Restaurant Base (Hidden)'!B368=0,"", 'Restaurant Base (Hidden)'!B368)</f>
        <v>Cedarstone Hospitality</v>
      </c>
      <c r="C205" s="163" t="str">
        <f>IF('Restaurant Base (Hidden)'!C368=0,"", 'Restaurant Base (Hidden)'!C368)</f>
        <v>Evergreen Pines</v>
      </c>
      <c r="D205" s="104">
        <f t="shared" si="3"/>
        <v>193</v>
      </c>
      <c r="E205" s="105">
        <f>+IFERROR(INDEX('Restaurant Base (Hidden)'!$A$2:$Z$1048576,MATCH($C205,'Restaurant Base (Hidden)'!$C$2:$C$1048576,0),MATCH(E$6,'Restaurant Base (Hidden)'!$A$1:$Z$1,0)),"")</f>
        <v>3.03</v>
      </c>
      <c r="F205" s="2" t="str">
        <f>+IFERROR(INDEX('Restaurant Base (Hidden)'!$A$2:$Z$1048576,MATCH($C205,'Restaurant Base (Hidden)'!$C$2:$C$1048576,0),MATCH(F$6,'Restaurant Base (Hidden)'!$A$1:$Z$1,0)),"")</f>
        <v/>
      </c>
      <c r="G205" s="20" t="str">
        <f>+IFERROR(INDEX('Restaurant Base (Hidden)'!$A$2:$Z$1048576,MATCH($C205,'Restaurant Base (Hidden)'!$C$2:$C$1048576,0),MATCH(G$6,'Restaurant Base (Hidden)'!$A$1:$Z$1,0)),"")</f>
        <v>4,390</v>
      </c>
      <c r="H205" s="50">
        <f>+IFERROR(INDEX('Restaurant Base (Hidden)'!$A$2:$Z$1048576,MATCH($C205,'Restaurant Base (Hidden)'!$C$2:$C$1048576,0),MATCH(H$6,'Restaurant Base (Hidden)'!$A$1:$Z$1,0)),"")</f>
        <v>4</v>
      </c>
      <c r="I205" s="20" t="str">
        <f>+IFERROR(INDEX('Restaurant Base (Hidden)'!$A$2:$Z$1048576,MATCH($C205,'Restaurant Base (Hidden)'!$C$2:$C$1048576,0),MATCH(I$6,'Restaurant Base (Hidden)'!$A$1:$Z$1,0)),"")</f>
        <v>91,10 %</v>
      </c>
      <c r="J205" s="49">
        <f>+IFERROR(INDEX('Restaurant Base (Hidden)'!$A$2:$Z$1048576,MATCH($C205,'Restaurant Base (Hidden)'!$C$2:$C$1048576,0),MATCH(J$6,'Restaurant Base (Hidden)'!$A$1:$Z$1,0)),"")</f>
        <v>4</v>
      </c>
      <c r="K205" s="20" t="str">
        <f>+IFERROR(INDEX('Restaurant Base (Hidden)'!$A$2:$Z$1048576,MATCH($C205,'Restaurant Base (Hidden)'!$C$2:$C$1048576,0),MATCH(K$6,'Restaurant Base (Hidden)'!$A$1:$Z$1,0)),"")</f>
        <v>0,103</v>
      </c>
      <c r="L205" s="51">
        <f>+IFERROR(INDEX('Restaurant Base (Hidden)'!$A$2:$Z$1048576,MATCH($C205,'Restaurant Base (Hidden)'!$C$2:$C$1048576,0),MATCH(L$6,'Restaurant Base (Hidden)'!$A$1:$Z$1,0)),"")</f>
        <v>3</v>
      </c>
      <c r="M205" s="2" t="str">
        <f>+IFERROR(INDEX('Restaurant Base (Hidden)'!$A$2:$Z$1048576,MATCH($C205,'Restaurant Base (Hidden)'!$C$2:$C$1048576,0),MATCH(M$6,'Restaurant Base (Hidden)'!$A$1:$Z$1,0)),"")</f>
        <v/>
      </c>
      <c r="N205" s="234" t="str">
        <f>+IFERROR(INDEX('Restaurant Base (Hidden)'!$A$2:$Z$1048576,MATCH($C205,'Restaurant Base (Hidden)'!$C$2:$C$1048576,0),MATCH(N$6,'Restaurant Base (Hidden)'!$A$1:$Z$1,0)),"")</f>
        <v>65,50 %</v>
      </c>
      <c r="O205" s="1">
        <f>+IFERROR(INDEX('Restaurant Base (Hidden)'!$A$2:$Z$1048576,MATCH($C205,'Restaurant Base (Hidden)'!$C$2:$C$1048576,0),MATCH(O$6,'Restaurant Base (Hidden)'!$A$1:$Z$1,0)),"")</f>
        <v>3</v>
      </c>
      <c r="P205" s="2" t="str">
        <f>+IFERROR(INDEX('Restaurant Base (Hidden)'!$A$2:$Z$1048576,MATCH($C205,'Restaurant Base (Hidden)'!$C$2:$C$1048576,0),MATCH(P$6,'Restaurant Base (Hidden)'!$A$1:$Z$1,0)),"")</f>
        <v/>
      </c>
      <c r="Q205" s="234" t="str">
        <f>+IFERROR(INDEX('Restaurant Base (Hidden)'!$A$2:$Z$1048576,MATCH($C205,'Restaurant Base (Hidden)'!$C$2:$C$1048576,0),MATCH(Q$6,'Restaurant Base (Hidden)'!$A$1:$Z$1,0)),"")</f>
        <v>74,30 %</v>
      </c>
      <c r="R205" s="1">
        <f>+IFERROR(INDEX('Restaurant Base (Hidden)'!$A$2:$Z$1048576,MATCH($C205,'Restaurant Base (Hidden)'!$C$2:$C$1048576,0),MATCH(R$6,'Restaurant Base (Hidden)'!$A$1:$Z$1,0)),"")</f>
        <v>5</v>
      </c>
      <c r="S205" s="2" t="str">
        <f>+IFERROR(INDEX('Restaurant Base (Hidden)'!$A$2:$Z$1048576,MATCH($C205,'Restaurant Base (Hidden)'!$C$2:$C$1048576,0),MATCH(S$6,'Restaurant Base (Hidden)'!$A$1:$Z$1,0)),"")</f>
        <v/>
      </c>
      <c r="T205" s="62">
        <f>+IFERROR(INDEX('Restaurant Base (Hidden)'!$A$2:$Z$1048576,MATCH($C205,'Restaurant Base (Hidden)'!$C$2:$C$1048576,0),MATCH(T$6,'Restaurant Base (Hidden)'!$A$1:$Z$1,0)),"")</f>
        <v>61.2</v>
      </c>
      <c r="U205" s="1">
        <f>+IFERROR(INDEX('Restaurant Base (Hidden)'!$A$2:$Z$1048576,MATCH($C205,'Restaurant Base (Hidden)'!$C$2:$C$1048576,0),MATCH(U$6,'Restaurant Base (Hidden)'!$A$1:$Z$1,0)),"")</f>
        <v>3</v>
      </c>
      <c r="V205" s="2" t="str">
        <f>+IFERROR(INDEX('Restaurant Base (Hidden)'!$A$2:$Z$1048576,MATCH($C205,'Restaurant Base (Hidden)'!$C$2:$C$1048576,0),MATCH(V$6,'Restaurant Base (Hidden)'!$A$1:$Z$1,0)),"")</f>
        <v/>
      </c>
      <c r="W205" s="65" t="str">
        <f>+IFERROR(INDEX('Restaurant Base (Hidden)'!$A$2:$Z$1048576,MATCH($C205,'Restaurant Base (Hidden)'!$C$2:$C$1048576,0),MATCH(W$6,'Restaurant Base (Hidden)'!$A$1:$Z$1,0)),"")</f>
        <v>73,70 %</v>
      </c>
      <c r="X205" s="1">
        <f>+IFERROR(INDEX('Restaurant Base (Hidden)'!$A$2:$Z$1048576,MATCH($C205,'Restaurant Base (Hidden)'!$C$2:$C$1048576,0),MATCH(X$6,'Restaurant Base (Hidden)'!$A$1:$Z$1,0)),"")</f>
        <v>2</v>
      </c>
      <c r="Y205" s="65" t="str">
        <f>+IFERROR(INDEX('Restaurant Base (Hidden)'!$A$2:$Z$1048576,MATCH($C205,'Restaurant Base (Hidden)'!$C$2:$C$1048576,0),MATCH(Y$6,'Restaurant Base (Hidden)'!$A$1:$Z$1,0)),"")</f>
        <v>87,50 %</v>
      </c>
      <c r="Z205" s="106">
        <f>+IFERROR(INDEX('Restaurant Base (Hidden)'!$A$2:$Z$1048576,MATCH($C205,'Restaurant Base (Hidden)'!$C$2:$C$1048576,0),MATCH(Z$6,'Restaurant Base (Hidden)'!$A$1:$Z$1,0)),"")</f>
        <v>3</v>
      </c>
      <c r="AA205" s="65" t="str">
        <f>+IFERROR(INDEX('Restaurant Base (Hidden)'!$A$2:$Z$1048576,MATCH($C205,'Restaurant Base (Hidden)'!$C$2:$C$1048576,0),MATCH(AA$6,'Restaurant Base (Hidden)'!$A$1:$Z$1,0)),"")</f>
        <v>56,00 %</v>
      </c>
      <c r="AB205" s="1">
        <f>+IFERROR(INDEX('Restaurant Base (Hidden)'!$A$2:$Z$1048576,MATCH($C205,'Restaurant Base (Hidden)'!$C$2:$C$1048576,0),MATCH(AB$6,'Restaurant Base (Hidden)'!$A$1:$Z$1,0)),"")</f>
        <v>1</v>
      </c>
      <c r="AC205" s="20" t="str">
        <f>+IFERROR(INDEX('Restaurant Base (Hidden)'!$A$2:$Z$1048576,MATCH($C205,'Restaurant Base (Hidden)'!$C$2:$C$1048576,0),MATCH(AC$6,'Restaurant Base (Hidden)'!$A$1:$Z$1,0)),"")</f>
        <v/>
      </c>
      <c r="AD205" s="65" t="str">
        <f>+IFERROR(INDEX('Restaurant Base (Hidden)'!$A$2:$Z$1048576,MATCH($C205,'Restaurant Base (Hidden)'!$C$2:$C$1048576,0),MATCH(AD$6,'Restaurant Base (Hidden)'!$A$1:$Z$1,0)),"")</f>
        <v>55,20 %</v>
      </c>
      <c r="AE205" s="1">
        <f>+IFERROR(INDEX('Restaurant Base (Hidden)'!$A$2:$Z$1048576,MATCH($C205,'Restaurant Base (Hidden)'!$C$2:$C$1048576,0),MATCH(AE$6,'Restaurant Base (Hidden)'!$A$1:$Z$1,0)),"")</f>
        <v>1</v>
      </c>
      <c r="AF205" s="65" t="str">
        <f>+IFERROR(INDEX('Restaurant Base (Hidden)'!$A$2:$Z$1048576,MATCH($C205,'Restaurant Base (Hidden)'!$C$2:$C$1048576,0),MATCH(AF$6,'Restaurant Base (Hidden)'!$A$1:$Z$1,0)),"")</f>
        <v>78,90 %</v>
      </c>
      <c r="AG205" s="1">
        <f>+IFERROR(INDEX('Restaurant Base (Hidden)'!$A$2:$Z$1048576,MATCH($C205,'Restaurant Base (Hidden)'!$C$2:$C$1048576,0),MATCH(AG$6,'Restaurant Base (Hidden)'!$A$1:$Z$1,0)),"")</f>
        <v>2</v>
      </c>
    </row>
    <row r="206" spans="1:33" x14ac:dyDescent="0.4">
      <c r="A206" s="163" t="str">
        <f>IF('Restaurant Base (Hidden)'!A110=0,"", 'Restaurant Base (Hidden)'!A110)</f>
        <v>Arden Brookstone</v>
      </c>
      <c r="B206" s="163" t="str">
        <f>IF('Restaurant Base (Hidden)'!B110=0,"", 'Restaurant Base (Hidden)'!B110)</f>
        <v>Northvale Restaurants</v>
      </c>
      <c r="C206" s="163" t="str">
        <f>IF('Restaurant Base (Hidden)'!C110=0,"", 'Restaurant Base (Hidden)'!C110)</f>
        <v>Willow Grove</v>
      </c>
      <c r="D206" s="104">
        <f t="shared" si="3"/>
        <v>200</v>
      </c>
      <c r="E206" s="105">
        <f>+IFERROR(INDEX('Restaurant Base (Hidden)'!$A$2:$Z$1048576,MATCH($C206,'Restaurant Base (Hidden)'!$C$2:$C$1048576,0),MATCH(E$6,'Restaurant Base (Hidden)'!$A$1:$Z$1,0)),"")</f>
        <v>3.02</v>
      </c>
      <c r="F206" s="2" t="str">
        <f>+IFERROR(INDEX('Restaurant Base (Hidden)'!$A$2:$Z$1048576,MATCH($C206,'Restaurant Base (Hidden)'!$C$2:$C$1048576,0),MATCH(F$6,'Restaurant Base (Hidden)'!$A$1:$Z$1,0)),"")</f>
        <v/>
      </c>
      <c r="G206" s="20" t="str">
        <f>+IFERROR(INDEX('Restaurant Base (Hidden)'!$A$2:$Z$1048576,MATCH($C206,'Restaurant Base (Hidden)'!$C$2:$C$1048576,0),MATCH(G$6,'Restaurant Base (Hidden)'!$A$1:$Z$1,0)),"")</f>
        <v>4,310</v>
      </c>
      <c r="H206" s="50">
        <f>+IFERROR(INDEX('Restaurant Base (Hidden)'!$A$2:$Z$1048576,MATCH($C206,'Restaurant Base (Hidden)'!$C$2:$C$1048576,0),MATCH(H$6,'Restaurant Base (Hidden)'!$A$1:$Z$1,0)),"")</f>
        <v>3</v>
      </c>
      <c r="I206" s="20" t="str">
        <f>+IFERROR(INDEX('Restaurant Base (Hidden)'!$A$2:$Z$1048576,MATCH($C206,'Restaurant Base (Hidden)'!$C$2:$C$1048576,0),MATCH(I$6,'Restaurant Base (Hidden)'!$A$1:$Z$1,0)),"")</f>
        <v>63,10 %</v>
      </c>
      <c r="J206" s="49">
        <f>+IFERROR(INDEX('Restaurant Base (Hidden)'!$A$2:$Z$1048576,MATCH($C206,'Restaurant Base (Hidden)'!$C$2:$C$1048576,0),MATCH(J$6,'Restaurant Base (Hidden)'!$A$1:$Z$1,0)),"")</f>
        <v>1</v>
      </c>
      <c r="K206" s="20" t="str">
        <f>+IFERROR(INDEX('Restaurant Base (Hidden)'!$A$2:$Z$1048576,MATCH($C206,'Restaurant Base (Hidden)'!$C$2:$C$1048576,0),MATCH(K$6,'Restaurant Base (Hidden)'!$A$1:$Z$1,0)),"")</f>
        <v>0,075</v>
      </c>
      <c r="L206" s="51">
        <f>+IFERROR(INDEX('Restaurant Base (Hidden)'!$A$2:$Z$1048576,MATCH($C206,'Restaurant Base (Hidden)'!$C$2:$C$1048576,0),MATCH(L$6,'Restaurant Base (Hidden)'!$A$1:$Z$1,0)),"")</f>
        <v>4</v>
      </c>
      <c r="M206" s="2" t="str">
        <f>+IFERROR(INDEX('Restaurant Base (Hidden)'!$A$2:$Z$1048576,MATCH($C206,'Restaurant Base (Hidden)'!$C$2:$C$1048576,0),MATCH(M$6,'Restaurant Base (Hidden)'!$A$1:$Z$1,0)),"")</f>
        <v/>
      </c>
      <c r="N206" s="234" t="str">
        <f>+IFERROR(INDEX('Restaurant Base (Hidden)'!$A$2:$Z$1048576,MATCH($C206,'Restaurant Base (Hidden)'!$C$2:$C$1048576,0),MATCH(N$6,'Restaurant Base (Hidden)'!$A$1:$Z$1,0)),"")</f>
        <v>61,50 %</v>
      </c>
      <c r="O206" s="1">
        <f>+IFERROR(INDEX('Restaurant Base (Hidden)'!$A$2:$Z$1048576,MATCH($C206,'Restaurant Base (Hidden)'!$C$2:$C$1048576,0),MATCH(O$6,'Restaurant Base (Hidden)'!$A$1:$Z$1,0)),"")</f>
        <v>2</v>
      </c>
      <c r="P206" s="2" t="str">
        <f>+IFERROR(INDEX('Restaurant Base (Hidden)'!$A$2:$Z$1048576,MATCH($C206,'Restaurant Base (Hidden)'!$C$2:$C$1048576,0),MATCH(P$6,'Restaurant Base (Hidden)'!$A$1:$Z$1,0)),"")</f>
        <v/>
      </c>
      <c r="Q206" s="234" t="str">
        <f>+IFERROR(INDEX('Restaurant Base (Hidden)'!$A$2:$Z$1048576,MATCH($C206,'Restaurant Base (Hidden)'!$C$2:$C$1048576,0),MATCH(Q$6,'Restaurant Base (Hidden)'!$A$1:$Z$1,0)),"")</f>
        <v>85,30 %</v>
      </c>
      <c r="R206" s="1">
        <f>+IFERROR(INDEX('Restaurant Base (Hidden)'!$A$2:$Z$1048576,MATCH($C206,'Restaurant Base (Hidden)'!$C$2:$C$1048576,0),MATCH(R$6,'Restaurant Base (Hidden)'!$A$1:$Z$1,0)),"")</f>
        <v>5</v>
      </c>
      <c r="S206" s="2" t="str">
        <f>+IFERROR(INDEX('Restaurant Base (Hidden)'!$A$2:$Z$1048576,MATCH($C206,'Restaurant Base (Hidden)'!$C$2:$C$1048576,0),MATCH(S$6,'Restaurant Base (Hidden)'!$A$1:$Z$1,0)),"")</f>
        <v/>
      </c>
      <c r="T206" s="62">
        <f>+IFERROR(INDEX('Restaurant Base (Hidden)'!$A$2:$Z$1048576,MATCH($C206,'Restaurant Base (Hidden)'!$C$2:$C$1048576,0),MATCH(T$6,'Restaurant Base (Hidden)'!$A$1:$Z$1,0)),"")</f>
        <v>71.3</v>
      </c>
      <c r="U206" s="1">
        <f>+IFERROR(INDEX('Restaurant Base (Hidden)'!$A$2:$Z$1048576,MATCH($C206,'Restaurant Base (Hidden)'!$C$2:$C$1048576,0),MATCH(U$6,'Restaurant Base (Hidden)'!$A$1:$Z$1,0)),"")</f>
        <v>5</v>
      </c>
      <c r="V206" s="2" t="str">
        <f>+IFERROR(INDEX('Restaurant Base (Hidden)'!$A$2:$Z$1048576,MATCH($C206,'Restaurant Base (Hidden)'!$C$2:$C$1048576,0),MATCH(V$6,'Restaurant Base (Hidden)'!$A$1:$Z$1,0)),"")</f>
        <v/>
      </c>
      <c r="W206" s="65" t="str">
        <f>+IFERROR(INDEX('Restaurant Base (Hidden)'!$A$2:$Z$1048576,MATCH($C206,'Restaurant Base (Hidden)'!$C$2:$C$1048576,0),MATCH(W$6,'Restaurant Base (Hidden)'!$A$1:$Z$1,0)),"")</f>
        <v>94,50 %</v>
      </c>
      <c r="X206" s="1">
        <f>+IFERROR(INDEX('Restaurant Base (Hidden)'!$A$2:$Z$1048576,MATCH($C206,'Restaurant Base (Hidden)'!$C$2:$C$1048576,0),MATCH(X$6,'Restaurant Base (Hidden)'!$A$1:$Z$1,0)),"")</f>
        <v>4</v>
      </c>
      <c r="Y206" s="65" t="str">
        <f>+IFERROR(INDEX('Restaurant Base (Hidden)'!$A$2:$Z$1048576,MATCH($C206,'Restaurant Base (Hidden)'!$C$2:$C$1048576,0),MATCH(Y$6,'Restaurant Base (Hidden)'!$A$1:$Z$1,0)),"")</f>
        <v>97,70 %</v>
      </c>
      <c r="Z206" s="106">
        <f>+IFERROR(INDEX('Restaurant Base (Hidden)'!$A$2:$Z$1048576,MATCH($C206,'Restaurant Base (Hidden)'!$C$2:$C$1048576,0),MATCH(Z$6,'Restaurant Base (Hidden)'!$A$1:$Z$1,0)),"")</f>
        <v>4</v>
      </c>
      <c r="AA206" s="65" t="str">
        <f>+IFERROR(INDEX('Restaurant Base (Hidden)'!$A$2:$Z$1048576,MATCH($C206,'Restaurant Base (Hidden)'!$C$2:$C$1048576,0),MATCH(AA$6,'Restaurant Base (Hidden)'!$A$1:$Z$1,0)),"")</f>
        <v>74,40 %</v>
      </c>
      <c r="AB206" s="1">
        <f>+IFERROR(INDEX('Restaurant Base (Hidden)'!$A$2:$Z$1048576,MATCH($C206,'Restaurant Base (Hidden)'!$C$2:$C$1048576,0),MATCH(AB$6,'Restaurant Base (Hidden)'!$A$1:$Z$1,0)),"")</f>
        <v>2</v>
      </c>
      <c r="AC206" s="20" t="str">
        <f>+IFERROR(INDEX('Restaurant Base (Hidden)'!$A$2:$Z$1048576,MATCH($C206,'Restaurant Base (Hidden)'!$C$2:$C$1048576,0),MATCH(AC$6,'Restaurant Base (Hidden)'!$A$1:$Z$1,0)),"")</f>
        <v/>
      </c>
      <c r="AD206" s="65" t="str">
        <f>+IFERROR(INDEX('Restaurant Base (Hidden)'!$A$2:$Z$1048576,MATCH($C206,'Restaurant Base (Hidden)'!$C$2:$C$1048576,0),MATCH(AD$6,'Restaurant Base (Hidden)'!$A$1:$Z$1,0)),"")</f>
        <v>84,70 %</v>
      </c>
      <c r="AE206" s="1">
        <f>+IFERROR(INDEX('Restaurant Base (Hidden)'!$A$2:$Z$1048576,MATCH($C206,'Restaurant Base (Hidden)'!$C$2:$C$1048576,0),MATCH(AE$6,'Restaurant Base (Hidden)'!$A$1:$Z$1,0)),"")</f>
        <v>3</v>
      </c>
      <c r="AF206" s="65" t="str">
        <f>+IFERROR(INDEX('Restaurant Base (Hidden)'!$A$2:$Z$1048576,MATCH($C206,'Restaurant Base (Hidden)'!$C$2:$C$1048576,0),MATCH(AF$6,'Restaurant Base (Hidden)'!$A$1:$Z$1,0)),"")</f>
        <v>67,70 %</v>
      </c>
      <c r="AG206" s="1">
        <f>+IFERROR(INDEX('Restaurant Base (Hidden)'!$A$2:$Z$1048576,MATCH($C206,'Restaurant Base (Hidden)'!$C$2:$C$1048576,0),MATCH(AG$6,'Restaurant Base (Hidden)'!$A$1:$Z$1,0)),"")</f>
        <v>1</v>
      </c>
    </row>
    <row r="207" spans="1:33" x14ac:dyDescent="0.4">
      <c r="A207" s="163" t="str">
        <f>IF('Restaurant Base (Hidden)'!A118=0,"", 'Restaurant Base (Hidden)'!A118)</f>
        <v>Avery Ashford</v>
      </c>
      <c r="B207" s="163" t="str">
        <f>IF('Restaurant Base (Hidden)'!B118=0,"", 'Restaurant Base (Hidden)'!B118)</f>
        <v>Havenbrook Restaurants</v>
      </c>
      <c r="C207" s="163" t="str">
        <f>IF('Restaurant Base (Hidden)'!C118=0,"", 'Restaurant Base (Hidden)'!C118)</f>
        <v>Haven Landing</v>
      </c>
      <c r="D207" s="104">
        <f t="shared" si="3"/>
        <v>200</v>
      </c>
      <c r="E207" s="105">
        <f>+IFERROR(INDEX('Restaurant Base (Hidden)'!$A$2:$Z$1048576,MATCH($C207,'Restaurant Base (Hidden)'!$C$2:$C$1048576,0),MATCH(E$6,'Restaurant Base (Hidden)'!$A$1:$Z$1,0)),"")</f>
        <v>3.02</v>
      </c>
      <c r="F207" s="2" t="str">
        <f>+IFERROR(INDEX('Restaurant Base (Hidden)'!$A$2:$Z$1048576,MATCH($C207,'Restaurant Base (Hidden)'!$C$2:$C$1048576,0),MATCH(F$6,'Restaurant Base (Hidden)'!$A$1:$Z$1,0)),"")</f>
        <v/>
      </c>
      <c r="G207" s="20" t="str">
        <f>+IFERROR(INDEX('Restaurant Base (Hidden)'!$A$2:$Z$1048576,MATCH($C207,'Restaurant Base (Hidden)'!$C$2:$C$1048576,0),MATCH(G$6,'Restaurant Base (Hidden)'!$A$1:$Z$1,0)),"")</f>
        <v>4,837</v>
      </c>
      <c r="H207" s="50">
        <f>+IFERROR(INDEX('Restaurant Base (Hidden)'!$A$2:$Z$1048576,MATCH($C207,'Restaurant Base (Hidden)'!$C$2:$C$1048576,0),MATCH(H$6,'Restaurant Base (Hidden)'!$A$1:$Z$1,0)),"")</f>
        <v>5</v>
      </c>
      <c r="I207" s="20" t="str">
        <f>+IFERROR(INDEX('Restaurant Base (Hidden)'!$A$2:$Z$1048576,MATCH($C207,'Restaurant Base (Hidden)'!$C$2:$C$1048576,0),MATCH(I$6,'Restaurant Base (Hidden)'!$A$1:$Z$1,0)),"")</f>
        <v>85,70 %</v>
      </c>
      <c r="J207" s="49">
        <f>+IFERROR(INDEX('Restaurant Base (Hidden)'!$A$2:$Z$1048576,MATCH($C207,'Restaurant Base (Hidden)'!$C$2:$C$1048576,0),MATCH(J$6,'Restaurant Base (Hidden)'!$A$1:$Z$1,0)),"")</f>
        <v>3</v>
      </c>
      <c r="K207" s="20" t="str">
        <f>+IFERROR(INDEX('Restaurant Base (Hidden)'!$A$2:$Z$1048576,MATCH($C207,'Restaurant Base (Hidden)'!$C$2:$C$1048576,0),MATCH(K$6,'Restaurant Base (Hidden)'!$A$1:$Z$1,0)),"")</f>
        <v>0,140</v>
      </c>
      <c r="L207" s="51">
        <f>+IFERROR(INDEX('Restaurant Base (Hidden)'!$A$2:$Z$1048576,MATCH($C207,'Restaurant Base (Hidden)'!$C$2:$C$1048576,0),MATCH(L$6,'Restaurant Base (Hidden)'!$A$1:$Z$1,0)),"")</f>
        <v>2</v>
      </c>
      <c r="M207" s="2" t="str">
        <f>+IFERROR(INDEX('Restaurant Base (Hidden)'!$A$2:$Z$1048576,MATCH($C207,'Restaurant Base (Hidden)'!$C$2:$C$1048576,0),MATCH(M$6,'Restaurant Base (Hidden)'!$A$1:$Z$1,0)),"")</f>
        <v/>
      </c>
      <c r="N207" s="234" t="str">
        <f>+IFERROR(INDEX('Restaurant Base (Hidden)'!$A$2:$Z$1048576,MATCH($C207,'Restaurant Base (Hidden)'!$C$2:$C$1048576,0),MATCH(N$6,'Restaurant Base (Hidden)'!$A$1:$Z$1,0)),"")</f>
        <v>97,50 %</v>
      </c>
      <c r="O207" s="1">
        <f>+IFERROR(INDEX('Restaurant Base (Hidden)'!$A$2:$Z$1048576,MATCH($C207,'Restaurant Base (Hidden)'!$C$2:$C$1048576,0),MATCH(O$6,'Restaurant Base (Hidden)'!$A$1:$Z$1,0)),"")</f>
        <v>5</v>
      </c>
      <c r="P207" s="2" t="str">
        <f>+IFERROR(INDEX('Restaurant Base (Hidden)'!$A$2:$Z$1048576,MATCH($C207,'Restaurant Base (Hidden)'!$C$2:$C$1048576,0),MATCH(P$6,'Restaurant Base (Hidden)'!$A$1:$Z$1,0)),"")</f>
        <v/>
      </c>
      <c r="Q207" s="234" t="str">
        <f>+IFERROR(INDEX('Restaurant Base (Hidden)'!$A$2:$Z$1048576,MATCH($C207,'Restaurant Base (Hidden)'!$C$2:$C$1048576,0),MATCH(Q$6,'Restaurant Base (Hidden)'!$A$1:$Z$1,0)),"")</f>
        <v>61,30 %</v>
      </c>
      <c r="R207" s="1">
        <f>+IFERROR(INDEX('Restaurant Base (Hidden)'!$A$2:$Z$1048576,MATCH($C207,'Restaurant Base (Hidden)'!$C$2:$C$1048576,0),MATCH(R$6,'Restaurant Base (Hidden)'!$A$1:$Z$1,0)),"")</f>
        <v>2</v>
      </c>
      <c r="S207" s="2" t="str">
        <f>+IFERROR(INDEX('Restaurant Base (Hidden)'!$A$2:$Z$1048576,MATCH($C207,'Restaurant Base (Hidden)'!$C$2:$C$1048576,0),MATCH(S$6,'Restaurant Base (Hidden)'!$A$1:$Z$1,0)),"")</f>
        <v/>
      </c>
      <c r="T207" s="62">
        <f>+IFERROR(INDEX('Restaurant Base (Hidden)'!$A$2:$Z$1048576,MATCH($C207,'Restaurant Base (Hidden)'!$C$2:$C$1048576,0),MATCH(T$6,'Restaurant Base (Hidden)'!$A$1:$Z$1,0)),"")</f>
        <v>63.2</v>
      </c>
      <c r="U207" s="1">
        <f>+IFERROR(INDEX('Restaurant Base (Hidden)'!$A$2:$Z$1048576,MATCH($C207,'Restaurant Base (Hidden)'!$C$2:$C$1048576,0),MATCH(U$6,'Restaurant Base (Hidden)'!$A$1:$Z$1,0)),"")</f>
        <v>3</v>
      </c>
      <c r="V207" s="2" t="str">
        <f>+IFERROR(INDEX('Restaurant Base (Hidden)'!$A$2:$Z$1048576,MATCH($C207,'Restaurant Base (Hidden)'!$C$2:$C$1048576,0),MATCH(V$6,'Restaurant Base (Hidden)'!$A$1:$Z$1,0)),"")</f>
        <v/>
      </c>
      <c r="W207" s="65" t="str">
        <f>+IFERROR(INDEX('Restaurant Base (Hidden)'!$A$2:$Z$1048576,MATCH($C207,'Restaurant Base (Hidden)'!$C$2:$C$1048576,0),MATCH(W$6,'Restaurant Base (Hidden)'!$A$1:$Z$1,0)),"")</f>
        <v>91,90 %</v>
      </c>
      <c r="X207" s="1">
        <f>+IFERROR(INDEX('Restaurant Base (Hidden)'!$A$2:$Z$1048576,MATCH($C207,'Restaurant Base (Hidden)'!$C$2:$C$1048576,0),MATCH(X$6,'Restaurant Base (Hidden)'!$A$1:$Z$1,0)),"")</f>
        <v>3</v>
      </c>
      <c r="Y207" s="65" t="str">
        <f>+IFERROR(INDEX('Restaurant Base (Hidden)'!$A$2:$Z$1048576,MATCH($C207,'Restaurant Base (Hidden)'!$C$2:$C$1048576,0),MATCH(Y$6,'Restaurant Base (Hidden)'!$A$1:$Z$1,0)),"")</f>
        <v>98,70 %</v>
      </c>
      <c r="Z207" s="106">
        <f>+IFERROR(INDEX('Restaurant Base (Hidden)'!$A$2:$Z$1048576,MATCH($C207,'Restaurant Base (Hidden)'!$C$2:$C$1048576,0),MATCH(Z$6,'Restaurant Base (Hidden)'!$A$1:$Z$1,0)),"")</f>
        <v>5</v>
      </c>
      <c r="AA207" s="65" t="str">
        <f>+IFERROR(INDEX('Restaurant Base (Hidden)'!$A$2:$Z$1048576,MATCH($C207,'Restaurant Base (Hidden)'!$C$2:$C$1048576,0),MATCH(AA$6,'Restaurant Base (Hidden)'!$A$1:$Z$1,0)),"")</f>
        <v>98,60 %</v>
      </c>
      <c r="AB207" s="1">
        <f>+IFERROR(INDEX('Restaurant Base (Hidden)'!$A$2:$Z$1048576,MATCH($C207,'Restaurant Base (Hidden)'!$C$2:$C$1048576,0),MATCH(AB$6,'Restaurant Base (Hidden)'!$A$1:$Z$1,0)),"")</f>
        <v>4</v>
      </c>
      <c r="AC207" s="20" t="str">
        <f>+IFERROR(INDEX('Restaurant Base (Hidden)'!$A$2:$Z$1048576,MATCH($C207,'Restaurant Base (Hidden)'!$C$2:$C$1048576,0),MATCH(AC$6,'Restaurant Base (Hidden)'!$A$1:$Z$1,0)),"")</f>
        <v/>
      </c>
      <c r="AD207" s="65" t="str">
        <f>+IFERROR(INDEX('Restaurant Base (Hidden)'!$A$2:$Z$1048576,MATCH($C207,'Restaurant Base (Hidden)'!$C$2:$C$1048576,0),MATCH(AD$6,'Restaurant Base (Hidden)'!$A$1:$Z$1,0)),"")</f>
        <v>66,70 %</v>
      </c>
      <c r="AE207" s="1">
        <f>+IFERROR(INDEX('Restaurant Base (Hidden)'!$A$2:$Z$1048576,MATCH($C207,'Restaurant Base (Hidden)'!$C$2:$C$1048576,0),MATCH(AE$6,'Restaurant Base (Hidden)'!$A$1:$Z$1,0)),"")</f>
        <v>1</v>
      </c>
      <c r="AF207" s="65" t="str">
        <f>+IFERROR(INDEX('Restaurant Base (Hidden)'!$A$2:$Z$1048576,MATCH($C207,'Restaurant Base (Hidden)'!$C$2:$C$1048576,0),MATCH(AF$6,'Restaurant Base (Hidden)'!$A$1:$Z$1,0)),"")</f>
        <v>66,60 %</v>
      </c>
      <c r="AG207" s="1">
        <f>+IFERROR(INDEX('Restaurant Base (Hidden)'!$A$2:$Z$1048576,MATCH($C207,'Restaurant Base (Hidden)'!$C$2:$C$1048576,0),MATCH(AG$6,'Restaurant Base (Hidden)'!$A$1:$Z$1,0)),"")</f>
        <v>1</v>
      </c>
    </row>
    <row r="208" spans="1:33" x14ac:dyDescent="0.4">
      <c r="A208" s="163" t="str">
        <f>IF('Restaurant Base (Hidden)'!A173=0,"", 'Restaurant Base (Hidden)'!A173)</f>
        <v>Sage Rosemont</v>
      </c>
      <c r="B208" s="163" t="str">
        <f>IF('Restaurant Base (Hidden)'!B173=0,"", 'Restaurant Base (Hidden)'!B173)</f>
        <v>Maplewood Hospitality</v>
      </c>
      <c r="C208" s="163" t="str">
        <f>IF('Restaurant Base (Hidden)'!C173=0,"", 'Restaurant Base (Hidden)'!C173)</f>
        <v>Westmere Court</v>
      </c>
      <c r="D208" s="104">
        <f t="shared" si="3"/>
        <v>200</v>
      </c>
      <c r="E208" s="105">
        <f>+IFERROR(INDEX('Restaurant Base (Hidden)'!$A$2:$Z$1048576,MATCH($C208,'Restaurant Base (Hidden)'!$C$2:$C$1048576,0),MATCH(E$6,'Restaurant Base (Hidden)'!$A$1:$Z$1,0)),"")</f>
        <v>3.02</v>
      </c>
      <c r="F208" s="2" t="str">
        <f>+IFERROR(INDEX('Restaurant Base (Hidden)'!$A$2:$Z$1048576,MATCH($C208,'Restaurant Base (Hidden)'!$C$2:$C$1048576,0),MATCH(F$6,'Restaurant Base (Hidden)'!$A$1:$Z$1,0)),"")</f>
        <v/>
      </c>
      <c r="G208" s="20" t="str">
        <f>+IFERROR(INDEX('Restaurant Base (Hidden)'!$A$2:$Z$1048576,MATCH($C208,'Restaurant Base (Hidden)'!$C$2:$C$1048576,0),MATCH(G$6,'Restaurant Base (Hidden)'!$A$1:$Z$1,0)),"")</f>
        <v>4,645</v>
      </c>
      <c r="H208" s="50">
        <f>+IFERROR(INDEX('Restaurant Base (Hidden)'!$A$2:$Z$1048576,MATCH($C208,'Restaurant Base (Hidden)'!$C$2:$C$1048576,0),MATCH(H$6,'Restaurant Base (Hidden)'!$A$1:$Z$1,0)),"")</f>
        <v>5</v>
      </c>
      <c r="I208" s="20" t="str">
        <f>+IFERROR(INDEX('Restaurant Base (Hidden)'!$A$2:$Z$1048576,MATCH($C208,'Restaurant Base (Hidden)'!$C$2:$C$1048576,0),MATCH(I$6,'Restaurant Base (Hidden)'!$A$1:$Z$1,0)),"")</f>
        <v>83,20 %</v>
      </c>
      <c r="J208" s="49">
        <f>+IFERROR(INDEX('Restaurant Base (Hidden)'!$A$2:$Z$1048576,MATCH($C208,'Restaurant Base (Hidden)'!$C$2:$C$1048576,0),MATCH(J$6,'Restaurant Base (Hidden)'!$A$1:$Z$1,0)),"")</f>
        <v>3</v>
      </c>
      <c r="K208" s="20" t="str">
        <f>+IFERROR(INDEX('Restaurant Base (Hidden)'!$A$2:$Z$1048576,MATCH($C208,'Restaurant Base (Hidden)'!$C$2:$C$1048576,0),MATCH(K$6,'Restaurant Base (Hidden)'!$A$1:$Z$1,0)),"")</f>
        <v>0,136</v>
      </c>
      <c r="L208" s="51">
        <f>+IFERROR(INDEX('Restaurant Base (Hidden)'!$A$2:$Z$1048576,MATCH($C208,'Restaurant Base (Hidden)'!$C$2:$C$1048576,0),MATCH(L$6,'Restaurant Base (Hidden)'!$A$1:$Z$1,0)),"")</f>
        <v>2</v>
      </c>
      <c r="M208" s="2" t="str">
        <f>+IFERROR(INDEX('Restaurant Base (Hidden)'!$A$2:$Z$1048576,MATCH($C208,'Restaurant Base (Hidden)'!$C$2:$C$1048576,0),MATCH(M$6,'Restaurant Base (Hidden)'!$A$1:$Z$1,0)),"")</f>
        <v/>
      </c>
      <c r="N208" s="234" t="str">
        <f>+IFERROR(INDEX('Restaurant Base (Hidden)'!$A$2:$Z$1048576,MATCH($C208,'Restaurant Base (Hidden)'!$C$2:$C$1048576,0),MATCH(N$6,'Restaurant Base (Hidden)'!$A$1:$Z$1,0)),"")</f>
        <v>75,60 %</v>
      </c>
      <c r="O208" s="1">
        <f>+IFERROR(INDEX('Restaurant Base (Hidden)'!$A$2:$Z$1048576,MATCH($C208,'Restaurant Base (Hidden)'!$C$2:$C$1048576,0),MATCH(O$6,'Restaurant Base (Hidden)'!$A$1:$Z$1,0)),"")</f>
        <v>5</v>
      </c>
      <c r="P208" s="2" t="str">
        <f>+IFERROR(INDEX('Restaurant Base (Hidden)'!$A$2:$Z$1048576,MATCH($C208,'Restaurant Base (Hidden)'!$C$2:$C$1048576,0),MATCH(P$6,'Restaurant Base (Hidden)'!$A$1:$Z$1,0)),"")</f>
        <v/>
      </c>
      <c r="Q208" s="234" t="str">
        <f>+IFERROR(INDEX('Restaurant Base (Hidden)'!$A$2:$Z$1048576,MATCH($C208,'Restaurant Base (Hidden)'!$C$2:$C$1048576,0),MATCH(Q$6,'Restaurant Base (Hidden)'!$A$1:$Z$1,0)),"")</f>
        <v>59,90 %</v>
      </c>
      <c r="R208" s="1">
        <f>+IFERROR(INDEX('Restaurant Base (Hidden)'!$A$2:$Z$1048576,MATCH($C208,'Restaurant Base (Hidden)'!$C$2:$C$1048576,0),MATCH(R$6,'Restaurant Base (Hidden)'!$A$1:$Z$1,0)),"")</f>
        <v>1</v>
      </c>
      <c r="S208" s="2" t="str">
        <f>+IFERROR(INDEX('Restaurant Base (Hidden)'!$A$2:$Z$1048576,MATCH($C208,'Restaurant Base (Hidden)'!$C$2:$C$1048576,0),MATCH(S$6,'Restaurant Base (Hidden)'!$A$1:$Z$1,0)),"")</f>
        <v/>
      </c>
      <c r="T208" s="62">
        <f>+IFERROR(INDEX('Restaurant Base (Hidden)'!$A$2:$Z$1048576,MATCH($C208,'Restaurant Base (Hidden)'!$C$2:$C$1048576,0),MATCH(T$6,'Restaurant Base (Hidden)'!$A$1:$Z$1,0)),"")</f>
        <v>66.8</v>
      </c>
      <c r="U208" s="1">
        <f>+IFERROR(INDEX('Restaurant Base (Hidden)'!$A$2:$Z$1048576,MATCH($C208,'Restaurant Base (Hidden)'!$C$2:$C$1048576,0),MATCH(U$6,'Restaurant Base (Hidden)'!$A$1:$Z$1,0)),"")</f>
        <v>4</v>
      </c>
      <c r="V208" s="2" t="str">
        <f>+IFERROR(INDEX('Restaurant Base (Hidden)'!$A$2:$Z$1048576,MATCH($C208,'Restaurant Base (Hidden)'!$C$2:$C$1048576,0),MATCH(V$6,'Restaurant Base (Hidden)'!$A$1:$Z$1,0)),"")</f>
        <v/>
      </c>
      <c r="W208" s="65" t="str">
        <f>+IFERROR(INDEX('Restaurant Base (Hidden)'!$A$2:$Z$1048576,MATCH($C208,'Restaurant Base (Hidden)'!$C$2:$C$1048576,0),MATCH(W$6,'Restaurant Base (Hidden)'!$A$1:$Z$1,0)),"")</f>
        <v>93,80 %</v>
      </c>
      <c r="X208" s="1">
        <f>+IFERROR(INDEX('Restaurant Base (Hidden)'!$A$2:$Z$1048576,MATCH($C208,'Restaurant Base (Hidden)'!$C$2:$C$1048576,0),MATCH(X$6,'Restaurant Base (Hidden)'!$A$1:$Z$1,0)),"")</f>
        <v>4</v>
      </c>
      <c r="Y208" s="65" t="str">
        <f>+IFERROR(INDEX('Restaurant Base (Hidden)'!$A$2:$Z$1048576,MATCH($C208,'Restaurant Base (Hidden)'!$C$2:$C$1048576,0),MATCH(Y$6,'Restaurant Base (Hidden)'!$A$1:$Z$1,0)),"")</f>
        <v>90,30 %</v>
      </c>
      <c r="Z208" s="106">
        <f>+IFERROR(INDEX('Restaurant Base (Hidden)'!$A$2:$Z$1048576,MATCH($C208,'Restaurant Base (Hidden)'!$C$2:$C$1048576,0),MATCH(Z$6,'Restaurant Base (Hidden)'!$A$1:$Z$1,0)),"")</f>
        <v>3</v>
      </c>
      <c r="AA208" s="65" t="str">
        <f>+IFERROR(INDEX('Restaurant Base (Hidden)'!$A$2:$Z$1048576,MATCH($C208,'Restaurant Base (Hidden)'!$C$2:$C$1048576,0),MATCH(AA$6,'Restaurant Base (Hidden)'!$A$1:$Z$1,0)),"")</f>
        <v>80,50 %</v>
      </c>
      <c r="AB208" s="1">
        <f>+IFERROR(INDEX('Restaurant Base (Hidden)'!$A$2:$Z$1048576,MATCH($C208,'Restaurant Base (Hidden)'!$C$2:$C$1048576,0),MATCH(AB$6,'Restaurant Base (Hidden)'!$A$1:$Z$1,0)),"")</f>
        <v>2</v>
      </c>
      <c r="AC208" s="20" t="str">
        <f>+IFERROR(INDEX('Restaurant Base (Hidden)'!$A$2:$Z$1048576,MATCH($C208,'Restaurant Base (Hidden)'!$C$2:$C$1048576,0),MATCH(AC$6,'Restaurant Base (Hidden)'!$A$1:$Z$1,0)),"")</f>
        <v/>
      </c>
      <c r="AD208" s="65" t="str">
        <f>+IFERROR(INDEX('Restaurant Base (Hidden)'!$A$2:$Z$1048576,MATCH($C208,'Restaurant Base (Hidden)'!$C$2:$C$1048576,0),MATCH(AD$6,'Restaurant Base (Hidden)'!$A$1:$Z$1,0)),"")</f>
        <v>64,50 %</v>
      </c>
      <c r="AE208" s="1">
        <f>+IFERROR(INDEX('Restaurant Base (Hidden)'!$A$2:$Z$1048576,MATCH($C208,'Restaurant Base (Hidden)'!$C$2:$C$1048576,0),MATCH(AE$6,'Restaurant Base (Hidden)'!$A$1:$Z$1,0)),"")</f>
        <v>1</v>
      </c>
      <c r="AF208" s="65" t="str">
        <f>+IFERROR(INDEX('Restaurant Base (Hidden)'!$A$2:$Z$1048576,MATCH($C208,'Restaurant Base (Hidden)'!$C$2:$C$1048576,0),MATCH(AF$6,'Restaurant Base (Hidden)'!$A$1:$Z$1,0)),"")</f>
        <v>84,60 %</v>
      </c>
      <c r="AG208" s="1">
        <f>+IFERROR(INDEX('Restaurant Base (Hidden)'!$A$2:$Z$1048576,MATCH($C208,'Restaurant Base (Hidden)'!$C$2:$C$1048576,0),MATCH(AG$6,'Restaurant Base (Hidden)'!$A$1:$Z$1,0)),"")</f>
        <v>3</v>
      </c>
    </row>
    <row r="209" spans="1:33" x14ac:dyDescent="0.4">
      <c r="A209" s="163" t="str">
        <f>IF('Restaurant Base (Hidden)'!A268=0,"", 'Restaurant Base (Hidden)'!A268)</f>
        <v>Elliot Hawthorne</v>
      </c>
      <c r="B209" s="163" t="str">
        <f>IF('Restaurant Base (Hidden)'!B268=0,"", 'Restaurant Base (Hidden)'!B268)</f>
        <v>Silverbrook Dining</v>
      </c>
      <c r="C209" s="163" t="str">
        <f>IF('Restaurant Base (Hidden)'!C268=0,"", 'Restaurant Base (Hidden)'!C268)</f>
        <v>Bright Mews</v>
      </c>
      <c r="D209" s="104">
        <f t="shared" si="3"/>
        <v>200</v>
      </c>
      <c r="E209" s="105">
        <f>+IFERROR(INDEX('Restaurant Base (Hidden)'!$A$2:$Z$1048576,MATCH($C209,'Restaurant Base (Hidden)'!$C$2:$C$1048576,0),MATCH(E$6,'Restaurant Base (Hidden)'!$A$1:$Z$1,0)),"")</f>
        <v>3.02</v>
      </c>
      <c r="F209" s="2" t="str">
        <f>+IFERROR(INDEX('Restaurant Base (Hidden)'!$A$2:$Z$1048576,MATCH($C209,'Restaurant Base (Hidden)'!$C$2:$C$1048576,0),MATCH(F$6,'Restaurant Base (Hidden)'!$A$1:$Z$1,0)),"")</f>
        <v/>
      </c>
      <c r="G209" s="20" t="str">
        <f>+IFERROR(INDEX('Restaurant Base (Hidden)'!$A$2:$Z$1048576,MATCH($C209,'Restaurant Base (Hidden)'!$C$2:$C$1048576,0),MATCH(G$6,'Restaurant Base (Hidden)'!$A$1:$Z$1,0)),"")</f>
        <v>4,382</v>
      </c>
      <c r="H209" s="50">
        <f>+IFERROR(INDEX('Restaurant Base (Hidden)'!$A$2:$Z$1048576,MATCH($C209,'Restaurant Base (Hidden)'!$C$2:$C$1048576,0),MATCH(H$6,'Restaurant Base (Hidden)'!$A$1:$Z$1,0)),"")</f>
        <v>4</v>
      </c>
      <c r="I209" s="20" t="str">
        <f>+IFERROR(INDEX('Restaurant Base (Hidden)'!$A$2:$Z$1048576,MATCH($C209,'Restaurant Base (Hidden)'!$C$2:$C$1048576,0),MATCH(I$6,'Restaurant Base (Hidden)'!$A$1:$Z$1,0)),"")</f>
        <v>73,40 %</v>
      </c>
      <c r="J209" s="49">
        <f>+IFERROR(INDEX('Restaurant Base (Hidden)'!$A$2:$Z$1048576,MATCH($C209,'Restaurant Base (Hidden)'!$C$2:$C$1048576,0),MATCH(J$6,'Restaurant Base (Hidden)'!$A$1:$Z$1,0)),"")</f>
        <v>1</v>
      </c>
      <c r="K209" s="20" t="str">
        <f>+IFERROR(INDEX('Restaurant Base (Hidden)'!$A$2:$Z$1048576,MATCH($C209,'Restaurant Base (Hidden)'!$C$2:$C$1048576,0),MATCH(K$6,'Restaurant Base (Hidden)'!$A$1:$Z$1,0)),"")</f>
        <v>0,077</v>
      </c>
      <c r="L209" s="51">
        <f>+IFERROR(INDEX('Restaurant Base (Hidden)'!$A$2:$Z$1048576,MATCH($C209,'Restaurant Base (Hidden)'!$C$2:$C$1048576,0),MATCH(L$6,'Restaurant Base (Hidden)'!$A$1:$Z$1,0)),"")</f>
        <v>4</v>
      </c>
      <c r="M209" s="2" t="str">
        <f>+IFERROR(INDEX('Restaurant Base (Hidden)'!$A$2:$Z$1048576,MATCH($C209,'Restaurant Base (Hidden)'!$C$2:$C$1048576,0),MATCH(M$6,'Restaurant Base (Hidden)'!$A$1:$Z$1,0)),"")</f>
        <v/>
      </c>
      <c r="N209" s="234" t="str">
        <f>+IFERROR(INDEX('Restaurant Base (Hidden)'!$A$2:$Z$1048576,MATCH($C209,'Restaurant Base (Hidden)'!$C$2:$C$1048576,0),MATCH(N$6,'Restaurant Base (Hidden)'!$A$1:$Z$1,0)),"")</f>
        <v>80,70 %</v>
      </c>
      <c r="O209" s="1">
        <f>+IFERROR(INDEX('Restaurant Base (Hidden)'!$A$2:$Z$1048576,MATCH($C209,'Restaurant Base (Hidden)'!$C$2:$C$1048576,0),MATCH(O$6,'Restaurant Base (Hidden)'!$A$1:$Z$1,0)),"")</f>
        <v>5</v>
      </c>
      <c r="P209" s="2" t="str">
        <f>+IFERROR(INDEX('Restaurant Base (Hidden)'!$A$2:$Z$1048576,MATCH($C209,'Restaurant Base (Hidden)'!$C$2:$C$1048576,0),MATCH(P$6,'Restaurant Base (Hidden)'!$A$1:$Z$1,0)),"")</f>
        <v/>
      </c>
      <c r="Q209" s="234" t="str">
        <f>+IFERROR(INDEX('Restaurant Base (Hidden)'!$A$2:$Z$1048576,MATCH($C209,'Restaurant Base (Hidden)'!$C$2:$C$1048576,0),MATCH(Q$6,'Restaurant Base (Hidden)'!$A$1:$Z$1,0)),"")</f>
        <v>82,70 %</v>
      </c>
      <c r="R209" s="1">
        <f>+IFERROR(INDEX('Restaurant Base (Hidden)'!$A$2:$Z$1048576,MATCH($C209,'Restaurant Base (Hidden)'!$C$2:$C$1048576,0),MATCH(R$6,'Restaurant Base (Hidden)'!$A$1:$Z$1,0)),"")</f>
        <v>5</v>
      </c>
      <c r="S209" s="2" t="str">
        <f>+IFERROR(INDEX('Restaurant Base (Hidden)'!$A$2:$Z$1048576,MATCH($C209,'Restaurant Base (Hidden)'!$C$2:$C$1048576,0),MATCH(S$6,'Restaurant Base (Hidden)'!$A$1:$Z$1,0)),"")</f>
        <v/>
      </c>
      <c r="T209" s="62">
        <f>+IFERROR(INDEX('Restaurant Base (Hidden)'!$A$2:$Z$1048576,MATCH($C209,'Restaurant Base (Hidden)'!$C$2:$C$1048576,0),MATCH(T$6,'Restaurant Base (Hidden)'!$A$1:$Z$1,0)),"")</f>
        <v>63.8</v>
      </c>
      <c r="U209" s="1">
        <f>+IFERROR(INDEX('Restaurant Base (Hidden)'!$A$2:$Z$1048576,MATCH($C209,'Restaurant Base (Hidden)'!$C$2:$C$1048576,0),MATCH(U$6,'Restaurant Base (Hidden)'!$A$1:$Z$1,0)),"")</f>
        <v>3</v>
      </c>
      <c r="V209" s="2" t="str">
        <f>+IFERROR(INDEX('Restaurant Base (Hidden)'!$A$2:$Z$1048576,MATCH($C209,'Restaurant Base (Hidden)'!$C$2:$C$1048576,0),MATCH(V$6,'Restaurant Base (Hidden)'!$A$1:$Z$1,0)),"")</f>
        <v/>
      </c>
      <c r="W209" s="65" t="str">
        <f>+IFERROR(INDEX('Restaurant Base (Hidden)'!$A$2:$Z$1048576,MATCH($C209,'Restaurant Base (Hidden)'!$C$2:$C$1048576,0),MATCH(W$6,'Restaurant Base (Hidden)'!$A$1:$Z$1,0)),"")</f>
        <v>93,50 %</v>
      </c>
      <c r="X209" s="1">
        <f>+IFERROR(INDEX('Restaurant Base (Hidden)'!$A$2:$Z$1048576,MATCH($C209,'Restaurant Base (Hidden)'!$C$2:$C$1048576,0),MATCH(X$6,'Restaurant Base (Hidden)'!$A$1:$Z$1,0)),"")</f>
        <v>4</v>
      </c>
      <c r="Y209" s="65" t="str">
        <f>+IFERROR(INDEX('Restaurant Base (Hidden)'!$A$2:$Z$1048576,MATCH($C209,'Restaurant Base (Hidden)'!$C$2:$C$1048576,0),MATCH(Y$6,'Restaurant Base (Hidden)'!$A$1:$Z$1,0)),"")</f>
        <v>67,20 %</v>
      </c>
      <c r="Z209" s="106">
        <f>+IFERROR(INDEX('Restaurant Base (Hidden)'!$A$2:$Z$1048576,MATCH($C209,'Restaurant Base (Hidden)'!$C$2:$C$1048576,0),MATCH(Z$6,'Restaurant Base (Hidden)'!$A$1:$Z$1,0)),"")</f>
        <v>2</v>
      </c>
      <c r="AA209" s="65" t="str">
        <f>+IFERROR(INDEX('Restaurant Base (Hidden)'!$A$2:$Z$1048576,MATCH($C209,'Restaurant Base (Hidden)'!$C$2:$C$1048576,0),MATCH(AA$6,'Restaurant Base (Hidden)'!$A$1:$Z$1,0)),"")</f>
        <v>66,40 %</v>
      </c>
      <c r="AB209" s="1">
        <f>+IFERROR(INDEX('Restaurant Base (Hidden)'!$A$2:$Z$1048576,MATCH($C209,'Restaurant Base (Hidden)'!$C$2:$C$1048576,0),MATCH(AB$6,'Restaurant Base (Hidden)'!$A$1:$Z$1,0)),"")</f>
        <v>2</v>
      </c>
      <c r="AC209" s="20" t="str">
        <f>+IFERROR(INDEX('Restaurant Base (Hidden)'!$A$2:$Z$1048576,MATCH($C209,'Restaurant Base (Hidden)'!$C$2:$C$1048576,0),MATCH(AC$6,'Restaurant Base (Hidden)'!$A$1:$Z$1,0)),"")</f>
        <v/>
      </c>
      <c r="AD209" s="65" t="str">
        <f>+IFERROR(INDEX('Restaurant Base (Hidden)'!$A$2:$Z$1048576,MATCH($C209,'Restaurant Base (Hidden)'!$C$2:$C$1048576,0),MATCH(AD$6,'Restaurant Base (Hidden)'!$A$1:$Z$1,0)),"")</f>
        <v>55,20 %</v>
      </c>
      <c r="AE209" s="1">
        <f>+IFERROR(INDEX('Restaurant Base (Hidden)'!$A$2:$Z$1048576,MATCH($C209,'Restaurant Base (Hidden)'!$C$2:$C$1048576,0),MATCH(AE$6,'Restaurant Base (Hidden)'!$A$1:$Z$1,0)),"")</f>
        <v>1</v>
      </c>
      <c r="AF209" s="65" t="str">
        <f>+IFERROR(INDEX('Restaurant Base (Hidden)'!$A$2:$Z$1048576,MATCH($C209,'Restaurant Base (Hidden)'!$C$2:$C$1048576,0),MATCH(AF$6,'Restaurant Base (Hidden)'!$A$1:$Z$1,0)),"")</f>
        <v>72,00 %</v>
      </c>
      <c r="AG209" s="1">
        <f>+IFERROR(INDEX('Restaurant Base (Hidden)'!$A$2:$Z$1048576,MATCH($C209,'Restaurant Base (Hidden)'!$C$2:$C$1048576,0),MATCH(AG$6,'Restaurant Base (Hidden)'!$A$1:$Z$1,0)),"")</f>
        <v>1</v>
      </c>
    </row>
    <row r="210" spans="1:33" x14ac:dyDescent="0.4">
      <c r="A210" s="163" t="str">
        <f>IF('Restaurant Base (Hidden)'!A293=0,"", 'Restaurant Base (Hidden)'!A293)</f>
        <v>Blake Bellamy</v>
      </c>
      <c r="B210" s="163" t="str">
        <f>IF('Restaurant Base (Hidden)'!B293=0,"", 'Restaurant Base (Hidden)'!B293)</f>
        <v>Maplewood Hospitality</v>
      </c>
      <c r="C210" s="163" t="str">
        <f>IF('Restaurant Base (Hidden)'!C293=0,"", 'Restaurant Base (Hidden)'!C293)</f>
        <v>Lunar Lodge</v>
      </c>
      <c r="D210" s="104">
        <f t="shared" si="3"/>
        <v>200</v>
      </c>
      <c r="E210" s="105">
        <f>+IFERROR(INDEX('Restaurant Base (Hidden)'!$A$2:$Z$1048576,MATCH($C210,'Restaurant Base (Hidden)'!$C$2:$C$1048576,0),MATCH(E$6,'Restaurant Base (Hidden)'!$A$1:$Z$1,0)),"")</f>
        <v>3.02</v>
      </c>
      <c r="F210" s="2" t="str">
        <f>+IFERROR(INDEX('Restaurant Base (Hidden)'!$A$2:$Z$1048576,MATCH($C210,'Restaurant Base (Hidden)'!$C$2:$C$1048576,0),MATCH(F$6,'Restaurant Base (Hidden)'!$A$1:$Z$1,0)),"")</f>
        <v/>
      </c>
      <c r="G210" s="20" t="str">
        <f>+IFERROR(INDEX('Restaurant Base (Hidden)'!$A$2:$Z$1048576,MATCH($C210,'Restaurant Base (Hidden)'!$C$2:$C$1048576,0),MATCH(G$6,'Restaurant Base (Hidden)'!$A$1:$Z$1,0)),"")</f>
        <v>4,168</v>
      </c>
      <c r="H210" s="50">
        <f>+IFERROR(INDEX('Restaurant Base (Hidden)'!$A$2:$Z$1048576,MATCH($C210,'Restaurant Base (Hidden)'!$C$2:$C$1048576,0),MATCH(H$6,'Restaurant Base (Hidden)'!$A$1:$Z$1,0)),"")</f>
        <v>2</v>
      </c>
      <c r="I210" s="20" t="str">
        <f>+IFERROR(INDEX('Restaurant Base (Hidden)'!$A$2:$Z$1048576,MATCH($C210,'Restaurant Base (Hidden)'!$C$2:$C$1048576,0),MATCH(I$6,'Restaurant Base (Hidden)'!$A$1:$Z$1,0)),"")</f>
        <v>63,70 %</v>
      </c>
      <c r="J210" s="49">
        <f>+IFERROR(INDEX('Restaurant Base (Hidden)'!$A$2:$Z$1048576,MATCH($C210,'Restaurant Base (Hidden)'!$C$2:$C$1048576,0),MATCH(J$6,'Restaurant Base (Hidden)'!$A$1:$Z$1,0)),"")</f>
        <v>1</v>
      </c>
      <c r="K210" s="20" t="str">
        <f>+IFERROR(INDEX('Restaurant Base (Hidden)'!$A$2:$Z$1048576,MATCH($C210,'Restaurant Base (Hidden)'!$C$2:$C$1048576,0),MATCH(K$6,'Restaurant Base (Hidden)'!$A$1:$Z$1,0)),"")</f>
        <v>0,082</v>
      </c>
      <c r="L210" s="51">
        <f>+IFERROR(INDEX('Restaurant Base (Hidden)'!$A$2:$Z$1048576,MATCH($C210,'Restaurant Base (Hidden)'!$C$2:$C$1048576,0),MATCH(L$6,'Restaurant Base (Hidden)'!$A$1:$Z$1,0)),"")</f>
        <v>4</v>
      </c>
      <c r="M210" s="2" t="str">
        <f>+IFERROR(INDEX('Restaurant Base (Hidden)'!$A$2:$Z$1048576,MATCH($C210,'Restaurant Base (Hidden)'!$C$2:$C$1048576,0),MATCH(M$6,'Restaurant Base (Hidden)'!$A$1:$Z$1,0)),"")</f>
        <v/>
      </c>
      <c r="N210" s="234" t="str">
        <f>+IFERROR(INDEX('Restaurant Base (Hidden)'!$A$2:$Z$1048576,MATCH($C210,'Restaurant Base (Hidden)'!$C$2:$C$1048576,0),MATCH(N$6,'Restaurant Base (Hidden)'!$A$1:$Z$1,0)),"")</f>
        <v>94,50 %</v>
      </c>
      <c r="O210" s="1">
        <f>+IFERROR(INDEX('Restaurant Base (Hidden)'!$A$2:$Z$1048576,MATCH($C210,'Restaurant Base (Hidden)'!$C$2:$C$1048576,0),MATCH(O$6,'Restaurant Base (Hidden)'!$A$1:$Z$1,0)),"")</f>
        <v>5</v>
      </c>
      <c r="P210" s="2" t="str">
        <f>+IFERROR(INDEX('Restaurant Base (Hidden)'!$A$2:$Z$1048576,MATCH($C210,'Restaurant Base (Hidden)'!$C$2:$C$1048576,0),MATCH(P$6,'Restaurant Base (Hidden)'!$A$1:$Z$1,0)),"")</f>
        <v/>
      </c>
      <c r="Q210" s="234" t="str">
        <f>+IFERROR(INDEX('Restaurant Base (Hidden)'!$A$2:$Z$1048576,MATCH($C210,'Restaurant Base (Hidden)'!$C$2:$C$1048576,0),MATCH(Q$6,'Restaurant Base (Hidden)'!$A$1:$Z$1,0)),"")</f>
        <v>64,90 %</v>
      </c>
      <c r="R210" s="1">
        <f>+IFERROR(INDEX('Restaurant Base (Hidden)'!$A$2:$Z$1048576,MATCH($C210,'Restaurant Base (Hidden)'!$C$2:$C$1048576,0),MATCH(R$6,'Restaurant Base (Hidden)'!$A$1:$Z$1,0)),"")</f>
        <v>2</v>
      </c>
      <c r="S210" s="2" t="str">
        <f>+IFERROR(INDEX('Restaurant Base (Hidden)'!$A$2:$Z$1048576,MATCH($C210,'Restaurant Base (Hidden)'!$C$2:$C$1048576,0),MATCH(S$6,'Restaurant Base (Hidden)'!$A$1:$Z$1,0)),"")</f>
        <v/>
      </c>
      <c r="T210" s="62">
        <f>+IFERROR(INDEX('Restaurant Base (Hidden)'!$A$2:$Z$1048576,MATCH($C210,'Restaurant Base (Hidden)'!$C$2:$C$1048576,0),MATCH(T$6,'Restaurant Base (Hidden)'!$A$1:$Z$1,0)),"")</f>
        <v>65.2</v>
      </c>
      <c r="U210" s="1">
        <f>+IFERROR(INDEX('Restaurant Base (Hidden)'!$A$2:$Z$1048576,MATCH($C210,'Restaurant Base (Hidden)'!$C$2:$C$1048576,0),MATCH(U$6,'Restaurant Base (Hidden)'!$A$1:$Z$1,0)),"")</f>
        <v>4</v>
      </c>
      <c r="V210" s="2" t="str">
        <f>+IFERROR(INDEX('Restaurant Base (Hidden)'!$A$2:$Z$1048576,MATCH($C210,'Restaurant Base (Hidden)'!$C$2:$C$1048576,0),MATCH(V$6,'Restaurant Base (Hidden)'!$A$1:$Z$1,0)),"")</f>
        <v/>
      </c>
      <c r="W210" s="65" t="str">
        <f>+IFERROR(INDEX('Restaurant Base (Hidden)'!$A$2:$Z$1048576,MATCH($C210,'Restaurant Base (Hidden)'!$C$2:$C$1048576,0),MATCH(W$6,'Restaurant Base (Hidden)'!$A$1:$Z$1,0)),"")</f>
        <v>85,30 %</v>
      </c>
      <c r="X210" s="1">
        <f>+IFERROR(INDEX('Restaurant Base (Hidden)'!$A$2:$Z$1048576,MATCH($C210,'Restaurant Base (Hidden)'!$C$2:$C$1048576,0),MATCH(X$6,'Restaurant Base (Hidden)'!$A$1:$Z$1,0)),"")</f>
        <v>3</v>
      </c>
      <c r="Y210" s="65" t="str">
        <f>+IFERROR(INDEX('Restaurant Base (Hidden)'!$A$2:$Z$1048576,MATCH($C210,'Restaurant Base (Hidden)'!$C$2:$C$1048576,0),MATCH(Y$6,'Restaurant Base (Hidden)'!$A$1:$Z$1,0)),"")</f>
        <v>69,30 %</v>
      </c>
      <c r="Z210" s="106">
        <f>+IFERROR(INDEX('Restaurant Base (Hidden)'!$A$2:$Z$1048576,MATCH($C210,'Restaurant Base (Hidden)'!$C$2:$C$1048576,0),MATCH(Z$6,'Restaurant Base (Hidden)'!$A$1:$Z$1,0)),"")</f>
        <v>2</v>
      </c>
      <c r="AA210" s="65" t="str">
        <f>+IFERROR(INDEX('Restaurant Base (Hidden)'!$A$2:$Z$1048576,MATCH($C210,'Restaurant Base (Hidden)'!$C$2:$C$1048576,0),MATCH(AA$6,'Restaurant Base (Hidden)'!$A$1:$Z$1,0)),"")</f>
        <v>92,60 %</v>
      </c>
      <c r="AB210" s="1">
        <f>+IFERROR(INDEX('Restaurant Base (Hidden)'!$A$2:$Z$1048576,MATCH($C210,'Restaurant Base (Hidden)'!$C$2:$C$1048576,0),MATCH(AB$6,'Restaurant Base (Hidden)'!$A$1:$Z$1,0)),"")</f>
        <v>3</v>
      </c>
      <c r="AC210" s="20" t="str">
        <f>+IFERROR(INDEX('Restaurant Base (Hidden)'!$A$2:$Z$1048576,MATCH($C210,'Restaurant Base (Hidden)'!$C$2:$C$1048576,0),MATCH(AC$6,'Restaurant Base (Hidden)'!$A$1:$Z$1,0)),"")</f>
        <v/>
      </c>
      <c r="AD210" s="65" t="str">
        <f>+IFERROR(INDEX('Restaurant Base (Hidden)'!$A$2:$Z$1048576,MATCH($C210,'Restaurant Base (Hidden)'!$C$2:$C$1048576,0),MATCH(AD$6,'Restaurant Base (Hidden)'!$A$1:$Z$1,0)),"")</f>
        <v>96,70 %</v>
      </c>
      <c r="AE210" s="1">
        <f>+IFERROR(INDEX('Restaurant Base (Hidden)'!$A$2:$Z$1048576,MATCH($C210,'Restaurant Base (Hidden)'!$C$2:$C$1048576,0),MATCH(AE$6,'Restaurant Base (Hidden)'!$A$1:$Z$1,0)),"")</f>
        <v>5</v>
      </c>
      <c r="AF210" s="65" t="str">
        <f>+IFERROR(INDEX('Restaurant Base (Hidden)'!$A$2:$Z$1048576,MATCH($C210,'Restaurant Base (Hidden)'!$C$2:$C$1048576,0),MATCH(AF$6,'Restaurant Base (Hidden)'!$A$1:$Z$1,0)),"")</f>
        <v>76,70 %</v>
      </c>
      <c r="AG210" s="1">
        <f>+IFERROR(INDEX('Restaurant Base (Hidden)'!$A$2:$Z$1048576,MATCH($C210,'Restaurant Base (Hidden)'!$C$2:$C$1048576,0),MATCH(AG$6,'Restaurant Base (Hidden)'!$A$1:$Z$1,0)),"")</f>
        <v>2</v>
      </c>
    </row>
    <row r="211" spans="1:33" x14ac:dyDescent="0.4">
      <c r="A211" s="163" t="str">
        <f>IF('Restaurant Base (Hidden)'!A344=0,"", 'Restaurant Base (Hidden)'!A344)</f>
        <v>Bailey Silverton</v>
      </c>
      <c r="B211" s="163" t="str">
        <f>IF('Restaurant Base (Hidden)'!B344=0,"", 'Restaurant Base (Hidden)'!B344)</f>
        <v>Brookvale Dining</v>
      </c>
      <c r="C211" s="163" t="str">
        <f>IF('Restaurant Base (Hidden)'!C344=0,"", 'Restaurant Base (Hidden)'!C344)</f>
        <v>Starling Crossing</v>
      </c>
      <c r="D211" s="104">
        <f t="shared" si="3"/>
        <v>200</v>
      </c>
      <c r="E211" s="105">
        <f>+IFERROR(INDEX('Restaurant Base (Hidden)'!$A$2:$Z$1048576,MATCH($C211,'Restaurant Base (Hidden)'!$C$2:$C$1048576,0),MATCH(E$6,'Restaurant Base (Hidden)'!$A$1:$Z$1,0)),"")</f>
        <v>3.02</v>
      </c>
      <c r="F211" s="2" t="str">
        <f>+IFERROR(INDEX('Restaurant Base (Hidden)'!$A$2:$Z$1048576,MATCH($C211,'Restaurant Base (Hidden)'!$C$2:$C$1048576,0),MATCH(F$6,'Restaurant Base (Hidden)'!$A$1:$Z$1,0)),"")</f>
        <v/>
      </c>
      <c r="G211" s="20" t="str">
        <f>+IFERROR(INDEX('Restaurant Base (Hidden)'!$A$2:$Z$1048576,MATCH($C211,'Restaurant Base (Hidden)'!$C$2:$C$1048576,0),MATCH(G$6,'Restaurant Base (Hidden)'!$A$1:$Z$1,0)),"")</f>
        <v>4,207</v>
      </c>
      <c r="H211" s="50">
        <f>+IFERROR(INDEX('Restaurant Base (Hidden)'!$A$2:$Z$1048576,MATCH($C211,'Restaurant Base (Hidden)'!$C$2:$C$1048576,0),MATCH(H$6,'Restaurant Base (Hidden)'!$A$1:$Z$1,0)),"")</f>
        <v>3</v>
      </c>
      <c r="I211" s="20" t="str">
        <f>+IFERROR(INDEX('Restaurant Base (Hidden)'!$A$2:$Z$1048576,MATCH($C211,'Restaurant Base (Hidden)'!$C$2:$C$1048576,0),MATCH(I$6,'Restaurant Base (Hidden)'!$A$1:$Z$1,0)),"")</f>
        <v>65,70 %</v>
      </c>
      <c r="J211" s="49">
        <f>+IFERROR(INDEX('Restaurant Base (Hidden)'!$A$2:$Z$1048576,MATCH($C211,'Restaurant Base (Hidden)'!$C$2:$C$1048576,0),MATCH(J$6,'Restaurant Base (Hidden)'!$A$1:$Z$1,0)),"")</f>
        <v>1</v>
      </c>
      <c r="K211" s="20" t="str">
        <f>+IFERROR(INDEX('Restaurant Base (Hidden)'!$A$2:$Z$1048576,MATCH($C211,'Restaurant Base (Hidden)'!$C$2:$C$1048576,0),MATCH(K$6,'Restaurant Base (Hidden)'!$A$1:$Z$1,0)),"")</f>
        <v>0,086</v>
      </c>
      <c r="L211" s="51">
        <f>+IFERROR(INDEX('Restaurant Base (Hidden)'!$A$2:$Z$1048576,MATCH($C211,'Restaurant Base (Hidden)'!$C$2:$C$1048576,0),MATCH(L$6,'Restaurant Base (Hidden)'!$A$1:$Z$1,0)),"")</f>
        <v>4</v>
      </c>
      <c r="M211" s="2" t="str">
        <f>+IFERROR(INDEX('Restaurant Base (Hidden)'!$A$2:$Z$1048576,MATCH($C211,'Restaurant Base (Hidden)'!$C$2:$C$1048576,0),MATCH(M$6,'Restaurant Base (Hidden)'!$A$1:$Z$1,0)),"")</f>
        <v/>
      </c>
      <c r="N211" s="234" t="str">
        <f>+IFERROR(INDEX('Restaurant Base (Hidden)'!$A$2:$Z$1048576,MATCH($C211,'Restaurant Base (Hidden)'!$C$2:$C$1048576,0),MATCH(N$6,'Restaurant Base (Hidden)'!$A$1:$Z$1,0)),"")</f>
        <v>98,80 %</v>
      </c>
      <c r="O211" s="1">
        <f>+IFERROR(INDEX('Restaurant Base (Hidden)'!$A$2:$Z$1048576,MATCH($C211,'Restaurant Base (Hidden)'!$C$2:$C$1048576,0),MATCH(O$6,'Restaurant Base (Hidden)'!$A$1:$Z$1,0)),"")</f>
        <v>5</v>
      </c>
      <c r="P211" s="2" t="str">
        <f>+IFERROR(INDEX('Restaurant Base (Hidden)'!$A$2:$Z$1048576,MATCH($C211,'Restaurant Base (Hidden)'!$C$2:$C$1048576,0),MATCH(P$6,'Restaurant Base (Hidden)'!$A$1:$Z$1,0)),"")</f>
        <v/>
      </c>
      <c r="Q211" s="234" t="str">
        <f>+IFERROR(INDEX('Restaurant Base (Hidden)'!$A$2:$Z$1048576,MATCH($C211,'Restaurant Base (Hidden)'!$C$2:$C$1048576,0),MATCH(Q$6,'Restaurant Base (Hidden)'!$A$1:$Z$1,0)),"")</f>
        <v>93,40 %</v>
      </c>
      <c r="R211" s="1">
        <f>+IFERROR(INDEX('Restaurant Base (Hidden)'!$A$2:$Z$1048576,MATCH($C211,'Restaurant Base (Hidden)'!$C$2:$C$1048576,0),MATCH(R$6,'Restaurant Base (Hidden)'!$A$1:$Z$1,0)),"")</f>
        <v>5</v>
      </c>
      <c r="S211" s="2" t="str">
        <f>+IFERROR(INDEX('Restaurant Base (Hidden)'!$A$2:$Z$1048576,MATCH($C211,'Restaurant Base (Hidden)'!$C$2:$C$1048576,0),MATCH(S$6,'Restaurant Base (Hidden)'!$A$1:$Z$1,0)),"")</f>
        <v/>
      </c>
      <c r="T211" s="62">
        <f>+IFERROR(INDEX('Restaurant Base (Hidden)'!$A$2:$Z$1048576,MATCH($C211,'Restaurant Base (Hidden)'!$C$2:$C$1048576,0),MATCH(T$6,'Restaurant Base (Hidden)'!$A$1:$Z$1,0)),"")</f>
        <v>58.1</v>
      </c>
      <c r="U211" s="1">
        <f>+IFERROR(INDEX('Restaurant Base (Hidden)'!$A$2:$Z$1048576,MATCH($C211,'Restaurant Base (Hidden)'!$C$2:$C$1048576,0),MATCH(U$6,'Restaurant Base (Hidden)'!$A$1:$Z$1,0)),"")</f>
        <v>2</v>
      </c>
      <c r="V211" s="2" t="str">
        <f>+IFERROR(INDEX('Restaurant Base (Hidden)'!$A$2:$Z$1048576,MATCH($C211,'Restaurant Base (Hidden)'!$C$2:$C$1048576,0),MATCH(V$6,'Restaurant Base (Hidden)'!$A$1:$Z$1,0)),"")</f>
        <v/>
      </c>
      <c r="W211" s="65" t="str">
        <f>+IFERROR(INDEX('Restaurant Base (Hidden)'!$A$2:$Z$1048576,MATCH($C211,'Restaurant Base (Hidden)'!$C$2:$C$1048576,0),MATCH(W$6,'Restaurant Base (Hidden)'!$A$1:$Z$1,0)),"")</f>
        <v>56,00 %</v>
      </c>
      <c r="X211" s="1">
        <f>+IFERROR(INDEX('Restaurant Base (Hidden)'!$A$2:$Z$1048576,MATCH($C211,'Restaurant Base (Hidden)'!$C$2:$C$1048576,0),MATCH(X$6,'Restaurant Base (Hidden)'!$A$1:$Z$1,0)),"")</f>
        <v>1</v>
      </c>
      <c r="Y211" s="65" t="str">
        <f>+IFERROR(INDEX('Restaurant Base (Hidden)'!$A$2:$Z$1048576,MATCH($C211,'Restaurant Base (Hidden)'!$C$2:$C$1048576,0),MATCH(Y$6,'Restaurant Base (Hidden)'!$A$1:$Z$1,0)),"")</f>
        <v>87,20 %</v>
      </c>
      <c r="Z211" s="106">
        <f>+IFERROR(INDEX('Restaurant Base (Hidden)'!$A$2:$Z$1048576,MATCH($C211,'Restaurant Base (Hidden)'!$C$2:$C$1048576,0),MATCH(Z$6,'Restaurant Base (Hidden)'!$A$1:$Z$1,0)),"")</f>
        <v>3</v>
      </c>
      <c r="AA211" s="65" t="str">
        <f>+IFERROR(INDEX('Restaurant Base (Hidden)'!$A$2:$Z$1048576,MATCH($C211,'Restaurant Base (Hidden)'!$C$2:$C$1048576,0),MATCH(AA$6,'Restaurant Base (Hidden)'!$A$1:$Z$1,0)),"")</f>
        <v>68,40 %</v>
      </c>
      <c r="AB211" s="1">
        <f>+IFERROR(INDEX('Restaurant Base (Hidden)'!$A$2:$Z$1048576,MATCH($C211,'Restaurant Base (Hidden)'!$C$2:$C$1048576,0),MATCH(AB$6,'Restaurant Base (Hidden)'!$A$1:$Z$1,0)),"")</f>
        <v>2</v>
      </c>
      <c r="AC211" s="20" t="str">
        <f>+IFERROR(INDEX('Restaurant Base (Hidden)'!$A$2:$Z$1048576,MATCH($C211,'Restaurant Base (Hidden)'!$C$2:$C$1048576,0),MATCH(AC$6,'Restaurant Base (Hidden)'!$A$1:$Z$1,0)),"")</f>
        <v/>
      </c>
      <c r="AD211" s="65" t="str">
        <f>+IFERROR(INDEX('Restaurant Base (Hidden)'!$A$2:$Z$1048576,MATCH($C211,'Restaurant Base (Hidden)'!$C$2:$C$1048576,0),MATCH(AD$6,'Restaurant Base (Hidden)'!$A$1:$Z$1,0)),"")</f>
        <v>81,40 %</v>
      </c>
      <c r="AE211" s="1">
        <f>+IFERROR(INDEX('Restaurant Base (Hidden)'!$A$2:$Z$1048576,MATCH($C211,'Restaurant Base (Hidden)'!$C$2:$C$1048576,0),MATCH(AE$6,'Restaurant Base (Hidden)'!$A$1:$Z$1,0)),"")</f>
        <v>2</v>
      </c>
      <c r="AF211" s="65" t="str">
        <f>+IFERROR(INDEX('Restaurant Base (Hidden)'!$A$2:$Z$1048576,MATCH($C211,'Restaurant Base (Hidden)'!$C$2:$C$1048576,0),MATCH(AF$6,'Restaurant Base (Hidden)'!$A$1:$Z$1,0)),"")</f>
        <v>87,80 %</v>
      </c>
      <c r="AG211" s="1">
        <f>+IFERROR(INDEX('Restaurant Base (Hidden)'!$A$2:$Z$1048576,MATCH($C211,'Restaurant Base (Hidden)'!$C$2:$C$1048576,0),MATCH(AG$6,'Restaurant Base (Hidden)'!$A$1:$Z$1,0)),"")</f>
        <v>3</v>
      </c>
    </row>
    <row r="212" spans="1:33" x14ac:dyDescent="0.4">
      <c r="A212" s="163" t="str">
        <f>IF('Restaurant Base (Hidden)'!A51=0,"", 'Restaurant Base (Hidden)'!A51)</f>
        <v>Taylor Hartwell</v>
      </c>
      <c r="B212" s="163" t="str">
        <f>IF('Restaurant Base (Hidden)'!B51=0,"", 'Restaurant Base (Hidden)'!B51)</f>
        <v>Harborline Dining</v>
      </c>
      <c r="C212" s="163" t="str">
        <f>IF('Restaurant Base (Hidden)'!C51=0,"", 'Restaurant Base (Hidden)'!C51)</f>
        <v>Clearwater Meadows</v>
      </c>
      <c r="D212" s="104">
        <f t="shared" si="3"/>
        <v>206</v>
      </c>
      <c r="E212" s="105">
        <f>+IFERROR(INDEX('Restaurant Base (Hidden)'!$A$2:$Z$1048576,MATCH($C212,'Restaurant Base (Hidden)'!$C$2:$C$1048576,0),MATCH(E$6,'Restaurant Base (Hidden)'!$A$1:$Z$1,0)),"")</f>
        <v>3.01</v>
      </c>
      <c r="F212" s="64" t="str">
        <f>+IFERROR(INDEX('Restaurant Base (Hidden)'!$A$2:$Z$1048576,MATCH($C212,'Restaurant Base (Hidden)'!$C$2:$C$1048576,0),MATCH(F$6,'Restaurant Base (Hidden)'!$A$1:$Z$1,0)),"")</f>
        <v/>
      </c>
      <c r="G212" s="20" t="str">
        <f>+IFERROR(INDEX('Restaurant Base (Hidden)'!$A$2:$Z$1048576,MATCH($C212,'Restaurant Base (Hidden)'!$C$2:$C$1048576,0),MATCH(G$6,'Restaurant Base (Hidden)'!$A$1:$Z$1,0)),"")</f>
        <v>4,106</v>
      </c>
      <c r="H212" s="50">
        <f>+IFERROR(INDEX('Restaurant Base (Hidden)'!$A$2:$Z$1048576,MATCH($C212,'Restaurant Base (Hidden)'!$C$2:$C$1048576,0),MATCH(H$6,'Restaurant Base (Hidden)'!$A$1:$Z$1,0)),"")</f>
        <v>2</v>
      </c>
      <c r="I212" s="20" t="str">
        <f>+IFERROR(INDEX('Restaurant Base (Hidden)'!$A$2:$Z$1048576,MATCH($C212,'Restaurant Base (Hidden)'!$C$2:$C$1048576,0),MATCH(I$6,'Restaurant Base (Hidden)'!$A$1:$Z$1,0)),"")</f>
        <v>70,30 %</v>
      </c>
      <c r="J212" s="49">
        <f>+IFERROR(INDEX('Restaurant Base (Hidden)'!$A$2:$Z$1048576,MATCH($C212,'Restaurant Base (Hidden)'!$C$2:$C$1048576,0),MATCH(J$6,'Restaurant Base (Hidden)'!$A$1:$Z$1,0)),"")</f>
        <v>1</v>
      </c>
      <c r="K212" s="20" t="str">
        <f>+IFERROR(INDEX('Restaurant Base (Hidden)'!$A$2:$Z$1048576,MATCH($C212,'Restaurant Base (Hidden)'!$C$2:$C$1048576,0),MATCH(K$6,'Restaurant Base (Hidden)'!$A$1:$Z$1,0)),"")</f>
        <v>0,167</v>
      </c>
      <c r="L212" s="51">
        <f>+IFERROR(INDEX('Restaurant Base (Hidden)'!$A$2:$Z$1048576,MATCH($C212,'Restaurant Base (Hidden)'!$C$2:$C$1048576,0),MATCH(L$6,'Restaurant Base (Hidden)'!$A$1:$Z$1,0)),"")</f>
        <v>2</v>
      </c>
      <c r="M212" s="2" t="str">
        <f>+IFERROR(INDEX('Restaurant Base (Hidden)'!$A$2:$Z$1048576,MATCH($C212,'Restaurant Base (Hidden)'!$C$2:$C$1048576,0),MATCH(M$6,'Restaurant Base (Hidden)'!$A$1:$Z$1,0)),"")</f>
        <v/>
      </c>
      <c r="N212" s="234" t="str">
        <f>+IFERROR(INDEX('Restaurant Base (Hidden)'!$A$2:$Z$1048576,MATCH($C212,'Restaurant Base (Hidden)'!$C$2:$C$1048576,0),MATCH(N$6,'Restaurant Base (Hidden)'!$A$1:$Z$1,0)),"")</f>
        <v>77,30 %</v>
      </c>
      <c r="O212" s="1">
        <f>+IFERROR(INDEX('Restaurant Base (Hidden)'!$A$2:$Z$1048576,MATCH($C212,'Restaurant Base (Hidden)'!$C$2:$C$1048576,0),MATCH(O$6,'Restaurant Base (Hidden)'!$A$1:$Z$1,0)),"")</f>
        <v>5</v>
      </c>
      <c r="P212" s="2" t="str">
        <f>+IFERROR(INDEX('Restaurant Base (Hidden)'!$A$2:$Z$1048576,MATCH($C212,'Restaurant Base (Hidden)'!$C$2:$C$1048576,0),MATCH(P$6,'Restaurant Base (Hidden)'!$A$1:$Z$1,0)),"")</f>
        <v/>
      </c>
      <c r="Q212" s="234" t="str">
        <f>+IFERROR(INDEX('Restaurant Base (Hidden)'!$A$2:$Z$1048576,MATCH($C212,'Restaurant Base (Hidden)'!$C$2:$C$1048576,0),MATCH(Q$6,'Restaurant Base (Hidden)'!$A$1:$Z$1,0)),"")</f>
        <v>98,10 %</v>
      </c>
      <c r="R212" s="1">
        <f>+IFERROR(INDEX('Restaurant Base (Hidden)'!$A$2:$Z$1048576,MATCH($C212,'Restaurant Base (Hidden)'!$C$2:$C$1048576,0),MATCH(R$6,'Restaurant Base (Hidden)'!$A$1:$Z$1,0)),"")</f>
        <v>5</v>
      </c>
      <c r="S212" s="2" t="str">
        <f>+IFERROR(INDEX('Restaurant Base (Hidden)'!$A$2:$Z$1048576,MATCH($C212,'Restaurant Base (Hidden)'!$C$2:$C$1048576,0),MATCH(S$6,'Restaurant Base (Hidden)'!$A$1:$Z$1,0)),"")</f>
        <v/>
      </c>
      <c r="T212" s="62">
        <f>+IFERROR(INDEX('Restaurant Base (Hidden)'!$A$2:$Z$1048576,MATCH($C212,'Restaurant Base (Hidden)'!$C$2:$C$1048576,0),MATCH(T$6,'Restaurant Base (Hidden)'!$A$1:$Z$1,0)),"")</f>
        <v>55</v>
      </c>
      <c r="U212" s="1">
        <f>+IFERROR(INDEX('Restaurant Base (Hidden)'!$A$2:$Z$1048576,MATCH($C212,'Restaurant Base (Hidden)'!$C$2:$C$1048576,0),MATCH(U$6,'Restaurant Base (Hidden)'!$A$1:$Z$1,0)),"")</f>
        <v>1</v>
      </c>
      <c r="V212" s="2" t="str">
        <f>+IFERROR(INDEX('Restaurant Base (Hidden)'!$A$2:$Z$1048576,MATCH($C212,'Restaurant Base (Hidden)'!$C$2:$C$1048576,0),MATCH(V$6,'Restaurant Base (Hidden)'!$A$1:$Z$1,0)),"")</f>
        <v/>
      </c>
      <c r="W212" s="65" t="str">
        <f>+IFERROR(INDEX('Restaurant Base (Hidden)'!$A$2:$Z$1048576,MATCH($C212,'Restaurant Base (Hidden)'!$C$2:$C$1048576,0),MATCH(W$6,'Restaurant Base (Hidden)'!$A$1:$Z$1,0)),"")</f>
        <v>87,50 %</v>
      </c>
      <c r="X212" s="1">
        <f>+IFERROR(INDEX('Restaurant Base (Hidden)'!$A$2:$Z$1048576,MATCH($C212,'Restaurant Base (Hidden)'!$C$2:$C$1048576,0),MATCH(X$6,'Restaurant Base (Hidden)'!$A$1:$Z$1,0)),"")</f>
        <v>3</v>
      </c>
      <c r="Y212" s="65" t="str">
        <f>+IFERROR(INDEX('Restaurant Base (Hidden)'!$A$2:$Z$1048576,MATCH($C212,'Restaurant Base (Hidden)'!$C$2:$C$1048576,0),MATCH(Y$6,'Restaurant Base (Hidden)'!$A$1:$Z$1,0)),"")</f>
        <v>72,40 %</v>
      </c>
      <c r="Z212" s="106">
        <f>+IFERROR(INDEX('Restaurant Base (Hidden)'!$A$2:$Z$1048576,MATCH($C212,'Restaurant Base (Hidden)'!$C$2:$C$1048576,0),MATCH(Z$6,'Restaurant Base (Hidden)'!$A$1:$Z$1,0)),"")</f>
        <v>2</v>
      </c>
      <c r="AA212" s="65" t="str">
        <f>+IFERROR(INDEX('Restaurant Base (Hidden)'!$A$2:$Z$1048576,MATCH($C212,'Restaurant Base (Hidden)'!$C$2:$C$1048576,0),MATCH(AA$6,'Restaurant Base (Hidden)'!$A$1:$Z$1,0)),"")</f>
        <v>90,30 %</v>
      </c>
      <c r="AB212" s="1">
        <f>+IFERROR(INDEX('Restaurant Base (Hidden)'!$A$2:$Z$1048576,MATCH($C212,'Restaurant Base (Hidden)'!$C$2:$C$1048576,0),MATCH(AB$6,'Restaurant Base (Hidden)'!$A$1:$Z$1,0)),"")</f>
        <v>3</v>
      </c>
      <c r="AC212" s="20" t="str">
        <f>+IFERROR(INDEX('Restaurant Base (Hidden)'!$A$2:$Z$1048576,MATCH($C212,'Restaurant Base (Hidden)'!$C$2:$C$1048576,0),MATCH(AC$6,'Restaurant Base (Hidden)'!$A$1:$Z$1,0)),"")</f>
        <v/>
      </c>
      <c r="AD212" s="65" t="str">
        <f>+IFERROR(INDEX('Restaurant Base (Hidden)'!$A$2:$Z$1048576,MATCH($C212,'Restaurant Base (Hidden)'!$C$2:$C$1048576,0),MATCH(AD$6,'Restaurant Base (Hidden)'!$A$1:$Z$1,0)),"")</f>
        <v>87,10 %</v>
      </c>
      <c r="AE212" s="1">
        <f>+IFERROR(INDEX('Restaurant Base (Hidden)'!$A$2:$Z$1048576,MATCH($C212,'Restaurant Base (Hidden)'!$C$2:$C$1048576,0),MATCH(AE$6,'Restaurant Base (Hidden)'!$A$1:$Z$1,0)),"")</f>
        <v>3</v>
      </c>
      <c r="AF212" s="65" t="str">
        <f>+IFERROR(INDEX('Restaurant Base (Hidden)'!$A$2:$Z$1048576,MATCH($C212,'Restaurant Base (Hidden)'!$C$2:$C$1048576,0),MATCH(AF$6,'Restaurant Base (Hidden)'!$A$1:$Z$1,0)),"")</f>
        <v>93,00 %</v>
      </c>
      <c r="AG212" s="1">
        <f>+IFERROR(INDEX('Restaurant Base (Hidden)'!$A$2:$Z$1048576,MATCH($C212,'Restaurant Base (Hidden)'!$C$2:$C$1048576,0),MATCH(AG$6,'Restaurant Base (Hidden)'!$A$1:$Z$1,0)),"")</f>
        <v>4</v>
      </c>
    </row>
    <row r="213" spans="1:33" x14ac:dyDescent="0.4">
      <c r="A213" s="163" t="str">
        <f>IF('Restaurant Base (Hidden)'!A235=0,"", 'Restaurant Base (Hidden)'!A235)</f>
        <v>Blake Bellamy</v>
      </c>
      <c r="B213" s="163" t="str">
        <f>IF('Restaurant Base (Hidden)'!B235=0,"", 'Restaurant Base (Hidden)'!B235)</f>
        <v>Springwell Hospitality</v>
      </c>
      <c r="C213" s="163" t="str">
        <f>IF('Restaurant Base (Hidden)'!C235=0,"", 'Restaurant Base (Hidden)'!C235)</f>
        <v>Silverbrook Landing</v>
      </c>
      <c r="D213" s="104">
        <f t="shared" si="3"/>
        <v>206</v>
      </c>
      <c r="E213" s="105">
        <f>+IFERROR(INDEX('Restaurant Base (Hidden)'!$A$2:$Z$1048576,MATCH($C213,'Restaurant Base (Hidden)'!$C$2:$C$1048576,0),MATCH(E$6,'Restaurant Base (Hidden)'!$A$1:$Z$1,0)),"")</f>
        <v>3.01</v>
      </c>
      <c r="F213" s="2" t="str">
        <f>+IFERROR(INDEX('Restaurant Base (Hidden)'!$A$2:$Z$1048576,MATCH($C213,'Restaurant Base (Hidden)'!$C$2:$C$1048576,0),MATCH(F$6,'Restaurant Base (Hidden)'!$A$1:$Z$1,0)),"")</f>
        <v/>
      </c>
      <c r="G213" s="20" t="str">
        <f>+IFERROR(INDEX('Restaurant Base (Hidden)'!$A$2:$Z$1048576,MATCH($C213,'Restaurant Base (Hidden)'!$C$2:$C$1048576,0),MATCH(G$6,'Restaurant Base (Hidden)'!$A$1:$Z$1,0)),"")</f>
        <v>4,307</v>
      </c>
      <c r="H213" s="50">
        <f>+IFERROR(INDEX('Restaurant Base (Hidden)'!$A$2:$Z$1048576,MATCH($C213,'Restaurant Base (Hidden)'!$C$2:$C$1048576,0),MATCH(H$6,'Restaurant Base (Hidden)'!$A$1:$Z$1,0)),"")</f>
        <v>3</v>
      </c>
      <c r="I213" s="20" t="str">
        <f>+IFERROR(INDEX('Restaurant Base (Hidden)'!$A$2:$Z$1048576,MATCH($C213,'Restaurant Base (Hidden)'!$C$2:$C$1048576,0),MATCH(I$6,'Restaurant Base (Hidden)'!$A$1:$Z$1,0)),"")</f>
        <v>97,50 %</v>
      </c>
      <c r="J213" s="49">
        <f>+IFERROR(INDEX('Restaurant Base (Hidden)'!$A$2:$Z$1048576,MATCH($C213,'Restaurant Base (Hidden)'!$C$2:$C$1048576,0),MATCH(J$6,'Restaurant Base (Hidden)'!$A$1:$Z$1,0)),"")</f>
        <v>5</v>
      </c>
      <c r="K213" s="20" t="str">
        <f>+IFERROR(INDEX('Restaurant Base (Hidden)'!$A$2:$Z$1048576,MATCH($C213,'Restaurant Base (Hidden)'!$C$2:$C$1048576,0),MATCH(K$6,'Restaurant Base (Hidden)'!$A$1:$Z$1,0)),"")</f>
        <v>0,113</v>
      </c>
      <c r="L213" s="51">
        <f>+IFERROR(INDEX('Restaurant Base (Hidden)'!$A$2:$Z$1048576,MATCH($C213,'Restaurant Base (Hidden)'!$C$2:$C$1048576,0),MATCH(L$6,'Restaurant Base (Hidden)'!$A$1:$Z$1,0)),"")</f>
        <v>3</v>
      </c>
      <c r="M213" s="2" t="str">
        <f>+IFERROR(INDEX('Restaurant Base (Hidden)'!$A$2:$Z$1048576,MATCH($C213,'Restaurant Base (Hidden)'!$C$2:$C$1048576,0),MATCH(M$6,'Restaurant Base (Hidden)'!$A$1:$Z$1,0)),"")</f>
        <v/>
      </c>
      <c r="N213" s="234" t="str">
        <f>+IFERROR(INDEX('Restaurant Base (Hidden)'!$A$2:$Z$1048576,MATCH($C213,'Restaurant Base (Hidden)'!$C$2:$C$1048576,0),MATCH(N$6,'Restaurant Base (Hidden)'!$A$1:$Z$1,0)),"")</f>
        <v>76,10 %</v>
      </c>
      <c r="O213" s="1">
        <f>+IFERROR(INDEX('Restaurant Base (Hidden)'!$A$2:$Z$1048576,MATCH($C213,'Restaurant Base (Hidden)'!$C$2:$C$1048576,0),MATCH(O$6,'Restaurant Base (Hidden)'!$A$1:$Z$1,0)),"")</f>
        <v>5</v>
      </c>
      <c r="P213" s="2" t="str">
        <f>+IFERROR(INDEX('Restaurant Base (Hidden)'!$A$2:$Z$1048576,MATCH($C213,'Restaurant Base (Hidden)'!$C$2:$C$1048576,0),MATCH(P$6,'Restaurant Base (Hidden)'!$A$1:$Z$1,0)),"")</f>
        <v/>
      </c>
      <c r="Q213" s="234" t="str">
        <f>+IFERROR(INDEX('Restaurant Base (Hidden)'!$A$2:$Z$1048576,MATCH($C213,'Restaurant Base (Hidden)'!$C$2:$C$1048576,0),MATCH(Q$6,'Restaurant Base (Hidden)'!$A$1:$Z$1,0)),"")</f>
        <v>57,90 %</v>
      </c>
      <c r="R213" s="1">
        <f>+IFERROR(INDEX('Restaurant Base (Hidden)'!$A$2:$Z$1048576,MATCH($C213,'Restaurant Base (Hidden)'!$C$2:$C$1048576,0),MATCH(R$6,'Restaurant Base (Hidden)'!$A$1:$Z$1,0)),"")</f>
        <v>1</v>
      </c>
      <c r="S213" s="2" t="str">
        <f>+IFERROR(INDEX('Restaurant Base (Hidden)'!$A$2:$Z$1048576,MATCH($C213,'Restaurant Base (Hidden)'!$C$2:$C$1048576,0),MATCH(S$6,'Restaurant Base (Hidden)'!$A$1:$Z$1,0)),"")</f>
        <v/>
      </c>
      <c r="T213" s="62">
        <f>+IFERROR(INDEX('Restaurant Base (Hidden)'!$A$2:$Z$1048576,MATCH($C213,'Restaurant Base (Hidden)'!$C$2:$C$1048576,0),MATCH(T$6,'Restaurant Base (Hidden)'!$A$1:$Z$1,0)),"")</f>
        <v>52.8</v>
      </c>
      <c r="U213" s="1">
        <f>+IFERROR(INDEX('Restaurant Base (Hidden)'!$A$2:$Z$1048576,MATCH($C213,'Restaurant Base (Hidden)'!$C$2:$C$1048576,0),MATCH(U$6,'Restaurant Base (Hidden)'!$A$1:$Z$1,0)),"")</f>
        <v>1</v>
      </c>
      <c r="V213" s="2" t="str">
        <f>+IFERROR(INDEX('Restaurant Base (Hidden)'!$A$2:$Z$1048576,MATCH($C213,'Restaurant Base (Hidden)'!$C$2:$C$1048576,0),MATCH(V$6,'Restaurant Base (Hidden)'!$A$1:$Z$1,0)),"")</f>
        <v/>
      </c>
      <c r="W213" s="65" t="str">
        <f>+IFERROR(INDEX('Restaurant Base (Hidden)'!$A$2:$Z$1048576,MATCH($C213,'Restaurant Base (Hidden)'!$C$2:$C$1048576,0),MATCH(W$6,'Restaurant Base (Hidden)'!$A$1:$Z$1,0)),"")</f>
        <v>81,30 %</v>
      </c>
      <c r="X213" s="1">
        <f>+IFERROR(INDEX('Restaurant Base (Hidden)'!$A$2:$Z$1048576,MATCH($C213,'Restaurant Base (Hidden)'!$C$2:$C$1048576,0),MATCH(X$6,'Restaurant Base (Hidden)'!$A$1:$Z$1,0)),"")</f>
        <v>3</v>
      </c>
      <c r="Y213" s="65" t="str">
        <f>+IFERROR(INDEX('Restaurant Base (Hidden)'!$A$2:$Z$1048576,MATCH($C213,'Restaurant Base (Hidden)'!$C$2:$C$1048576,0),MATCH(Y$6,'Restaurant Base (Hidden)'!$A$1:$Z$1,0)),"")</f>
        <v>62,90 %</v>
      </c>
      <c r="Z213" s="106">
        <f>+IFERROR(INDEX('Restaurant Base (Hidden)'!$A$2:$Z$1048576,MATCH($C213,'Restaurant Base (Hidden)'!$C$2:$C$1048576,0),MATCH(Z$6,'Restaurant Base (Hidden)'!$A$1:$Z$1,0)),"")</f>
        <v>2</v>
      </c>
      <c r="AA213" s="65" t="str">
        <f>+IFERROR(INDEX('Restaurant Base (Hidden)'!$A$2:$Z$1048576,MATCH($C213,'Restaurant Base (Hidden)'!$C$2:$C$1048576,0),MATCH(AA$6,'Restaurant Base (Hidden)'!$A$1:$Z$1,0)),"")</f>
        <v>97,50 %</v>
      </c>
      <c r="AB213" s="1">
        <f>+IFERROR(INDEX('Restaurant Base (Hidden)'!$A$2:$Z$1048576,MATCH($C213,'Restaurant Base (Hidden)'!$C$2:$C$1048576,0),MATCH(AB$6,'Restaurant Base (Hidden)'!$A$1:$Z$1,0)),"")</f>
        <v>4</v>
      </c>
      <c r="AC213" s="20" t="str">
        <f>+IFERROR(INDEX('Restaurant Base (Hidden)'!$A$2:$Z$1048576,MATCH($C213,'Restaurant Base (Hidden)'!$C$2:$C$1048576,0),MATCH(AC$6,'Restaurant Base (Hidden)'!$A$1:$Z$1,0)),"")</f>
        <v/>
      </c>
      <c r="AD213" s="65" t="str">
        <f>+IFERROR(INDEX('Restaurant Base (Hidden)'!$A$2:$Z$1048576,MATCH($C213,'Restaurant Base (Hidden)'!$C$2:$C$1048576,0),MATCH(AD$6,'Restaurant Base (Hidden)'!$A$1:$Z$1,0)),"")</f>
        <v>96,80 %</v>
      </c>
      <c r="AE213" s="1">
        <f>+IFERROR(INDEX('Restaurant Base (Hidden)'!$A$2:$Z$1048576,MATCH($C213,'Restaurant Base (Hidden)'!$C$2:$C$1048576,0),MATCH(AE$6,'Restaurant Base (Hidden)'!$A$1:$Z$1,0)),"")</f>
        <v>5</v>
      </c>
      <c r="AF213" s="65" t="str">
        <f>+IFERROR(INDEX('Restaurant Base (Hidden)'!$A$2:$Z$1048576,MATCH($C213,'Restaurant Base (Hidden)'!$C$2:$C$1048576,0),MATCH(AF$6,'Restaurant Base (Hidden)'!$A$1:$Z$1,0)),"")</f>
        <v>70,00 %</v>
      </c>
      <c r="AG213" s="1">
        <f>+IFERROR(INDEX('Restaurant Base (Hidden)'!$A$2:$Z$1048576,MATCH($C213,'Restaurant Base (Hidden)'!$C$2:$C$1048576,0),MATCH(AG$6,'Restaurant Base (Hidden)'!$A$1:$Z$1,0)),"")</f>
        <v>1</v>
      </c>
    </row>
    <row r="214" spans="1:33" x14ac:dyDescent="0.4">
      <c r="A214" s="163" t="str">
        <f>IF('Restaurant Base (Hidden)'!A219=0,"", 'Restaurant Base (Hidden)'!A219)</f>
        <v>Parker Sterling</v>
      </c>
      <c r="B214" s="163" t="str">
        <f>IF('Restaurant Base (Hidden)'!B219=0,"", 'Restaurant Base (Hidden)'!B219)</f>
        <v>Fairmont Food Group</v>
      </c>
      <c r="C214" s="163" t="str">
        <f>IF('Restaurant Base (Hidden)'!C219=0,"", 'Restaurant Base (Hidden)'!C219)</f>
        <v>Silverbrook Terrace</v>
      </c>
      <c r="D214" s="104">
        <f t="shared" si="3"/>
        <v>208</v>
      </c>
      <c r="E214" s="105">
        <f>+IFERROR(INDEX('Restaurant Base (Hidden)'!$A$2:$Z$1048576,MATCH($C214,'Restaurant Base (Hidden)'!$C$2:$C$1048576,0),MATCH(E$6,'Restaurant Base (Hidden)'!$A$1:$Z$1,0)),"")</f>
        <v>3</v>
      </c>
      <c r="F214" s="2" t="str">
        <f>+IFERROR(INDEX('Restaurant Base (Hidden)'!$A$2:$Z$1048576,MATCH($C214,'Restaurant Base (Hidden)'!$C$2:$C$1048576,0),MATCH(F$6,'Restaurant Base (Hidden)'!$A$1:$Z$1,0)),"")</f>
        <v/>
      </c>
      <c r="G214" s="20" t="str">
        <f>+IFERROR(INDEX('Restaurant Base (Hidden)'!$A$2:$Z$1048576,MATCH($C214,'Restaurant Base (Hidden)'!$C$2:$C$1048576,0),MATCH(G$6,'Restaurant Base (Hidden)'!$A$1:$Z$1,0)),"")</f>
        <v>4,180</v>
      </c>
      <c r="H214" s="50">
        <f>+IFERROR(INDEX('Restaurant Base (Hidden)'!$A$2:$Z$1048576,MATCH($C214,'Restaurant Base (Hidden)'!$C$2:$C$1048576,0),MATCH(H$6,'Restaurant Base (Hidden)'!$A$1:$Z$1,0)),"")</f>
        <v>2</v>
      </c>
      <c r="I214" s="20" t="str">
        <f>+IFERROR(INDEX('Restaurant Base (Hidden)'!$A$2:$Z$1048576,MATCH($C214,'Restaurant Base (Hidden)'!$C$2:$C$1048576,0),MATCH(I$6,'Restaurant Base (Hidden)'!$A$1:$Z$1,0)),"")</f>
        <v>96,70 %</v>
      </c>
      <c r="J214" s="49">
        <f>+IFERROR(INDEX('Restaurant Base (Hidden)'!$A$2:$Z$1048576,MATCH($C214,'Restaurant Base (Hidden)'!$C$2:$C$1048576,0),MATCH(J$6,'Restaurant Base (Hidden)'!$A$1:$Z$1,0)),"")</f>
        <v>5</v>
      </c>
      <c r="K214" s="20" t="str">
        <f>+IFERROR(INDEX('Restaurant Base (Hidden)'!$A$2:$Z$1048576,MATCH($C214,'Restaurant Base (Hidden)'!$C$2:$C$1048576,0),MATCH(K$6,'Restaurant Base (Hidden)'!$A$1:$Z$1,0)),"")</f>
        <v>0,208</v>
      </c>
      <c r="L214" s="51">
        <f>+IFERROR(INDEX('Restaurant Base (Hidden)'!$A$2:$Z$1048576,MATCH($C214,'Restaurant Base (Hidden)'!$C$2:$C$1048576,0),MATCH(L$6,'Restaurant Base (Hidden)'!$A$1:$Z$1,0)),"")</f>
        <v>1</v>
      </c>
      <c r="M214" s="2" t="str">
        <f>+IFERROR(INDEX('Restaurant Base (Hidden)'!$A$2:$Z$1048576,MATCH($C214,'Restaurant Base (Hidden)'!$C$2:$C$1048576,0),MATCH(M$6,'Restaurant Base (Hidden)'!$A$1:$Z$1,0)),"")</f>
        <v/>
      </c>
      <c r="N214" s="234" t="str">
        <f>+IFERROR(INDEX('Restaurant Base (Hidden)'!$A$2:$Z$1048576,MATCH($C214,'Restaurant Base (Hidden)'!$C$2:$C$1048576,0),MATCH(N$6,'Restaurant Base (Hidden)'!$A$1:$Z$1,0)),"")</f>
        <v>90,70 %</v>
      </c>
      <c r="O214" s="1">
        <f>+IFERROR(INDEX('Restaurant Base (Hidden)'!$A$2:$Z$1048576,MATCH($C214,'Restaurant Base (Hidden)'!$C$2:$C$1048576,0),MATCH(O$6,'Restaurant Base (Hidden)'!$A$1:$Z$1,0)),"")</f>
        <v>5</v>
      </c>
      <c r="P214" s="2" t="str">
        <f>+IFERROR(INDEX('Restaurant Base (Hidden)'!$A$2:$Z$1048576,MATCH($C214,'Restaurant Base (Hidden)'!$C$2:$C$1048576,0),MATCH(P$6,'Restaurant Base (Hidden)'!$A$1:$Z$1,0)),"")</f>
        <v/>
      </c>
      <c r="Q214" s="234" t="str">
        <f>+IFERROR(INDEX('Restaurant Base (Hidden)'!$A$2:$Z$1048576,MATCH($C214,'Restaurant Base (Hidden)'!$C$2:$C$1048576,0),MATCH(Q$6,'Restaurant Base (Hidden)'!$A$1:$Z$1,0)),"")</f>
        <v>68,50 %</v>
      </c>
      <c r="R214" s="1">
        <f>+IFERROR(INDEX('Restaurant Base (Hidden)'!$A$2:$Z$1048576,MATCH($C214,'Restaurant Base (Hidden)'!$C$2:$C$1048576,0),MATCH(R$6,'Restaurant Base (Hidden)'!$A$1:$Z$1,0)),"")</f>
        <v>3</v>
      </c>
      <c r="S214" s="2" t="str">
        <f>+IFERROR(INDEX('Restaurant Base (Hidden)'!$A$2:$Z$1048576,MATCH($C214,'Restaurant Base (Hidden)'!$C$2:$C$1048576,0),MATCH(S$6,'Restaurant Base (Hidden)'!$A$1:$Z$1,0)),"")</f>
        <v/>
      </c>
      <c r="T214" s="62">
        <f>+IFERROR(INDEX('Restaurant Base (Hidden)'!$A$2:$Z$1048576,MATCH($C214,'Restaurant Base (Hidden)'!$C$2:$C$1048576,0),MATCH(T$6,'Restaurant Base (Hidden)'!$A$1:$Z$1,0)),"")</f>
        <v>69.7</v>
      </c>
      <c r="U214" s="1">
        <f>+IFERROR(INDEX('Restaurant Base (Hidden)'!$A$2:$Z$1048576,MATCH($C214,'Restaurant Base (Hidden)'!$C$2:$C$1048576,0),MATCH(U$6,'Restaurant Base (Hidden)'!$A$1:$Z$1,0)),"")</f>
        <v>5</v>
      </c>
      <c r="V214" s="2" t="str">
        <f>+IFERROR(INDEX('Restaurant Base (Hidden)'!$A$2:$Z$1048576,MATCH($C214,'Restaurant Base (Hidden)'!$C$2:$C$1048576,0),MATCH(V$6,'Restaurant Base (Hidden)'!$A$1:$Z$1,0)),"")</f>
        <v/>
      </c>
      <c r="W214" s="65" t="str">
        <f>+IFERROR(INDEX('Restaurant Base (Hidden)'!$A$2:$Z$1048576,MATCH($C214,'Restaurant Base (Hidden)'!$C$2:$C$1048576,0),MATCH(W$6,'Restaurant Base (Hidden)'!$A$1:$Z$1,0)),"")</f>
        <v>77,20 %</v>
      </c>
      <c r="X214" s="1">
        <f>+IFERROR(INDEX('Restaurant Base (Hidden)'!$A$2:$Z$1048576,MATCH($C214,'Restaurant Base (Hidden)'!$C$2:$C$1048576,0),MATCH(X$6,'Restaurant Base (Hidden)'!$A$1:$Z$1,0)),"")</f>
        <v>2</v>
      </c>
      <c r="Y214" s="65" t="str">
        <f>+IFERROR(INDEX('Restaurant Base (Hidden)'!$A$2:$Z$1048576,MATCH($C214,'Restaurant Base (Hidden)'!$C$2:$C$1048576,0),MATCH(Y$6,'Restaurant Base (Hidden)'!$A$1:$Z$1,0)),"")</f>
        <v>71,70 %</v>
      </c>
      <c r="Z214" s="106">
        <f>+IFERROR(INDEX('Restaurant Base (Hidden)'!$A$2:$Z$1048576,MATCH($C214,'Restaurant Base (Hidden)'!$C$2:$C$1048576,0),MATCH(Z$6,'Restaurant Base (Hidden)'!$A$1:$Z$1,0)),"")</f>
        <v>2</v>
      </c>
      <c r="AA214" s="65" t="str">
        <f>+IFERROR(INDEX('Restaurant Base (Hidden)'!$A$2:$Z$1048576,MATCH($C214,'Restaurant Base (Hidden)'!$C$2:$C$1048576,0),MATCH(AA$6,'Restaurant Base (Hidden)'!$A$1:$Z$1,0)),"")</f>
        <v>62,20 %</v>
      </c>
      <c r="AB214" s="1">
        <f>+IFERROR(INDEX('Restaurant Base (Hidden)'!$A$2:$Z$1048576,MATCH($C214,'Restaurant Base (Hidden)'!$C$2:$C$1048576,0),MATCH(AB$6,'Restaurant Base (Hidden)'!$A$1:$Z$1,0)),"")</f>
        <v>2</v>
      </c>
      <c r="AC214" s="20" t="str">
        <f>+IFERROR(INDEX('Restaurant Base (Hidden)'!$A$2:$Z$1048576,MATCH($C214,'Restaurant Base (Hidden)'!$C$2:$C$1048576,0),MATCH(AC$6,'Restaurant Base (Hidden)'!$A$1:$Z$1,0)),"")</f>
        <v/>
      </c>
      <c r="AD214" s="65" t="str">
        <f>+IFERROR(INDEX('Restaurant Base (Hidden)'!$A$2:$Z$1048576,MATCH($C214,'Restaurant Base (Hidden)'!$C$2:$C$1048576,0),MATCH(AD$6,'Restaurant Base (Hidden)'!$A$1:$Z$1,0)),"")</f>
        <v>63,60 %</v>
      </c>
      <c r="AE214" s="1">
        <f>+IFERROR(INDEX('Restaurant Base (Hidden)'!$A$2:$Z$1048576,MATCH($C214,'Restaurant Base (Hidden)'!$C$2:$C$1048576,0),MATCH(AE$6,'Restaurant Base (Hidden)'!$A$1:$Z$1,0)),"")</f>
        <v>1</v>
      </c>
      <c r="AF214" s="65" t="str">
        <f>+IFERROR(INDEX('Restaurant Base (Hidden)'!$A$2:$Z$1048576,MATCH($C214,'Restaurant Base (Hidden)'!$C$2:$C$1048576,0),MATCH(AF$6,'Restaurant Base (Hidden)'!$A$1:$Z$1,0)),"")</f>
        <v>67,20 %</v>
      </c>
      <c r="AG214" s="1">
        <f>+IFERROR(INDEX('Restaurant Base (Hidden)'!$A$2:$Z$1048576,MATCH($C214,'Restaurant Base (Hidden)'!$C$2:$C$1048576,0),MATCH(AG$6,'Restaurant Base (Hidden)'!$A$1:$Z$1,0)),"")</f>
        <v>1</v>
      </c>
    </row>
    <row r="215" spans="1:33" x14ac:dyDescent="0.4">
      <c r="A215" s="163" t="str">
        <f>IF('Restaurant Base (Hidden)'!A342=0,"", 'Restaurant Base (Hidden)'!A342)</f>
        <v>Arden Brookstone</v>
      </c>
      <c r="B215" s="163" t="str">
        <f>IF('Restaurant Base (Hidden)'!B342=0,"", 'Restaurant Base (Hidden)'!B342)</f>
        <v>Eastmere Foods</v>
      </c>
      <c r="C215" s="163" t="str">
        <f>IF('Restaurant Base (Hidden)'!C342=0,"", 'Restaurant Base (Hidden)'!C342)</f>
        <v>Glen Grove</v>
      </c>
      <c r="D215" s="104">
        <f t="shared" si="3"/>
        <v>208</v>
      </c>
      <c r="E215" s="105">
        <f>+IFERROR(INDEX('Restaurant Base (Hidden)'!$A$2:$Z$1048576,MATCH($C215,'Restaurant Base (Hidden)'!$C$2:$C$1048576,0),MATCH(E$6,'Restaurant Base (Hidden)'!$A$1:$Z$1,0)),"")</f>
        <v>3</v>
      </c>
      <c r="F215" s="2" t="str">
        <f>+IFERROR(INDEX('Restaurant Base (Hidden)'!$A$2:$Z$1048576,MATCH($C215,'Restaurant Base (Hidden)'!$C$2:$C$1048576,0),MATCH(F$6,'Restaurant Base (Hidden)'!$A$1:$Z$1,0)),"")</f>
        <v/>
      </c>
      <c r="G215" s="20" t="str">
        <f>+IFERROR(INDEX('Restaurant Base (Hidden)'!$A$2:$Z$1048576,MATCH($C215,'Restaurant Base (Hidden)'!$C$2:$C$1048576,0),MATCH(G$6,'Restaurant Base (Hidden)'!$A$1:$Z$1,0)),"")</f>
        <v>4,700</v>
      </c>
      <c r="H215" s="50">
        <f>+IFERROR(INDEX('Restaurant Base (Hidden)'!$A$2:$Z$1048576,MATCH($C215,'Restaurant Base (Hidden)'!$C$2:$C$1048576,0),MATCH(H$6,'Restaurant Base (Hidden)'!$A$1:$Z$1,0)),"")</f>
        <v>5</v>
      </c>
      <c r="I215" s="20" t="str">
        <f>+IFERROR(INDEX('Restaurant Base (Hidden)'!$A$2:$Z$1048576,MATCH($C215,'Restaurant Base (Hidden)'!$C$2:$C$1048576,0),MATCH(I$6,'Restaurant Base (Hidden)'!$A$1:$Z$1,0)),"")</f>
        <v>65,80 %</v>
      </c>
      <c r="J215" s="49">
        <f>+IFERROR(INDEX('Restaurant Base (Hidden)'!$A$2:$Z$1048576,MATCH($C215,'Restaurant Base (Hidden)'!$C$2:$C$1048576,0),MATCH(J$6,'Restaurant Base (Hidden)'!$A$1:$Z$1,0)),"")</f>
        <v>1</v>
      </c>
      <c r="K215" s="20" t="str">
        <f>+IFERROR(INDEX('Restaurant Base (Hidden)'!$A$2:$Z$1048576,MATCH($C215,'Restaurant Base (Hidden)'!$C$2:$C$1048576,0),MATCH(K$6,'Restaurant Base (Hidden)'!$A$1:$Z$1,0)),"")</f>
        <v>0,157</v>
      </c>
      <c r="L215" s="51">
        <f>+IFERROR(INDEX('Restaurant Base (Hidden)'!$A$2:$Z$1048576,MATCH($C215,'Restaurant Base (Hidden)'!$C$2:$C$1048576,0),MATCH(L$6,'Restaurant Base (Hidden)'!$A$1:$Z$1,0)),"")</f>
        <v>2</v>
      </c>
      <c r="M215" s="2" t="str">
        <f>+IFERROR(INDEX('Restaurant Base (Hidden)'!$A$2:$Z$1048576,MATCH($C215,'Restaurant Base (Hidden)'!$C$2:$C$1048576,0),MATCH(M$6,'Restaurant Base (Hidden)'!$A$1:$Z$1,0)),"")</f>
        <v/>
      </c>
      <c r="N215" s="234" t="str">
        <f>+IFERROR(INDEX('Restaurant Base (Hidden)'!$A$2:$Z$1048576,MATCH($C215,'Restaurant Base (Hidden)'!$C$2:$C$1048576,0),MATCH(N$6,'Restaurant Base (Hidden)'!$A$1:$Z$1,0)),"")</f>
        <v>98,10 %</v>
      </c>
      <c r="O215" s="1">
        <f>+IFERROR(INDEX('Restaurant Base (Hidden)'!$A$2:$Z$1048576,MATCH($C215,'Restaurant Base (Hidden)'!$C$2:$C$1048576,0),MATCH(O$6,'Restaurant Base (Hidden)'!$A$1:$Z$1,0)),"")</f>
        <v>5</v>
      </c>
      <c r="P215" s="2" t="str">
        <f>+IFERROR(INDEX('Restaurant Base (Hidden)'!$A$2:$Z$1048576,MATCH($C215,'Restaurant Base (Hidden)'!$C$2:$C$1048576,0),MATCH(P$6,'Restaurant Base (Hidden)'!$A$1:$Z$1,0)),"")</f>
        <v/>
      </c>
      <c r="Q215" s="234" t="str">
        <f>+IFERROR(INDEX('Restaurant Base (Hidden)'!$A$2:$Z$1048576,MATCH($C215,'Restaurant Base (Hidden)'!$C$2:$C$1048576,0),MATCH(Q$6,'Restaurant Base (Hidden)'!$A$1:$Z$1,0)),"")</f>
        <v>57,60 %</v>
      </c>
      <c r="R215" s="1">
        <f>+IFERROR(INDEX('Restaurant Base (Hidden)'!$A$2:$Z$1048576,MATCH($C215,'Restaurant Base (Hidden)'!$C$2:$C$1048576,0),MATCH(R$6,'Restaurant Base (Hidden)'!$A$1:$Z$1,0)),"")</f>
        <v>1</v>
      </c>
      <c r="S215" s="2" t="str">
        <f>+IFERROR(INDEX('Restaurant Base (Hidden)'!$A$2:$Z$1048576,MATCH($C215,'Restaurant Base (Hidden)'!$C$2:$C$1048576,0),MATCH(S$6,'Restaurant Base (Hidden)'!$A$1:$Z$1,0)),"")</f>
        <v/>
      </c>
      <c r="T215" s="62">
        <f>+IFERROR(INDEX('Restaurant Base (Hidden)'!$A$2:$Z$1048576,MATCH($C215,'Restaurant Base (Hidden)'!$C$2:$C$1048576,0),MATCH(T$6,'Restaurant Base (Hidden)'!$A$1:$Z$1,0)),"")</f>
        <v>65.099999999999994</v>
      </c>
      <c r="U215" s="1">
        <f>+IFERROR(INDEX('Restaurant Base (Hidden)'!$A$2:$Z$1048576,MATCH($C215,'Restaurant Base (Hidden)'!$C$2:$C$1048576,0),MATCH(U$6,'Restaurant Base (Hidden)'!$A$1:$Z$1,0)),"")</f>
        <v>4</v>
      </c>
      <c r="V215" s="2" t="str">
        <f>+IFERROR(INDEX('Restaurant Base (Hidden)'!$A$2:$Z$1048576,MATCH($C215,'Restaurant Base (Hidden)'!$C$2:$C$1048576,0),MATCH(V$6,'Restaurant Base (Hidden)'!$A$1:$Z$1,0)),"")</f>
        <v/>
      </c>
      <c r="W215" s="65" t="str">
        <f>+IFERROR(INDEX('Restaurant Base (Hidden)'!$A$2:$Z$1048576,MATCH($C215,'Restaurant Base (Hidden)'!$C$2:$C$1048576,0),MATCH(W$6,'Restaurant Base (Hidden)'!$A$1:$Z$1,0)),"")</f>
        <v>71,50 %</v>
      </c>
      <c r="X215" s="1">
        <f>+IFERROR(INDEX('Restaurant Base (Hidden)'!$A$2:$Z$1048576,MATCH($C215,'Restaurant Base (Hidden)'!$C$2:$C$1048576,0),MATCH(X$6,'Restaurant Base (Hidden)'!$A$1:$Z$1,0)),"")</f>
        <v>2</v>
      </c>
      <c r="Y215" s="65" t="str">
        <f>+IFERROR(INDEX('Restaurant Base (Hidden)'!$A$2:$Z$1048576,MATCH($C215,'Restaurant Base (Hidden)'!$C$2:$C$1048576,0),MATCH(Y$6,'Restaurant Base (Hidden)'!$A$1:$Z$1,0)),"")</f>
        <v>82,30 %</v>
      </c>
      <c r="Z215" s="106">
        <f>+IFERROR(INDEX('Restaurant Base (Hidden)'!$A$2:$Z$1048576,MATCH($C215,'Restaurant Base (Hidden)'!$C$2:$C$1048576,0),MATCH(Z$6,'Restaurant Base (Hidden)'!$A$1:$Z$1,0)),"")</f>
        <v>3</v>
      </c>
      <c r="AA215" s="65" t="str">
        <f>+IFERROR(INDEX('Restaurant Base (Hidden)'!$A$2:$Z$1048576,MATCH($C215,'Restaurant Base (Hidden)'!$C$2:$C$1048576,0),MATCH(AA$6,'Restaurant Base (Hidden)'!$A$1:$Z$1,0)),"")</f>
        <v>86,60 %</v>
      </c>
      <c r="AB215" s="1">
        <f>+IFERROR(INDEX('Restaurant Base (Hidden)'!$A$2:$Z$1048576,MATCH($C215,'Restaurant Base (Hidden)'!$C$2:$C$1048576,0),MATCH(AB$6,'Restaurant Base (Hidden)'!$A$1:$Z$1,0)),"")</f>
        <v>3</v>
      </c>
      <c r="AC215" s="20" t="str">
        <f>+IFERROR(INDEX('Restaurant Base (Hidden)'!$A$2:$Z$1048576,MATCH($C215,'Restaurant Base (Hidden)'!$C$2:$C$1048576,0),MATCH(AC$6,'Restaurant Base (Hidden)'!$A$1:$Z$1,0)),"")</f>
        <v/>
      </c>
      <c r="AD215" s="65" t="str">
        <f>+IFERROR(INDEX('Restaurant Base (Hidden)'!$A$2:$Z$1048576,MATCH($C215,'Restaurant Base (Hidden)'!$C$2:$C$1048576,0),MATCH(AD$6,'Restaurant Base (Hidden)'!$A$1:$Z$1,0)),"")</f>
        <v>96,80 %</v>
      </c>
      <c r="AE215" s="1">
        <f>+IFERROR(INDEX('Restaurant Base (Hidden)'!$A$2:$Z$1048576,MATCH($C215,'Restaurant Base (Hidden)'!$C$2:$C$1048576,0),MATCH(AE$6,'Restaurant Base (Hidden)'!$A$1:$Z$1,0)),"")</f>
        <v>5</v>
      </c>
      <c r="AF215" s="65" t="str">
        <f>+IFERROR(INDEX('Restaurant Base (Hidden)'!$A$2:$Z$1048576,MATCH($C215,'Restaurant Base (Hidden)'!$C$2:$C$1048576,0),MATCH(AF$6,'Restaurant Base (Hidden)'!$A$1:$Z$1,0)),"")</f>
        <v>82,90 %</v>
      </c>
      <c r="AG215" s="1">
        <f>+IFERROR(INDEX('Restaurant Base (Hidden)'!$A$2:$Z$1048576,MATCH($C215,'Restaurant Base (Hidden)'!$C$2:$C$1048576,0),MATCH(AG$6,'Restaurant Base (Hidden)'!$A$1:$Z$1,0)),"")</f>
        <v>2</v>
      </c>
    </row>
    <row r="216" spans="1:33" x14ac:dyDescent="0.4">
      <c r="A216" s="163" t="str">
        <f>IF('Restaurant Base (Hidden)'!A97=0,"", 'Restaurant Base (Hidden)'!A97)</f>
        <v>Hayden Merriton</v>
      </c>
      <c r="B216" s="163" t="str">
        <f>IF('Restaurant Base (Hidden)'!B97=0,"", 'Restaurant Base (Hidden)'!B97)</f>
        <v>Greenhaven Restaurants</v>
      </c>
      <c r="C216" s="163" t="str">
        <f>IF('Restaurant Base (Hidden)'!C97=0,"", 'Restaurant Base (Hidden)'!C97)</f>
        <v>Briar Junction</v>
      </c>
      <c r="D216" s="104">
        <f t="shared" si="3"/>
        <v>210</v>
      </c>
      <c r="E216" s="105">
        <f>+IFERROR(INDEX('Restaurant Base (Hidden)'!$A$2:$Z$1048576,MATCH($C216,'Restaurant Base (Hidden)'!$C$2:$C$1048576,0),MATCH(E$6,'Restaurant Base (Hidden)'!$A$1:$Z$1,0)),"")</f>
        <v>2.98</v>
      </c>
      <c r="F216" s="2" t="str">
        <f>+IFERROR(INDEX('Restaurant Base (Hidden)'!$A$2:$Z$1048576,MATCH($C216,'Restaurant Base (Hidden)'!$C$2:$C$1048576,0),MATCH(F$6,'Restaurant Base (Hidden)'!$A$1:$Z$1,0)),"")</f>
        <v/>
      </c>
      <c r="G216" s="20" t="str">
        <f>+IFERROR(INDEX('Restaurant Base (Hidden)'!$A$2:$Z$1048576,MATCH($C216,'Restaurant Base (Hidden)'!$C$2:$C$1048576,0),MATCH(G$6,'Restaurant Base (Hidden)'!$A$1:$Z$1,0)),"")</f>
        <v>4,728</v>
      </c>
      <c r="H216" s="50">
        <f>+IFERROR(INDEX('Restaurant Base (Hidden)'!$A$2:$Z$1048576,MATCH($C216,'Restaurant Base (Hidden)'!$C$2:$C$1048576,0),MATCH(H$6,'Restaurant Base (Hidden)'!$A$1:$Z$1,0)),"")</f>
        <v>5</v>
      </c>
      <c r="I216" s="20" t="str">
        <f>+IFERROR(INDEX('Restaurant Base (Hidden)'!$A$2:$Z$1048576,MATCH($C216,'Restaurant Base (Hidden)'!$C$2:$C$1048576,0),MATCH(I$6,'Restaurant Base (Hidden)'!$A$1:$Z$1,0)),"")</f>
        <v>66,50 %</v>
      </c>
      <c r="J216" s="49">
        <f>+IFERROR(INDEX('Restaurant Base (Hidden)'!$A$2:$Z$1048576,MATCH($C216,'Restaurant Base (Hidden)'!$C$2:$C$1048576,0),MATCH(J$6,'Restaurant Base (Hidden)'!$A$1:$Z$1,0)),"")</f>
        <v>1</v>
      </c>
      <c r="K216" s="20" t="str">
        <f>+IFERROR(INDEX('Restaurant Base (Hidden)'!$A$2:$Z$1048576,MATCH($C216,'Restaurant Base (Hidden)'!$C$2:$C$1048576,0),MATCH(K$6,'Restaurant Base (Hidden)'!$A$1:$Z$1,0)),"")</f>
        <v>0,061</v>
      </c>
      <c r="L216" s="51">
        <f>+IFERROR(INDEX('Restaurant Base (Hidden)'!$A$2:$Z$1048576,MATCH($C216,'Restaurant Base (Hidden)'!$C$2:$C$1048576,0),MATCH(L$6,'Restaurant Base (Hidden)'!$A$1:$Z$1,0)),"")</f>
        <v>4</v>
      </c>
      <c r="M216" s="2" t="str">
        <f>+IFERROR(INDEX('Restaurant Base (Hidden)'!$A$2:$Z$1048576,MATCH($C216,'Restaurant Base (Hidden)'!$C$2:$C$1048576,0),MATCH(M$6,'Restaurant Base (Hidden)'!$A$1:$Z$1,0)),"")</f>
        <v/>
      </c>
      <c r="N216" s="234" t="str">
        <f>+IFERROR(INDEX('Restaurant Base (Hidden)'!$A$2:$Z$1048576,MATCH($C216,'Restaurant Base (Hidden)'!$C$2:$C$1048576,0),MATCH(N$6,'Restaurant Base (Hidden)'!$A$1:$Z$1,0)),"")</f>
        <v>58,20 %</v>
      </c>
      <c r="O216" s="1">
        <f>+IFERROR(INDEX('Restaurant Base (Hidden)'!$A$2:$Z$1048576,MATCH($C216,'Restaurant Base (Hidden)'!$C$2:$C$1048576,0),MATCH(O$6,'Restaurant Base (Hidden)'!$A$1:$Z$1,0)),"")</f>
        <v>1</v>
      </c>
      <c r="P216" s="2" t="str">
        <f>+IFERROR(INDEX('Restaurant Base (Hidden)'!$A$2:$Z$1048576,MATCH($C216,'Restaurant Base (Hidden)'!$C$2:$C$1048576,0),MATCH(P$6,'Restaurant Base (Hidden)'!$A$1:$Z$1,0)),"")</f>
        <v/>
      </c>
      <c r="Q216" s="234" t="str">
        <f>+IFERROR(INDEX('Restaurant Base (Hidden)'!$A$2:$Z$1048576,MATCH($C216,'Restaurant Base (Hidden)'!$C$2:$C$1048576,0),MATCH(Q$6,'Restaurant Base (Hidden)'!$A$1:$Z$1,0)),"")</f>
        <v>83,10 %</v>
      </c>
      <c r="R216" s="1">
        <f>+IFERROR(INDEX('Restaurant Base (Hidden)'!$A$2:$Z$1048576,MATCH($C216,'Restaurant Base (Hidden)'!$C$2:$C$1048576,0),MATCH(R$6,'Restaurant Base (Hidden)'!$A$1:$Z$1,0)),"")</f>
        <v>5</v>
      </c>
      <c r="S216" s="2" t="str">
        <f>+IFERROR(INDEX('Restaurant Base (Hidden)'!$A$2:$Z$1048576,MATCH($C216,'Restaurant Base (Hidden)'!$C$2:$C$1048576,0),MATCH(S$6,'Restaurant Base (Hidden)'!$A$1:$Z$1,0)),"")</f>
        <v/>
      </c>
      <c r="T216" s="62">
        <f>+IFERROR(INDEX('Restaurant Base (Hidden)'!$A$2:$Z$1048576,MATCH($C216,'Restaurant Base (Hidden)'!$C$2:$C$1048576,0),MATCH(T$6,'Restaurant Base (Hidden)'!$A$1:$Z$1,0)),"")</f>
        <v>67.5</v>
      </c>
      <c r="U216" s="1">
        <f>+IFERROR(INDEX('Restaurant Base (Hidden)'!$A$2:$Z$1048576,MATCH($C216,'Restaurant Base (Hidden)'!$C$2:$C$1048576,0),MATCH(U$6,'Restaurant Base (Hidden)'!$A$1:$Z$1,0)),"")</f>
        <v>4</v>
      </c>
      <c r="V216" s="2" t="str">
        <f>+IFERROR(INDEX('Restaurant Base (Hidden)'!$A$2:$Z$1048576,MATCH($C216,'Restaurant Base (Hidden)'!$C$2:$C$1048576,0),MATCH(V$6,'Restaurant Base (Hidden)'!$A$1:$Z$1,0)),"")</f>
        <v/>
      </c>
      <c r="W216" s="65" t="str">
        <f>+IFERROR(INDEX('Restaurant Base (Hidden)'!$A$2:$Z$1048576,MATCH($C216,'Restaurant Base (Hidden)'!$C$2:$C$1048576,0),MATCH(W$6,'Restaurant Base (Hidden)'!$A$1:$Z$1,0)),"")</f>
        <v>72,50 %</v>
      </c>
      <c r="X216" s="1">
        <f>+IFERROR(INDEX('Restaurant Base (Hidden)'!$A$2:$Z$1048576,MATCH($C216,'Restaurant Base (Hidden)'!$C$2:$C$1048576,0),MATCH(X$6,'Restaurant Base (Hidden)'!$A$1:$Z$1,0)),"")</f>
        <v>2</v>
      </c>
      <c r="Y216" s="65" t="str">
        <f>+IFERROR(INDEX('Restaurant Base (Hidden)'!$A$2:$Z$1048576,MATCH($C216,'Restaurant Base (Hidden)'!$C$2:$C$1048576,0),MATCH(Y$6,'Restaurant Base (Hidden)'!$A$1:$Z$1,0)),"")</f>
        <v>96,00 %</v>
      </c>
      <c r="Z216" s="106">
        <f>+IFERROR(INDEX('Restaurant Base (Hidden)'!$A$2:$Z$1048576,MATCH($C216,'Restaurant Base (Hidden)'!$C$2:$C$1048576,0),MATCH(Z$6,'Restaurant Base (Hidden)'!$A$1:$Z$1,0)),"")</f>
        <v>4</v>
      </c>
      <c r="AA216" s="65" t="str">
        <f>+IFERROR(INDEX('Restaurant Base (Hidden)'!$A$2:$Z$1048576,MATCH($C216,'Restaurant Base (Hidden)'!$C$2:$C$1048576,0),MATCH(AA$6,'Restaurant Base (Hidden)'!$A$1:$Z$1,0)),"")</f>
        <v>89,00 %</v>
      </c>
      <c r="AB216" s="1">
        <f>+IFERROR(INDEX('Restaurant Base (Hidden)'!$A$2:$Z$1048576,MATCH($C216,'Restaurant Base (Hidden)'!$C$2:$C$1048576,0),MATCH(AB$6,'Restaurant Base (Hidden)'!$A$1:$Z$1,0)),"")</f>
        <v>3</v>
      </c>
      <c r="AC216" s="20" t="str">
        <f>+IFERROR(INDEX('Restaurant Base (Hidden)'!$A$2:$Z$1048576,MATCH($C216,'Restaurant Base (Hidden)'!$C$2:$C$1048576,0),MATCH(AC$6,'Restaurant Base (Hidden)'!$A$1:$Z$1,0)),"")</f>
        <v/>
      </c>
      <c r="AD216" s="65" t="str">
        <f>+IFERROR(INDEX('Restaurant Base (Hidden)'!$A$2:$Z$1048576,MATCH($C216,'Restaurant Base (Hidden)'!$C$2:$C$1048576,0),MATCH(AD$6,'Restaurant Base (Hidden)'!$A$1:$Z$1,0)),"")</f>
        <v>92,60 %</v>
      </c>
      <c r="AE216" s="1">
        <f>+IFERROR(INDEX('Restaurant Base (Hidden)'!$A$2:$Z$1048576,MATCH($C216,'Restaurant Base (Hidden)'!$C$2:$C$1048576,0),MATCH(AE$6,'Restaurant Base (Hidden)'!$A$1:$Z$1,0)),"")</f>
        <v>4</v>
      </c>
      <c r="AF216" s="65" t="str">
        <f>+IFERROR(INDEX('Restaurant Base (Hidden)'!$A$2:$Z$1048576,MATCH($C216,'Restaurant Base (Hidden)'!$C$2:$C$1048576,0),MATCH(AF$6,'Restaurant Base (Hidden)'!$A$1:$Z$1,0)),"")</f>
        <v>66,90 %</v>
      </c>
      <c r="AG216" s="1">
        <f>+IFERROR(INDEX('Restaurant Base (Hidden)'!$A$2:$Z$1048576,MATCH($C216,'Restaurant Base (Hidden)'!$C$2:$C$1048576,0),MATCH(AG$6,'Restaurant Base (Hidden)'!$A$1:$Z$1,0)),"")</f>
        <v>1</v>
      </c>
    </row>
    <row r="217" spans="1:33" x14ac:dyDescent="0.4">
      <c r="A217" s="163" t="str">
        <f>IF('Restaurant Base (Hidden)'!A404=0,"", 'Restaurant Base (Hidden)'!A404)</f>
        <v>Marlowe Ellington</v>
      </c>
      <c r="B217" s="163" t="str">
        <f>IF('Restaurant Base (Hidden)'!B404=0,"", 'Restaurant Base (Hidden)'!B404)</f>
        <v>Silverline Hospitality</v>
      </c>
      <c r="C217" s="163" t="str">
        <f>IF('Restaurant Base (Hidden)'!C404=0,"", 'Restaurant Base (Hidden)'!C404)</f>
        <v>Elm Landing</v>
      </c>
      <c r="D217" s="104">
        <f t="shared" si="3"/>
        <v>210</v>
      </c>
      <c r="E217" s="105">
        <f>+IFERROR(INDEX('Restaurant Base (Hidden)'!$A$2:$Z$1048576,MATCH($C217,'Restaurant Base (Hidden)'!$C$2:$C$1048576,0),MATCH(E$6,'Restaurant Base (Hidden)'!$A$1:$Z$1,0)),"")</f>
        <v>2.98</v>
      </c>
      <c r="F217" s="2" t="str">
        <f>+IFERROR(INDEX('Restaurant Base (Hidden)'!$A$2:$Z$1048576,MATCH($C217,'Restaurant Base (Hidden)'!$C$2:$C$1048576,0),MATCH(F$6,'Restaurant Base (Hidden)'!$A$1:$Z$1,0)),"")</f>
        <v/>
      </c>
      <c r="G217" s="20" t="str">
        <f>+IFERROR(INDEX('Restaurant Base (Hidden)'!$A$2:$Z$1048576,MATCH($C217,'Restaurant Base (Hidden)'!$C$2:$C$1048576,0),MATCH(G$6,'Restaurant Base (Hidden)'!$A$1:$Z$1,0)),"")</f>
        <v>4,762</v>
      </c>
      <c r="H217" s="50">
        <f>+IFERROR(INDEX('Restaurant Base (Hidden)'!$A$2:$Z$1048576,MATCH($C217,'Restaurant Base (Hidden)'!$C$2:$C$1048576,0),MATCH(H$6,'Restaurant Base (Hidden)'!$A$1:$Z$1,0)),"")</f>
        <v>5</v>
      </c>
      <c r="I217" s="20" t="str">
        <f>+IFERROR(INDEX('Restaurant Base (Hidden)'!$A$2:$Z$1048576,MATCH($C217,'Restaurant Base (Hidden)'!$C$2:$C$1048576,0),MATCH(I$6,'Restaurant Base (Hidden)'!$A$1:$Z$1,0)),"")</f>
        <v>73,60 %</v>
      </c>
      <c r="J217" s="49">
        <f>+IFERROR(INDEX('Restaurant Base (Hidden)'!$A$2:$Z$1048576,MATCH($C217,'Restaurant Base (Hidden)'!$C$2:$C$1048576,0),MATCH(J$6,'Restaurant Base (Hidden)'!$A$1:$Z$1,0)),"")</f>
        <v>1</v>
      </c>
      <c r="K217" s="20" t="str">
        <f>+IFERROR(INDEX('Restaurant Base (Hidden)'!$A$2:$Z$1048576,MATCH($C217,'Restaurant Base (Hidden)'!$C$2:$C$1048576,0),MATCH(K$6,'Restaurant Base (Hidden)'!$A$1:$Z$1,0)),"")</f>
        <v>0,105</v>
      </c>
      <c r="L217" s="51">
        <f>+IFERROR(INDEX('Restaurant Base (Hidden)'!$A$2:$Z$1048576,MATCH($C217,'Restaurant Base (Hidden)'!$C$2:$C$1048576,0),MATCH(L$6,'Restaurant Base (Hidden)'!$A$1:$Z$1,0)),"")</f>
        <v>3</v>
      </c>
      <c r="M217" s="2" t="str">
        <f>+IFERROR(INDEX('Restaurant Base (Hidden)'!$A$2:$Z$1048576,MATCH($C217,'Restaurant Base (Hidden)'!$C$2:$C$1048576,0),MATCH(M$6,'Restaurant Base (Hidden)'!$A$1:$Z$1,0)),"")</f>
        <v/>
      </c>
      <c r="N217" s="234" t="str">
        <f>+IFERROR(INDEX('Restaurant Base (Hidden)'!$A$2:$Z$1048576,MATCH($C217,'Restaurant Base (Hidden)'!$C$2:$C$1048576,0),MATCH(N$6,'Restaurant Base (Hidden)'!$A$1:$Z$1,0)),"")</f>
        <v>87,30 %</v>
      </c>
      <c r="O217" s="1">
        <f>+IFERROR(INDEX('Restaurant Base (Hidden)'!$A$2:$Z$1048576,MATCH($C217,'Restaurant Base (Hidden)'!$C$2:$C$1048576,0),MATCH(O$6,'Restaurant Base (Hidden)'!$A$1:$Z$1,0)),"")</f>
        <v>5</v>
      </c>
      <c r="P217" s="2" t="str">
        <f>+IFERROR(INDEX('Restaurant Base (Hidden)'!$A$2:$Z$1048576,MATCH($C217,'Restaurant Base (Hidden)'!$C$2:$C$1048576,0),MATCH(P$6,'Restaurant Base (Hidden)'!$A$1:$Z$1,0)),"")</f>
        <v/>
      </c>
      <c r="Q217" s="234" t="str">
        <f>+IFERROR(INDEX('Restaurant Base (Hidden)'!$A$2:$Z$1048576,MATCH($C217,'Restaurant Base (Hidden)'!$C$2:$C$1048576,0),MATCH(Q$6,'Restaurant Base (Hidden)'!$A$1:$Z$1,0)),"")</f>
        <v>98,30 %</v>
      </c>
      <c r="R217" s="1">
        <f>+IFERROR(INDEX('Restaurant Base (Hidden)'!$A$2:$Z$1048576,MATCH($C217,'Restaurant Base (Hidden)'!$C$2:$C$1048576,0),MATCH(R$6,'Restaurant Base (Hidden)'!$A$1:$Z$1,0)),"")</f>
        <v>5</v>
      </c>
      <c r="S217" s="2" t="str">
        <f>+IFERROR(INDEX('Restaurant Base (Hidden)'!$A$2:$Z$1048576,MATCH($C217,'Restaurant Base (Hidden)'!$C$2:$C$1048576,0),MATCH(S$6,'Restaurant Base (Hidden)'!$A$1:$Z$1,0)),"")</f>
        <v/>
      </c>
      <c r="T217" s="62">
        <f>+IFERROR(INDEX('Restaurant Base (Hidden)'!$A$2:$Z$1048576,MATCH($C217,'Restaurant Base (Hidden)'!$C$2:$C$1048576,0),MATCH(T$6,'Restaurant Base (Hidden)'!$A$1:$Z$1,0)),"")</f>
        <v>57.3</v>
      </c>
      <c r="U217" s="1">
        <f>+IFERROR(INDEX('Restaurant Base (Hidden)'!$A$2:$Z$1048576,MATCH($C217,'Restaurant Base (Hidden)'!$C$2:$C$1048576,0),MATCH(U$6,'Restaurant Base (Hidden)'!$A$1:$Z$1,0)),"")</f>
        <v>2</v>
      </c>
      <c r="V217" s="2" t="str">
        <f>+IFERROR(INDEX('Restaurant Base (Hidden)'!$A$2:$Z$1048576,MATCH($C217,'Restaurant Base (Hidden)'!$C$2:$C$1048576,0),MATCH(V$6,'Restaurant Base (Hidden)'!$A$1:$Z$1,0)),"")</f>
        <v/>
      </c>
      <c r="W217" s="65" t="str">
        <f>+IFERROR(INDEX('Restaurant Base (Hidden)'!$A$2:$Z$1048576,MATCH($C217,'Restaurant Base (Hidden)'!$C$2:$C$1048576,0),MATCH(W$6,'Restaurant Base (Hidden)'!$A$1:$Z$1,0)),"")</f>
        <v>80,20 %</v>
      </c>
      <c r="X217" s="1">
        <f>+IFERROR(INDEX('Restaurant Base (Hidden)'!$A$2:$Z$1048576,MATCH($C217,'Restaurant Base (Hidden)'!$C$2:$C$1048576,0),MATCH(X$6,'Restaurant Base (Hidden)'!$A$1:$Z$1,0)),"")</f>
        <v>3</v>
      </c>
      <c r="Y217" s="65" t="str">
        <f>+IFERROR(INDEX('Restaurant Base (Hidden)'!$A$2:$Z$1048576,MATCH($C217,'Restaurant Base (Hidden)'!$C$2:$C$1048576,0),MATCH(Y$6,'Restaurant Base (Hidden)'!$A$1:$Z$1,0)),"")</f>
        <v>94,20 %</v>
      </c>
      <c r="Z217" s="106">
        <f>+IFERROR(INDEX('Restaurant Base (Hidden)'!$A$2:$Z$1048576,MATCH($C217,'Restaurant Base (Hidden)'!$C$2:$C$1048576,0),MATCH(Z$6,'Restaurant Base (Hidden)'!$A$1:$Z$1,0)),"")</f>
        <v>4</v>
      </c>
      <c r="AA217" s="65" t="str">
        <f>+IFERROR(INDEX('Restaurant Base (Hidden)'!$A$2:$Z$1048576,MATCH($C217,'Restaurant Base (Hidden)'!$C$2:$C$1048576,0),MATCH(AA$6,'Restaurant Base (Hidden)'!$A$1:$Z$1,0)),"")</f>
        <v>81,70 %</v>
      </c>
      <c r="AB217" s="1">
        <f>+IFERROR(INDEX('Restaurant Base (Hidden)'!$A$2:$Z$1048576,MATCH($C217,'Restaurant Base (Hidden)'!$C$2:$C$1048576,0),MATCH(AB$6,'Restaurant Base (Hidden)'!$A$1:$Z$1,0)),"")</f>
        <v>2</v>
      </c>
      <c r="AC217" s="20" t="str">
        <f>+IFERROR(INDEX('Restaurant Base (Hidden)'!$A$2:$Z$1048576,MATCH($C217,'Restaurant Base (Hidden)'!$C$2:$C$1048576,0),MATCH(AC$6,'Restaurant Base (Hidden)'!$A$1:$Z$1,0)),"")</f>
        <v/>
      </c>
      <c r="AD217" s="65" t="str">
        <f>+IFERROR(INDEX('Restaurant Base (Hidden)'!$A$2:$Z$1048576,MATCH($C217,'Restaurant Base (Hidden)'!$C$2:$C$1048576,0),MATCH(AD$6,'Restaurant Base (Hidden)'!$A$1:$Z$1,0)),"")</f>
        <v>62,10 %</v>
      </c>
      <c r="AE217" s="1">
        <f>+IFERROR(INDEX('Restaurant Base (Hidden)'!$A$2:$Z$1048576,MATCH($C217,'Restaurant Base (Hidden)'!$C$2:$C$1048576,0),MATCH(AE$6,'Restaurant Base (Hidden)'!$A$1:$Z$1,0)),"")</f>
        <v>1</v>
      </c>
      <c r="AF217" s="65" t="str">
        <f>+IFERROR(INDEX('Restaurant Base (Hidden)'!$A$2:$Z$1048576,MATCH($C217,'Restaurant Base (Hidden)'!$C$2:$C$1048576,0),MATCH(AF$6,'Restaurant Base (Hidden)'!$A$1:$Z$1,0)),"")</f>
        <v>62,90 %</v>
      </c>
      <c r="AG217" s="1">
        <f>+IFERROR(INDEX('Restaurant Base (Hidden)'!$A$2:$Z$1048576,MATCH($C217,'Restaurant Base (Hidden)'!$C$2:$C$1048576,0),MATCH(AG$6,'Restaurant Base (Hidden)'!$A$1:$Z$1,0)),"")</f>
        <v>1</v>
      </c>
    </row>
    <row r="218" spans="1:33" x14ac:dyDescent="0.4">
      <c r="A218" s="163" t="str">
        <f>IF('Restaurant Base (Hidden)'!A6=0,"", 'Restaurant Base (Hidden)'!A6)</f>
        <v>Drew Fairbourne</v>
      </c>
      <c r="B218" s="163" t="str">
        <f>IF('Restaurant Base (Hidden)'!B6=0,"", 'Restaurant Base (Hidden)'!B6)</f>
        <v>Westhaven Foods</v>
      </c>
      <c r="C218" s="163" t="str">
        <f>IF('Restaurant Base (Hidden)'!C6=0,"", 'Restaurant Base (Hidden)'!C6)</f>
        <v>Silverbrook Way</v>
      </c>
      <c r="D218" s="104">
        <f t="shared" si="3"/>
        <v>212</v>
      </c>
      <c r="E218" s="105">
        <f>+IFERROR(INDEX('Restaurant Base (Hidden)'!$A$2:$Z$1048576,MATCH($C218,'Restaurant Base (Hidden)'!$C$2:$C$1048576,0),MATCH(E$6,'Restaurant Base (Hidden)'!$A$1:$Z$1,0)),"")</f>
        <v>2.97</v>
      </c>
      <c r="F218" s="64" t="str">
        <f>+IFERROR(INDEX('Restaurant Base (Hidden)'!$A$2:$Z$1048576,MATCH($C218,'Restaurant Base (Hidden)'!$C$2:$C$1048576,0),MATCH(F$6,'Restaurant Base (Hidden)'!$A$1:$Z$1,0)),"")</f>
        <v/>
      </c>
      <c r="G218" s="20" t="str">
        <f>+IFERROR(INDEX('Restaurant Base (Hidden)'!$A$2:$Z$1048576,MATCH($C218,'Restaurant Base (Hidden)'!$C$2:$C$1048576,0),MATCH(G$6,'Restaurant Base (Hidden)'!$A$1:$Z$1,0)),"")</f>
        <v>4,527</v>
      </c>
      <c r="H218" s="50">
        <f>+IFERROR(INDEX('Restaurant Base (Hidden)'!$A$2:$Z$1048576,MATCH($C218,'Restaurant Base (Hidden)'!$C$2:$C$1048576,0),MATCH(H$6,'Restaurant Base (Hidden)'!$A$1:$Z$1,0)),"")</f>
        <v>5</v>
      </c>
      <c r="I218" s="20" t="str">
        <f>+IFERROR(INDEX('Restaurant Base (Hidden)'!$A$2:$Z$1048576,MATCH($C218,'Restaurant Base (Hidden)'!$C$2:$C$1048576,0),MATCH(I$6,'Restaurant Base (Hidden)'!$A$1:$Z$1,0)),"")</f>
        <v>90,50 %</v>
      </c>
      <c r="J218" s="49">
        <f>+IFERROR(INDEX('Restaurant Base (Hidden)'!$A$2:$Z$1048576,MATCH($C218,'Restaurant Base (Hidden)'!$C$2:$C$1048576,0),MATCH(J$6,'Restaurant Base (Hidden)'!$A$1:$Z$1,0)),"")</f>
        <v>4</v>
      </c>
      <c r="K218" s="20" t="str">
        <f>+IFERROR(INDEX('Restaurant Base (Hidden)'!$A$2:$Z$1048576,MATCH($C218,'Restaurant Base (Hidden)'!$C$2:$C$1048576,0),MATCH(K$6,'Restaurant Base (Hidden)'!$A$1:$Z$1,0)),"")</f>
        <v>0,128</v>
      </c>
      <c r="L218" s="51">
        <f>+IFERROR(INDEX('Restaurant Base (Hidden)'!$A$2:$Z$1048576,MATCH($C218,'Restaurant Base (Hidden)'!$C$2:$C$1048576,0),MATCH(L$6,'Restaurant Base (Hidden)'!$A$1:$Z$1,0)),"")</f>
        <v>3</v>
      </c>
      <c r="M218" s="2" t="str">
        <f>+IFERROR(INDEX('Restaurant Base (Hidden)'!$A$2:$Z$1048576,MATCH($C218,'Restaurant Base (Hidden)'!$C$2:$C$1048576,0),MATCH(M$6,'Restaurant Base (Hidden)'!$A$1:$Z$1,0)),"")</f>
        <v/>
      </c>
      <c r="N218" s="234" t="str">
        <f>+IFERROR(INDEX('Restaurant Base (Hidden)'!$A$2:$Z$1048576,MATCH($C218,'Restaurant Base (Hidden)'!$C$2:$C$1048576,0),MATCH(N$6,'Restaurant Base (Hidden)'!$A$1:$Z$1,0)),"")</f>
        <v>79,70 %</v>
      </c>
      <c r="O218" s="1">
        <f>+IFERROR(INDEX('Restaurant Base (Hidden)'!$A$2:$Z$1048576,MATCH($C218,'Restaurant Base (Hidden)'!$C$2:$C$1048576,0),MATCH(O$6,'Restaurant Base (Hidden)'!$A$1:$Z$1,0)),"")</f>
        <v>5</v>
      </c>
      <c r="P218" s="2" t="str">
        <f>+IFERROR(INDEX('Restaurant Base (Hidden)'!$A$2:$Z$1048576,MATCH($C218,'Restaurant Base (Hidden)'!$C$2:$C$1048576,0),MATCH(P$6,'Restaurant Base (Hidden)'!$A$1:$Z$1,0)),"")</f>
        <v/>
      </c>
      <c r="Q218" s="234" t="str">
        <f>+IFERROR(INDEX('Restaurant Base (Hidden)'!$A$2:$Z$1048576,MATCH($C218,'Restaurant Base (Hidden)'!$C$2:$C$1048576,0),MATCH(Q$6,'Restaurant Base (Hidden)'!$A$1:$Z$1,0)),"")</f>
        <v>57,80 %</v>
      </c>
      <c r="R218" s="1">
        <f>+IFERROR(INDEX('Restaurant Base (Hidden)'!$A$2:$Z$1048576,MATCH($C218,'Restaurant Base (Hidden)'!$C$2:$C$1048576,0),MATCH(R$6,'Restaurant Base (Hidden)'!$A$1:$Z$1,0)),"")</f>
        <v>1</v>
      </c>
      <c r="S218" s="2" t="str">
        <f>+IFERROR(INDEX('Restaurant Base (Hidden)'!$A$2:$Z$1048576,MATCH($C218,'Restaurant Base (Hidden)'!$C$2:$C$1048576,0),MATCH(S$6,'Restaurant Base (Hidden)'!$A$1:$Z$1,0)),"")</f>
        <v/>
      </c>
      <c r="T218" s="62">
        <f>+IFERROR(INDEX('Restaurant Base (Hidden)'!$A$2:$Z$1048576,MATCH($C218,'Restaurant Base (Hidden)'!$C$2:$C$1048576,0),MATCH(T$6,'Restaurant Base (Hidden)'!$A$1:$Z$1,0)),"")</f>
        <v>73.2</v>
      </c>
      <c r="U218" s="1">
        <f>+IFERROR(INDEX('Restaurant Base (Hidden)'!$A$2:$Z$1048576,MATCH($C218,'Restaurant Base (Hidden)'!$C$2:$C$1048576,0),MATCH(U$6,'Restaurant Base (Hidden)'!$A$1:$Z$1,0)),"")</f>
        <v>5</v>
      </c>
      <c r="V218" s="2" t="str">
        <f>+IFERROR(INDEX('Restaurant Base (Hidden)'!$A$2:$Z$1048576,MATCH($C218,'Restaurant Base (Hidden)'!$C$2:$C$1048576,0),MATCH(V$6,'Restaurant Base (Hidden)'!$A$1:$Z$1,0)),"")</f>
        <v/>
      </c>
      <c r="W218" s="65" t="str">
        <f>+IFERROR(INDEX('Restaurant Base (Hidden)'!$A$2:$Z$1048576,MATCH($C218,'Restaurant Base (Hidden)'!$C$2:$C$1048576,0),MATCH(W$6,'Restaurant Base (Hidden)'!$A$1:$Z$1,0)),"")</f>
        <v>56,80 %</v>
      </c>
      <c r="X218" s="1">
        <f>+IFERROR(INDEX('Restaurant Base (Hidden)'!$A$2:$Z$1048576,MATCH($C218,'Restaurant Base (Hidden)'!$C$2:$C$1048576,0),MATCH(X$6,'Restaurant Base (Hidden)'!$A$1:$Z$1,0)),"")</f>
        <v>1</v>
      </c>
      <c r="Y218" s="65" t="str">
        <f>+IFERROR(INDEX('Restaurant Base (Hidden)'!$A$2:$Z$1048576,MATCH($C218,'Restaurant Base (Hidden)'!$C$2:$C$1048576,0),MATCH(Y$6,'Restaurant Base (Hidden)'!$A$1:$Z$1,0)),"")</f>
        <v>60,70 %</v>
      </c>
      <c r="Z218" s="106">
        <f>+IFERROR(INDEX('Restaurant Base (Hidden)'!$A$2:$Z$1048576,MATCH($C218,'Restaurant Base (Hidden)'!$C$2:$C$1048576,0),MATCH(Z$6,'Restaurant Base (Hidden)'!$A$1:$Z$1,0)),"")</f>
        <v>2</v>
      </c>
      <c r="AA218" s="65" t="str">
        <f>+IFERROR(INDEX('Restaurant Base (Hidden)'!$A$2:$Z$1048576,MATCH($C218,'Restaurant Base (Hidden)'!$C$2:$C$1048576,0),MATCH(AA$6,'Restaurant Base (Hidden)'!$A$1:$Z$1,0)),"")</f>
        <v>94,70 %</v>
      </c>
      <c r="AB218" s="1">
        <f>+IFERROR(INDEX('Restaurant Base (Hidden)'!$A$2:$Z$1048576,MATCH($C218,'Restaurant Base (Hidden)'!$C$2:$C$1048576,0),MATCH(AB$6,'Restaurant Base (Hidden)'!$A$1:$Z$1,0)),"")</f>
        <v>3</v>
      </c>
      <c r="AC218" s="20" t="str">
        <f>+IFERROR(INDEX('Restaurant Base (Hidden)'!$A$2:$Z$1048576,MATCH($C218,'Restaurant Base (Hidden)'!$C$2:$C$1048576,0),MATCH(AC$6,'Restaurant Base (Hidden)'!$A$1:$Z$1,0)),"")</f>
        <v/>
      </c>
      <c r="AD218" s="65" t="str">
        <f>+IFERROR(INDEX('Restaurant Base (Hidden)'!$A$2:$Z$1048576,MATCH($C218,'Restaurant Base (Hidden)'!$C$2:$C$1048576,0),MATCH(AD$6,'Restaurant Base (Hidden)'!$A$1:$Z$1,0)),"")</f>
        <v>58,40 %</v>
      </c>
      <c r="AE218" s="1">
        <f>+IFERROR(INDEX('Restaurant Base (Hidden)'!$A$2:$Z$1048576,MATCH($C218,'Restaurant Base (Hidden)'!$C$2:$C$1048576,0),MATCH(AE$6,'Restaurant Base (Hidden)'!$A$1:$Z$1,0)),"")</f>
        <v>1</v>
      </c>
      <c r="AF218" s="65" t="str">
        <f>+IFERROR(INDEX('Restaurant Base (Hidden)'!$A$2:$Z$1048576,MATCH($C218,'Restaurant Base (Hidden)'!$C$2:$C$1048576,0),MATCH(AF$6,'Restaurant Base (Hidden)'!$A$1:$Z$1,0)),"")</f>
        <v>64,40 %</v>
      </c>
      <c r="AG218" s="1">
        <f>+IFERROR(INDEX('Restaurant Base (Hidden)'!$A$2:$Z$1048576,MATCH($C218,'Restaurant Base (Hidden)'!$C$2:$C$1048576,0),MATCH(AG$6,'Restaurant Base (Hidden)'!$A$1:$Z$1,0)),"")</f>
        <v>1</v>
      </c>
    </row>
    <row r="219" spans="1:33" x14ac:dyDescent="0.4">
      <c r="A219" s="163" t="str">
        <f>IF('Restaurant Base (Hidden)'!A27=0,"", 'Restaurant Base (Hidden)'!A27)</f>
        <v>Marlowe Ellington</v>
      </c>
      <c r="B219" s="163" t="str">
        <f>IF('Restaurant Base (Hidden)'!B27=0,"", 'Restaurant Base (Hidden)'!B27)</f>
        <v>Meadowgate Hospitality</v>
      </c>
      <c r="C219" s="163" t="str">
        <f>IF('Restaurant Base (Hidden)'!C27=0,"", 'Restaurant Base (Hidden)'!C27)</f>
        <v>Cedar Way</v>
      </c>
      <c r="D219" s="104">
        <f t="shared" si="3"/>
        <v>212</v>
      </c>
      <c r="E219" s="105">
        <f>+IFERROR(INDEX('Restaurant Base (Hidden)'!$A$2:$Z$1048576,MATCH($C219,'Restaurant Base (Hidden)'!$C$2:$C$1048576,0),MATCH(E$6,'Restaurant Base (Hidden)'!$A$1:$Z$1,0)),"")</f>
        <v>2.97</v>
      </c>
      <c r="F219" s="64" t="str">
        <f>+IFERROR(INDEX('Restaurant Base (Hidden)'!$A$2:$Z$1048576,MATCH($C219,'Restaurant Base (Hidden)'!$C$2:$C$1048576,0),MATCH(F$6,'Restaurant Base (Hidden)'!$A$1:$Z$1,0)),"")</f>
        <v/>
      </c>
      <c r="G219" s="20" t="str">
        <f>+IFERROR(INDEX('Restaurant Base (Hidden)'!$A$2:$Z$1048576,MATCH($C219,'Restaurant Base (Hidden)'!$C$2:$C$1048576,0),MATCH(G$6,'Restaurant Base (Hidden)'!$A$1:$Z$1,0)),"")</f>
        <v>4,210</v>
      </c>
      <c r="H219" s="50">
        <f>+IFERROR(INDEX('Restaurant Base (Hidden)'!$A$2:$Z$1048576,MATCH($C219,'Restaurant Base (Hidden)'!$C$2:$C$1048576,0),MATCH(H$6,'Restaurant Base (Hidden)'!$A$1:$Z$1,0)),"")</f>
        <v>3</v>
      </c>
      <c r="I219" s="20" t="str">
        <f>+IFERROR(INDEX('Restaurant Base (Hidden)'!$A$2:$Z$1048576,MATCH($C219,'Restaurant Base (Hidden)'!$C$2:$C$1048576,0),MATCH(I$6,'Restaurant Base (Hidden)'!$A$1:$Z$1,0)),"")</f>
        <v>74,60 %</v>
      </c>
      <c r="J219" s="49">
        <f>+IFERROR(INDEX('Restaurant Base (Hidden)'!$A$2:$Z$1048576,MATCH($C219,'Restaurant Base (Hidden)'!$C$2:$C$1048576,0),MATCH(J$6,'Restaurant Base (Hidden)'!$A$1:$Z$1,0)),"")</f>
        <v>1</v>
      </c>
      <c r="K219" s="20" t="str">
        <f>+IFERROR(INDEX('Restaurant Base (Hidden)'!$A$2:$Z$1048576,MATCH($C219,'Restaurant Base (Hidden)'!$C$2:$C$1048576,0),MATCH(K$6,'Restaurant Base (Hidden)'!$A$1:$Z$1,0)),"")</f>
        <v>0,215</v>
      </c>
      <c r="L219" s="51">
        <f>+IFERROR(INDEX('Restaurant Base (Hidden)'!$A$2:$Z$1048576,MATCH($C219,'Restaurant Base (Hidden)'!$C$2:$C$1048576,0),MATCH(L$6,'Restaurant Base (Hidden)'!$A$1:$Z$1,0)),"")</f>
        <v>1</v>
      </c>
      <c r="M219" s="2" t="str">
        <f>+IFERROR(INDEX('Restaurant Base (Hidden)'!$A$2:$Z$1048576,MATCH($C219,'Restaurant Base (Hidden)'!$C$2:$C$1048576,0),MATCH(M$6,'Restaurant Base (Hidden)'!$A$1:$Z$1,0)),"")</f>
        <v/>
      </c>
      <c r="N219" s="234" t="str">
        <f>+IFERROR(INDEX('Restaurant Base (Hidden)'!$A$2:$Z$1048576,MATCH($C219,'Restaurant Base (Hidden)'!$C$2:$C$1048576,0),MATCH(N$6,'Restaurant Base (Hidden)'!$A$1:$Z$1,0)),"")</f>
        <v>74,60 %</v>
      </c>
      <c r="O219" s="1">
        <f>+IFERROR(INDEX('Restaurant Base (Hidden)'!$A$2:$Z$1048576,MATCH($C219,'Restaurant Base (Hidden)'!$C$2:$C$1048576,0),MATCH(O$6,'Restaurant Base (Hidden)'!$A$1:$Z$1,0)),"")</f>
        <v>5</v>
      </c>
      <c r="P219" s="2" t="str">
        <f>+IFERROR(INDEX('Restaurant Base (Hidden)'!$A$2:$Z$1048576,MATCH($C219,'Restaurant Base (Hidden)'!$C$2:$C$1048576,0),MATCH(P$6,'Restaurant Base (Hidden)'!$A$1:$Z$1,0)),"")</f>
        <v/>
      </c>
      <c r="Q219" s="234" t="str">
        <f>+IFERROR(INDEX('Restaurant Base (Hidden)'!$A$2:$Z$1048576,MATCH($C219,'Restaurant Base (Hidden)'!$C$2:$C$1048576,0),MATCH(Q$6,'Restaurant Base (Hidden)'!$A$1:$Z$1,0)),"")</f>
        <v>77,10 %</v>
      </c>
      <c r="R219" s="1">
        <f>+IFERROR(INDEX('Restaurant Base (Hidden)'!$A$2:$Z$1048576,MATCH($C219,'Restaurant Base (Hidden)'!$C$2:$C$1048576,0),MATCH(R$6,'Restaurant Base (Hidden)'!$A$1:$Z$1,0)),"")</f>
        <v>5</v>
      </c>
      <c r="S219" s="2" t="str">
        <f>+IFERROR(INDEX('Restaurant Base (Hidden)'!$A$2:$Z$1048576,MATCH($C219,'Restaurant Base (Hidden)'!$C$2:$C$1048576,0),MATCH(S$6,'Restaurant Base (Hidden)'!$A$1:$Z$1,0)),"")</f>
        <v/>
      </c>
      <c r="T219" s="62">
        <f>+IFERROR(INDEX('Restaurant Base (Hidden)'!$A$2:$Z$1048576,MATCH($C219,'Restaurant Base (Hidden)'!$C$2:$C$1048576,0),MATCH(T$6,'Restaurant Base (Hidden)'!$A$1:$Z$1,0)),"")</f>
        <v>67.099999999999994</v>
      </c>
      <c r="U219" s="1">
        <f>+IFERROR(INDEX('Restaurant Base (Hidden)'!$A$2:$Z$1048576,MATCH($C219,'Restaurant Base (Hidden)'!$C$2:$C$1048576,0),MATCH(U$6,'Restaurant Base (Hidden)'!$A$1:$Z$1,0)),"")</f>
        <v>4</v>
      </c>
      <c r="V219" s="2" t="str">
        <f>+IFERROR(INDEX('Restaurant Base (Hidden)'!$A$2:$Z$1048576,MATCH($C219,'Restaurant Base (Hidden)'!$C$2:$C$1048576,0),MATCH(V$6,'Restaurant Base (Hidden)'!$A$1:$Z$1,0)),"")</f>
        <v/>
      </c>
      <c r="W219" s="65" t="str">
        <f>+IFERROR(INDEX('Restaurant Base (Hidden)'!$A$2:$Z$1048576,MATCH($C219,'Restaurant Base (Hidden)'!$C$2:$C$1048576,0),MATCH(W$6,'Restaurant Base (Hidden)'!$A$1:$Z$1,0)),"")</f>
        <v>84,70 %</v>
      </c>
      <c r="X219" s="1">
        <f>+IFERROR(INDEX('Restaurant Base (Hidden)'!$A$2:$Z$1048576,MATCH($C219,'Restaurant Base (Hidden)'!$C$2:$C$1048576,0),MATCH(X$6,'Restaurant Base (Hidden)'!$A$1:$Z$1,0)),"")</f>
        <v>3</v>
      </c>
      <c r="Y219" s="65" t="str">
        <f>+IFERROR(INDEX('Restaurant Base (Hidden)'!$A$2:$Z$1048576,MATCH($C219,'Restaurant Base (Hidden)'!$C$2:$C$1048576,0),MATCH(Y$6,'Restaurant Base (Hidden)'!$A$1:$Z$1,0)),"")</f>
        <v>73,70 %</v>
      </c>
      <c r="Z219" s="106">
        <f>+IFERROR(INDEX('Restaurant Base (Hidden)'!$A$2:$Z$1048576,MATCH($C219,'Restaurant Base (Hidden)'!$C$2:$C$1048576,0),MATCH(Z$6,'Restaurant Base (Hidden)'!$A$1:$Z$1,0)),"")</f>
        <v>2</v>
      </c>
      <c r="AA219" s="65" t="str">
        <f>+IFERROR(INDEX('Restaurant Base (Hidden)'!$A$2:$Z$1048576,MATCH($C219,'Restaurant Base (Hidden)'!$C$2:$C$1048576,0),MATCH(AA$6,'Restaurant Base (Hidden)'!$A$1:$Z$1,0)),"")</f>
        <v>87,70 %</v>
      </c>
      <c r="AB219" s="1">
        <f>+IFERROR(INDEX('Restaurant Base (Hidden)'!$A$2:$Z$1048576,MATCH($C219,'Restaurant Base (Hidden)'!$C$2:$C$1048576,0),MATCH(AB$6,'Restaurant Base (Hidden)'!$A$1:$Z$1,0)),"")</f>
        <v>3</v>
      </c>
      <c r="AC219" s="20" t="str">
        <f>+IFERROR(INDEX('Restaurant Base (Hidden)'!$A$2:$Z$1048576,MATCH($C219,'Restaurant Base (Hidden)'!$C$2:$C$1048576,0),MATCH(AC$6,'Restaurant Base (Hidden)'!$A$1:$Z$1,0)),"")</f>
        <v/>
      </c>
      <c r="AD219" s="65" t="str">
        <f>+IFERROR(INDEX('Restaurant Base (Hidden)'!$A$2:$Z$1048576,MATCH($C219,'Restaurant Base (Hidden)'!$C$2:$C$1048576,0),MATCH(AD$6,'Restaurant Base (Hidden)'!$A$1:$Z$1,0)),"")</f>
        <v>73,30 %</v>
      </c>
      <c r="AE219" s="1">
        <f>+IFERROR(INDEX('Restaurant Base (Hidden)'!$A$2:$Z$1048576,MATCH($C219,'Restaurant Base (Hidden)'!$C$2:$C$1048576,0),MATCH(AE$6,'Restaurant Base (Hidden)'!$A$1:$Z$1,0)),"")</f>
        <v>2</v>
      </c>
      <c r="AF219" s="65" t="str">
        <f>+IFERROR(INDEX('Restaurant Base (Hidden)'!$A$2:$Z$1048576,MATCH($C219,'Restaurant Base (Hidden)'!$C$2:$C$1048576,0),MATCH(AF$6,'Restaurant Base (Hidden)'!$A$1:$Z$1,0)),"")</f>
        <v>74,40 %</v>
      </c>
      <c r="AG219" s="1">
        <f>+IFERROR(INDEX('Restaurant Base (Hidden)'!$A$2:$Z$1048576,MATCH($C219,'Restaurant Base (Hidden)'!$C$2:$C$1048576,0),MATCH(AG$6,'Restaurant Base (Hidden)'!$A$1:$Z$1,0)),"")</f>
        <v>1</v>
      </c>
    </row>
    <row r="220" spans="1:33" x14ac:dyDescent="0.4">
      <c r="A220" s="163" t="str">
        <f>IF('Restaurant Base (Hidden)'!A229=0,"", 'Restaurant Base (Hidden)'!A229)</f>
        <v>Dakota Cavendish</v>
      </c>
      <c r="B220" s="163" t="str">
        <f>IF('Restaurant Base (Hidden)'!B229=0,"", 'Restaurant Base (Hidden)'!B229)</f>
        <v>Westfield Food Group</v>
      </c>
      <c r="C220" s="163" t="str">
        <f>IF('Restaurant Base (Hidden)'!C229=0,"", 'Restaurant Base (Hidden)'!C229)</f>
        <v>Silverbrook Crossing</v>
      </c>
      <c r="D220" s="104">
        <f t="shared" si="3"/>
        <v>212</v>
      </c>
      <c r="E220" s="105">
        <f>+IFERROR(INDEX('Restaurant Base (Hidden)'!$A$2:$Z$1048576,MATCH($C220,'Restaurant Base (Hidden)'!$C$2:$C$1048576,0),MATCH(E$6,'Restaurant Base (Hidden)'!$A$1:$Z$1,0)),"")</f>
        <v>2.97</v>
      </c>
      <c r="F220" s="2" t="str">
        <f>+IFERROR(INDEX('Restaurant Base (Hidden)'!$A$2:$Z$1048576,MATCH($C220,'Restaurant Base (Hidden)'!$C$2:$C$1048576,0),MATCH(F$6,'Restaurant Base (Hidden)'!$A$1:$Z$1,0)),"")</f>
        <v/>
      </c>
      <c r="G220" s="20" t="str">
        <f>+IFERROR(INDEX('Restaurant Base (Hidden)'!$A$2:$Z$1048576,MATCH($C220,'Restaurant Base (Hidden)'!$C$2:$C$1048576,0),MATCH(G$6,'Restaurant Base (Hidden)'!$A$1:$Z$1,0)),"")</f>
        <v>4,395</v>
      </c>
      <c r="H220" s="50">
        <f>+IFERROR(INDEX('Restaurant Base (Hidden)'!$A$2:$Z$1048576,MATCH($C220,'Restaurant Base (Hidden)'!$C$2:$C$1048576,0),MATCH(H$6,'Restaurant Base (Hidden)'!$A$1:$Z$1,0)),"")</f>
        <v>4</v>
      </c>
      <c r="I220" s="20" t="str">
        <f>+IFERROR(INDEX('Restaurant Base (Hidden)'!$A$2:$Z$1048576,MATCH($C220,'Restaurant Base (Hidden)'!$C$2:$C$1048576,0),MATCH(I$6,'Restaurant Base (Hidden)'!$A$1:$Z$1,0)),"")</f>
        <v>71,10 %</v>
      </c>
      <c r="J220" s="49">
        <f>+IFERROR(INDEX('Restaurant Base (Hidden)'!$A$2:$Z$1048576,MATCH($C220,'Restaurant Base (Hidden)'!$C$2:$C$1048576,0),MATCH(J$6,'Restaurant Base (Hidden)'!$A$1:$Z$1,0)),"")</f>
        <v>1</v>
      </c>
      <c r="K220" s="20" t="str">
        <f>+IFERROR(INDEX('Restaurant Base (Hidden)'!$A$2:$Z$1048576,MATCH($C220,'Restaurant Base (Hidden)'!$C$2:$C$1048576,0),MATCH(K$6,'Restaurant Base (Hidden)'!$A$1:$Z$1,0)),"")</f>
        <v>0,164</v>
      </c>
      <c r="L220" s="51">
        <f>+IFERROR(INDEX('Restaurant Base (Hidden)'!$A$2:$Z$1048576,MATCH($C220,'Restaurant Base (Hidden)'!$C$2:$C$1048576,0),MATCH(L$6,'Restaurant Base (Hidden)'!$A$1:$Z$1,0)),"")</f>
        <v>2</v>
      </c>
      <c r="M220" s="2" t="str">
        <f>+IFERROR(INDEX('Restaurant Base (Hidden)'!$A$2:$Z$1048576,MATCH($C220,'Restaurant Base (Hidden)'!$C$2:$C$1048576,0),MATCH(M$6,'Restaurant Base (Hidden)'!$A$1:$Z$1,0)),"")</f>
        <v/>
      </c>
      <c r="N220" s="234" t="str">
        <f>+IFERROR(INDEX('Restaurant Base (Hidden)'!$A$2:$Z$1048576,MATCH($C220,'Restaurant Base (Hidden)'!$C$2:$C$1048576,0),MATCH(N$6,'Restaurant Base (Hidden)'!$A$1:$Z$1,0)),"")</f>
        <v>60,30 %</v>
      </c>
      <c r="O220" s="1">
        <f>+IFERROR(INDEX('Restaurant Base (Hidden)'!$A$2:$Z$1048576,MATCH($C220,'Restaurant Base (Hidden)'!$C$2:$C$1048576,0),MATCH(O$6,'Restaurant Base (Hidden)'!$A$1:$Z$1,0)),"")</f>
        <v>2</v>
      </c>
      <c r="P220" s="2" t="str">
        <f>+IFERROR(INDEX('Restaurant Base (Hidden)'!$A$2:$Z$1048576,MATCH($C220,'Restaurant Base (Hidden)'!$C$2:$C$1048576,0),MATCH(P$6,'Restaurant Base (Hidden)'!$A$1:$Z$1,0)),"")</f>
        <v/>
      </c>
      <c r="Q220" s="234" t="str">
        <f>+IFERROR(INDEX('Restaurant Base (Hidden)'!$A$2:$Z$1048576,MATCH($C220,'Restaurant Base (Hidden)'!$C$2:$C$1048576,0),MATCH(Q$6,'Restaurant Base (Hidden)'!$A$1:$Z$1,0)),"")</f>
        <v>93,40 %</v>
      </c>
      <c r="R220" s="1">
        <f>+IFERROR(INDEX('Restaurant Base (Hidden)'!$A$2:$Z$1048576,MATCH($C220,'Restaurant Base (Hidden)'!$C$2:$C$1048576,0),MATCH(R$6,'Restaurant Base (Hidden)'!$A$1:$Z$1,0)),"")</f>
        <v>5</v>
      </c>
      <c r="S220" s="2" t="str">
        <f>+IFERROR(INDEX('Restaurant Base (Hidden)'!$A$2:$Z$1048576,MATCH($C220,'Restaurant Base (Hidden)'!$C$2:$C$1048576,0),MATCH(S$6,'Restaurant Base (Hidden)'!$A$1:$Z$1,0)),"")</f>
        <v/>
      </c>
      <c r="T220" s="62">
        <f>+IFERROR(INDEX('Restaurant Base (Hidden)'!$A$2:$Z$1048576,MATCH($C220,'Restaurant Base (Hidden)'!$C$2:$C$1048576,0),MATCH(T$6,'Restaurant Base (Hidden)'!$A$1:$Z$1,0)),"")</f>
        <v>54</v>
      </c>
      <c r="U220" s="1">
        <f>+IFERROR(INDEX('Restaurant Base (Hidden)'!$A$2:$Z$1048576,MATCH($C220,'Restaurant Base (Hidden)'!$C$2:$C$1048576,0),MATCH(U$6,'Restaurant Base (Hidden)'!$A$1:$Z$1,0)),"")</f>
        <v>1</v>
      </c>
      <c r="V220" s="2" t="str">
        <f>+IFERROR(INDEX('Restaurant Base (Hidden)'!$A$2:$Z$1048576,MATCH($C220,'Restaurant Base (Hidden)'!$C$2:$C$1048576,0),MATCH(V$6,'Restaurant Base (Hidden)'!$A$1:$Z$1,0)),"")</f>
        <v/>
      </c>
      <c r="W220" s="65" t="str">
        <f>+IFERROR(INDEX('Restaurant Base (Hidden)'!$A$2:$Z$1048576,MATCH($C220,'Restaurant Base (Hidden)'!$C$2:$C$1048576,0),MATCH(W$6,'Restaurant Base (Hidden)'!$A$1:$Z$1,0)),"")</f>
        <v>93,20 %</v>
      </c>
      <c r="X220" s="1">
        <f>+IFERROR(INDEX('Restaurant Base (Hidden)'!$A$2:$Z$1048576,MATCH($C220,'Restaurant Base (Hidden)'!$C$2:$C$1048576,0),MATCH(X$6,'Restaurant Base (Hidden)'!$A$1:$Z$1,0)),"")</f>
        <v>4</v>
      </c>
      <c r="Y220" s="65" t="str">
        <f>+IFERROR(INDEX('Restaurant Base (Hidden)'!$A$2:$Z$1048576,MATCH($C220,'Restaurant Base (Hidden)'!$C$2:$C$1048576,0),MATCH(Y$6,'Restaurant Base (Hidden)'!$A$1:$Z$1,0)),"")</f>
        <v>86,10 %</v>
      </c>
      <c r="Z220" s="106">
        <f>+IFERROR(INDEX('Restaurant Base (Hidden)'!$A$2:$Z$1048576,MATCH($C220,'Restaurant Base (Hidden)'!$C$2:$C$1048576,0),MATCH(Z$6,'Restaurant Base (Hidden)'!$A$1:$Z$1,0)),"")</f>
        <v>3</v>
      </c>
      <c r="AA220" s="65" t="str">
        <f>+IFERROR(INDEX('Restaurant Base (Hidden)'!$A$2:$Z$1048576,MATCH($C220,'Restaurant Base (Hidden)'!$C$2:$C$1048576,0),MATCH(AA$6,'Restaurant Base (Hidden)'!$A$1:$Z$1,0)),"")</f>
        <v>70,90 %</v>
      </c>
      <c r="AB220" s="1">
        <f>+IFERROR(INDEX('Restaurant Base (Hidden)'!$A$2:$Z$1048576,MATCH($C220,'Restaurant Base (Hidden)'!$C$2:$C$1048576,0),MATCH(AB$6,'Restaurant Base (Hidden)'!$A$1:$Z$1,0)),"")</f>
        <v>2</v>
      </c>
      <c r="AC220" s="20" t="str">
        <f>+IFERROR(INDEX('Restaurant Base (Hidden)'!$A$2:$Z$1048576,MATCH($C220,'Restaurant Base (Hidden)'!$C$2:$C$1048576,0),MATCH(AC$6,'Restaurant Base (Hidden)'!$A$1:$Z$1,0)),"")</f>
        <v/>
      </c>
      <c r="AD220" s="65" t="str">
        <f>+IFERROR(INDEX('Restaurant Base (Hidden)'!$A$2:$Z$1048576,MATCH($C220,'Restaurant Base (Hidden)'!$C$2:$C$1048576,0),MATCH(AD$6,'Restaurant Base (Hidden)'!$A$1:$Z$1,0)),"")</f>
        <v>97,20 %</v>
      </c>
      <c r="AE220" s="1">
        <f>+IFERROR(INDEX('Restaurant Base (Hidden)'!$A$2:$Z$1048576,MATCH($C220,'Restaurant Base (Hidden)'!$C$2:$C$1048576,0),MATCH(AE$6,'Restaurant Base (Hidden)'!$A$1:$Z$1,0)),"")</f>
        <v>5</v>
      </c>
      <c r="AF220" s="65" t="str">
        <f>+IFERROR(INDEX('Restaurant Base (Hidden)'!$A$2:$Z$1048576,MATCH($C220,'Restaurant Base (Hidden)'!$C$2:$C$1048576,0),MATCH(AF$6,'Restaurant Base (Hidden)'!$A$1:$Z$1,0)),"")</f>
        <v>96,70 %</v>
      </c>
      <c r="AG220" s="1">
        <f>+IFERROR(INDEX('Restaurant Base (Hidden)'!$A$2:$Z$1048576,MATCH($C220,'Restaurant Base (Hidden)'!$C$2:$C$1048576,0),MATCH(AG$6,'Restaurant Base (Hidden)'!$A$1:$Z$1,0)),"")</f>
        <v>4</v>
      </c>
    </row>
    <row r="221" spans="1:33" x14ac:dyDescent="0.4">
      <c r="A221" s="163" t="str">
        <f>IF('Restaurant Base (Hidden)'!A363=0,"", 'Restaurant Base (Hidden)'!A363)</f>
        <v>Morgan Rivington</v>
      </c>
      <c r="B221" s="163" t="str">
        <f>IF('Restaurant Base (Hidden)'!B363=0,"", 'Restaurant Base (Hidden)'!B363)</f>
        <v>Bluecrest Food Partners</v>
      </c>
      <c r="C221" s="163" t="str">
        <f>IF('Restaurant Base (Hidden)'!C363=0,"", 'Restaurant Base (Hidden)'!C363)</f>
        <v>Greenfield Commons</v>
      </c>
      <c r="D221" s="104">
        <f t="shared" si="3"/>
        <v>212</v>
      </c>
      <c r="E221" s="105">
        <f>+IFERROR(INDEX('Restaurant Base (Hidden)'!$A$2:$Z$1048576,MATCH($C221,'Restaurant Base (Hidden)'!$C$2:$C$1048576,0),MATCH(E$6,'Restaurant Base (Hidden)'!$A$1:$Z$1,0)),"")</f>
        <v>2.97</v>
      </c>
      <c r="F221" s="2" t="str">
        <f>+IFERROR(INDEX('Restaurant Base (Hidden)'!$A$2:$Z$1048576,MATCH($C221,'Restaurant Base (Hidden)'!$C$2:$C$1048576,0),MATCH(F$6,'Restaurant Base (Hidden)'!$A$1:$Z$1,0)),"")</f>
        <v/>
      </c>
      <c r="G221" s="20" t="str">
        <f>+IFERROR(INDEX('Restaurant Base (Hidden)'!$A$2:$Z$1048576,MATCH($C221,'Restaurant Base (Hidden)'!$C$2:$C$1048576,0),MATCH(G$6,'Restaurant Base (Hidden)'!$A$1:$Z$1,0)),"")</f>
        <v>4,583</v>
      </c>
      <c r="H221" s="50">
        <f>+IFERROR(INDEX('Restaurant Base (Hidden)'!$A$2:$Z$1048576,MATCH($C221,'Restaurant Base (Hidden)'!$C$2:$C$1048576,0),MATCH(H$6,'Restaurant Base (Hidden)'!$A$1:$Z$1,0)),"")</f>
        <v>5</v>
      </c>
      <c r="I221" s="20" t="str">
        <f>+IFERROR(INDEX('Restaurant Base (Hidden)'!$A$2:$Z$1048576,MATCH($C221,'Restaurant Base (Hidden)'!$C$2:$C$1048576,0),MATCH(I$6,'Restaurant Base (Hidden)'!$A$1:$Z$1,0)),"")</f>
        <v>67,40 %</v>
      </c>
      <c r="J221" s="49">
        <f>+IFERROR(INDEX('Restaurant Base (Hidden)'!$A$2:$Z$1048576,MATCH($C221,'Restaurant Base (Hidden)'!$C$2:$C$1048576,0),MATCH(J$6,'Restaurant Base (Hidden)'!$A$1:$Z$1,0)),"")</f>
        <v>1</v>
      </c>
      <c r="K221" s="20" t="str">
        <f>+IFERROR(INDEX('Restaurant Base (Hidden)'!$A$2:$Z$1048576,MATCH($C221,'Restaurant Base (Hidden)'!$C$2:$C$1048576,0),MATCH(K$6,'Restaurant Base (Hidden)'!$A$1:$Z$1,0)),"")</f>
        <v>0,101</v>
      </c>
      <c r="L221" s="51">
        <f>+IFERROR(INDEX('Restaurant Base (Hidden)'!$A$2:$Z$1048576,MATCH($C221,'Restaurant Base (Hidden)'!$C$2:$C$1048576,0),MATCH(L$6,'Restaurant Base (Hidden)'!$A$1:$Z$1,0)),"")</f>
        <v>3</v>
      </c>
      <c r="M221" s="2" t="str">
        <f>+IFERROR(INDEX('Restaurant Base (Hidden)'!$A$2:$Z$1048576,MATCH($C221,'Restaurant Base (Hidden)'!$C$2:$C$1048576,0),MATCH(M$6,'Restaurant Base (Hidden)'!$A$1:$Z$1,0)),"")</f>
        <v/>
      </c>
      <c r="N221" s="234" t="str">
        <f>+IFERROR(INDEX('Restaurant Base (Hidden)'!$A$2:$Z$1048576,MATCH($C221,'Restaurant Base (Hidden)'!$C$2:$C$1048576,0),MATCH(N$6,'Restaurant Base (Hidden)'!$A$1:$Z$1,0)),"")</f>
        <v>78,00 %</v>
      </c>
      <c r="O221" s="1">
        <f>+IFERROR(INDEX('Restaurant Base (Hidden)'!$A$2:$Z$1048576,MATCH($C221,'Restaurant Base (Hidden)'!$C$2:$C$1048576,0),MATCH(O$6,'Restaurant Base (Hidden)'!$A$1:$Z$1,0)),"")</f>
        <v>5</v>
      </c>
      <c r="P221" s="2" t="str">
        <f>+IFERROR(INDEX('Restaurant Base (Hidden)'!$A$2:$Z$1048576,MATCH($C221,'Restaurant Base (Hidden)'!$C$2:$C$1048576,0),MATCH(P$6,'Restaurant Base (Hidden)'!$A$1:$Z$1,0)),"")</f>
        <v/>
      </c>
      <c r="Q221" s="234" t="str">
        <f>+IFERROR(INDEX('Restaurant Base (Hidden)'!$A$2:$Z$1048576,MATCH($C221,'Restaurant Base (Hidden)'!$C$2:$C$1048576,0),MATCH(Q$6,'Restaurant Base (Hidden)'!$A$1:$Z$1,0)),"")</f>
        <v>68,60 %</v>
      </c>
      <c r="R221" s="1">
        <f>+IFERROR(INDEX('Restaurant Base (Hidden)'!$A$2:$Z$1048576,MATCH($C221,'Restaurant Base (Hidden)'!$C$2:$C$1048576,0),MATCH(R$6,'Restaurant Base (Hidden)'!$A$1:$Z$1,0)),"")</f>
        <v>3</v>
      </c>
      <c r="S221" s="2" t="str">
        <f>+IFERROR(INDEX('Restaurant Base (Hidden)'!$A$2:$Z$1048576,MATCH($C221,'Restaurant Base (Hidden)'!$C$2:$C$1048576,0),MATCH(S$6,'Restaurant Base (Hidden)'!$A$1:$Z$1,0)),"")</f>
        <v/>
      </c>
      <c r="T221" s="62">
        <f>+IFERROR(INDEX('Restaurant Base (Hidden)'!$A$2:$Z$1048576,MATCH($C221,'Restaurant Base (Hidden)'!$C$2:$C$1048576,0),MATCH(T$6,'Restaurant Base (Hidden)'!$A$1:$Z$1,0)),"")</f>
        <v>77.099999999999994</v>
      </c>
      <c r="U221" s="1">
        <f>+IFERROR(INDEX('Restaurant Base (Hidden)'!$A$2:$Z$1048576,MATCH($C221,'Restaurant Base (Hidden)'!$C$2:$C$1048576,0),MATCH(U$6,'Restaurant Base (Hidden)'!$A$1:$Z$1,0)),"")</f>
        <v>5</v>
      </c>
      <c r="V221" s="2" t="str">
        <f>+IFERROR(INDEX('Restaurant Base (Hidden)'!$A$2:$Z$1048576,MATCH($C221,'Restaurant Base (Hidden)'!$C$2:$C$1048576,0),MATCH(V$6,'Restaurant Base (Hidden)'!$A$1:$Z$1,0)),"")</f>
        <v/>
      </c>
      <c r="W221" s="65" t="str">
        <f>+IFERROR(INDEX('Restaurant Base (Hidden)'!$A$2:$Z$1048576,MATCH($C221,'Restaurant Base (Hidden)'!$C$2:$C$1048576,0),MATCH(W$6,'Restaurant Base (Hidden)'!$A$1:$Z$1,0)),"")</f>
        <v>62,40 %</v>
      </c>
      <c r="X221" s="1">
        <f>+IFERROR(INDEX('Restaurant Base (Hidden)'!$A$2:$Z$1048576,MATCH($C221,'Restaurant Base (Hidden)'!$C$2:$C$1048576,0),MATCH(X$6,'Restaurant Base (Hidden)'!$A$1:$Z$1,0)),"")</f>
        <v>2</v>
      </c>
      <c r="Y221" s="65" t="str">
        <f>+IFERROR(INDEX('Restaurant Base (Hidden)'!$A$2:$Z$1048576,MATCH($C221,'Restaurant Base (Hidden)'!$C$2:$C$1048576,0),MATCH(Y$6,'Restaurant Base (Hidden)'!$A$1:$Z$1,0)),"")</f>
        <v>73,80 %</v>
      </c>
      <c r="Z221" s="106">
        <f>+IFERROR(INDEX('Restaurant Base (Hidden)'!$A$2:$Z$1048576,MATCH($C221,'Restaurant Base (Hidden)'!$C$2:$C$1048576,0),MATCH(Z$6,'Restaurant Base (Hidden)'!$A$1:$Z$1,0)),"")</f>
        <v>2</v>
      </c>
      <c r="AA221" s="65" t="str">
        <f>+IFERROR(INDEX('Restaurant Base (Hidden)'!$A$2:$Z$1048576,MATCH($C221,'Restaurant Base (Hidden)'!$C$2:$C$1048576,0),MATCH(AA$6,'Restaurant Base (Hidden)'!$A$1:$Z$1,0)),"")</f>
        <v>65,50 %</v>
      </c>
      <c r="AB221" s="1">
        <f>+IFERROR(INDEX('Restaurant Base (Hidden)'!$A$2:$Z$1048576,MATCH($C221,'Restaurant Base (Hidden)'!$C$2:$C$1048576,0),MATCH(AB$6,'Restaurant Base (Hidden)'!$A$1:$Z$1,0)),"")</f>
        <v>2</v>
      </c>
      <c r="AC221" s="20" t="str">
        <f>+IFERROR(INDEX('Restaurant Base (Hidden)'!$A$2:$Z$1048576,MATCH($C221,'Restaurant Base (Hidden)'!$C$2:$C$1048576,0),MATCH(AC$6,'Restaurant Base (Hidden)'!$A$1:$Z$1,0)),"")</f>
        <v/>
      </c>
      <c r="AD221" s="65" t="str">
        <f>+IFERROR(INDEX('Restaurant Base (Hidden)'!$A$2:$Z$1048576,MATCH($C221,'Restaurant Base (Hidden)'!$C$2:$C$1048576,0),MATCH(AD$6,'Restaurant Base (Hidden)'!$A$1:$Z$1,0)),"")</f>
        <v>72,20 %</v>
      </c>
      <c r="AE221" s="1">
        <f>+IFERROR(INDEX('Restaurant Base (Hidden)'!$A$2:$Z$1048576,MATCH($C221,'Restaurant Base (Hidden)'!$C$2:$C$1048576,0),MATCH(AE$6,'Restaurant Base (Hidden)'!$A$1:$Z$1,0)),"")</f>
        <v>2</v>
      </c>
      <c r="AF221" s="65" t="str">
        <f>+IFERROR(INDEX('Restaurant Base (Hidden)'!$A$2:$Z$1048576,MATCH($C221,'Restaurant Base (Hidden)'!$C$2:$C$1048576,0),MATCH(AF$6,'Restaurant Base (Hidden)'!$A$1:$Z$1,0)),"")</f>
        <v>66,20 %</v>
      </c>
      <c r="AG221" s="1">
        <f>+IFERROR(INDEX('Restaurant Base (Hidden)'!$A$2:$Z$1048576,MATCH($C221,'Restaurant Base (Hidden)'!$C$2:$C$1048576,0),MATCH(AG$6,'Restaurant Base (Hidden)'!$A$1:$Z$1,0)),"")</f>
        <v>1</v>
      </c>
    </row>
    <row r="222" spans="1:33" x14ac:dyDescent="0.4">
      <c r="A222" s="163" t="str">
        <f>IF('Restaurant Base (Hidden)'!A10=0,"", 'Restaurant Base (Hidden)'!A10)</f>
        <v>Hayden Merriton</v>
      </c>
      <c r="B222" s="163" t="str">
        <f>IF('Restaurant Base (Hidden)'!B10=0,"", 'Restaurant Base (Hidden)'!B10)</f>
        <v>Evercrest Restaurants</v>
      </c>
      <c r="C222" s="163" t="str">
        <f>IF('Restaurant Base (Hidden)'!C10=0,"", 'Restaurant Base (Hidden)'!C10)</f>
        <v>Brook Junction</v>
      </c>
      <c r="D222" s="104">
        <f t="shared" si="3"/>
        <v>216</v>
      </c>
      <c r="E222" s="105">
        <f>+IFERROR(INDEX('Restaurant Base (Hidden)'!$A$2:$Z$1048576,MATCH($C222,'Restaurant Base (Hidden)'!$C$2:$C$1048576,0),MATCH(E$6,'Restaurant Base (Hidden)'!$A$1:$Z$1,0)),"")</f>
        <v>2.96</v>
      </c>
      <c r="F222" s="64" t="str">
        <f>+IFERROR(INDEX('Restaurant Base (Hidden)'!$A$2:$Z$1048576,MATCH($C222,'Restaurant Base (Hidden)'!$C$2:$C$1048576,0),MATCH(F$6,'Restaurant Base (Hidden)'!$A$1:$Z$1,0)),"")</f>
        <v/>
      </c>
      <c r="G222" s="20" t="str">
        <f>+IFERROR(INDEX('Restaurant Base (Hidden)'!$A$2:$Z$1048576,MATCH($C222,'Restaurant Base (Hidden)'!$C$2:$C$1048576,0),MATCH(G$6,'Restaurant Base (Hidden)'!$A$1:$Z$1,0)),"")</f>
        <v>4,432</v>
      </c>
      <c r="H222" s="50">
        <f>+IFERROR(INDEX('Restaurant Base (Hidden)'!$A$2:$Z$1048576,MATCH($C222,'Restaurant Base (Hidden)'!$C$2:$C$1048576,0),MATCH(H$6,'Restaurant Base (Hidden)'!$A$1:$Z$1,0)),"")</f>
        <v>4</v>
      </c>
      <c r="I222" s="20" t="str">
        <f>+IFERROR(INDEX('Restaurant Base (Hidden)'!$A$2:$Z$1048576,MATCH($C222,'Restaurant Base (Hidden)'!$C$2:$C$1048576,0),MATCH(I$6,'Restaurant Base (Hidden)'!$A$1:$Z$1,0)),"")</f>
        <v>95,80 %</v>
      </c>
      <c r="J222" s="49">
        <f>+IFERROR(INDEX('Restaurant Base (Hidden)'!$A$2:$Z$1048576,MATCH($C222,'Restaurant Base (Hidden)'!$C$2:$C$1048576,0),MATCH(J$6,'Restaurant Base (Hidden)'!$A$1:$Z$1,0)),"")</f>
        <v>5</v>
      </c>
      <c r="K222" s="20" t="str">
        <f>+IFERROR(INDEX('Restaurant Base (Hidden)'!$A$2:$Z$1048576,MATCH($C222,'Restaurant Base (Hidden)'!$C$2:$C$1048576,0),MATCH(K$6,'Restaurant Base (Hidden)'!$A$1:$Z$1,0)),"")</f>
        <v>0,159</v>
      </c>
      <c r="L222" s="51">
        <f>+IFERROR(INDEX('Restaurant Base (Hidden)'!$A$2:$Z$1048576,MATCH($C222,'Restaurant Base (Hidden)'!$C$2:$C$1048576,0),MATCH(L$6,'Restaurant Base (Hidden)'!$A$1:$Z$1,0)),"")</f>
        <v>2</v>
      </c>
      <c r="M222" s="2" t="str">
        <f>+IFERROR(INDEX('Restaurant Base (Hidden)'!$A$2:$Z$1048576,MATCH($C222,'Restaurant Base (Hidden)'!$C$2:$C$1048576,0),MATCH(M$6,'Restaurant Base (Hidden)'!$A$1:$Z$1,0)),"")</f>
        <v/>
      </c>
      <c r="N222" s="234" t="str">
        <f>+IFERROR(INDEX('Restaurant Base (Hidden)'!$A$2:$Z$1048576,MATCH($C222,'Restaurant Base (Hidden)'!$C$2:$C$1048576,0),MATCH(N$6,'Restaurant Base (Hidden)'!$A$1:$Z$1,0)),"")</f>
        <v>76,50 %</v>
      </c>
      <c r="O222" s="1">
        <f>+IFERROR(INDEX('Restaurant Base (Hidden)'!$A$2:$Z$1048576,MATCH($C222,'Restaurant Base (Hidden)'!$C$2:$C$1048576,0),MATCH(O$6,'Restaurant Base (Hidden)'!$A$1:$Z$1,0)),"")</f>
        <v>5</v>
      </c>
      <c r="P222" s="2" t="str">
        <f>+IFERROR(INDEX('Restaurant Base (Hidden)'!$A$2:$Z$1048576,MATCH($C222,'Restaurant Base (Hidden)'!$C$2:$C$1048576,0),MATCH(P$6,'Restaurant Base (Hidden)'!$A$1:$Z$1,0)),"")</f>
        <v/>
      </c>
      <c r="Q222" s="234" t="str">
        <f>+IFERROR(INDEX('Restaurant Base (Hidden)'!$A$2:$Z$1048576,MATCH($C222,'Restaurant Base (Hidden)'!$C$2:$C$1048576,0),MATCH(Q$6,'Restaurant Base (Hidden)'!$A$1:$Z$1,0)),"")</f>
        <v>63,00 %</v>
      </c>
      <c r="R222" s="1">
        <f>+IFERROR(INDEX('Restaurant Base (Hidden)'!$A$2:$Z$1048576,MATCH($C222,'Restaurant Base (Hidden)'!$C$2:$C$1048576,0),MATCH(R$6,'Restaurant Base (Hidden)'!$A$1:$Z$1,0)),"")</f>
        <v>2</v>
      </c>
      <c r="S222" s="2" t="str">
        <f>+IFERROR(INDEX('Restaurant Base (Hidden)'!$A$2:$Z$1048576,MATCH($C222,'Restaurant Base (Hidden)'!$C$2:$C$1048576,0),MATCH(S$6,'Restaurant Base (Hidden)'!$A$1:$Z$1,0)),"")</f>
        <v/>
      </c>
      <c r="T222" s="62">
        <f>+IFERROR(INDEX('Restaurant Base (Hidden)'!$A$2:$Z$1048576,MATCH($C222,'Restaurant Base (Hidden)'!$C$2:$C$1048576,0),MATCH(T$6,'Restaurant Base (Hidden)'!$A$1:$Z$1,0)),"")</f>
        <v>57.5</v>
      </c>
      <c r="U222" s="1">
        <f>+IFERROR(INDEX('Restaurant Base (Hidden)'!$A$2:$Z$1048576,MATCH($C222,'Restaurant Base (Hidden)'!$C$2:$C$1048576,0),MATCH(U$6,'Restaurant Base (Hidden)'!$A$1:$Z$1,0)),"")</f>
        <v>2</v>
      </c>
      <c r="V222" s="2" t="str">
        <f>+IFERROR(INDEX('Restaurant Base (Hidden)'!$A$2:$Z$1048576,MATCH($C222,'Restaurant Base (Hidden)'!$C$2:$C$1048576,0),MATCH(V$6,'Restaurant Base (Hidden)'!$A$1:$Z$1,0)),"")</f>
        <v/>
      </c>
      <c r="W222" s="65" t="str">
        <f>+IFERROR(INDEX('Restaurant Base (Hidden)'!$A$2:$Z$1048576,MATCH($C222,'Restaurant Base (Hidden)'!$C$2:$C$1048576,0),MATCH(W$6,'Restaurant Base (Hidden)'!$A$1:$Z$1,0)),"")</f>
        <v>95,90 %</v>
      </c>
      <c r="X222" s="1">
        <f>+IFERROR(INDEX('Restaurant Base (Hidden)'!$A$2:$Z$1048576,MATCH($C222,'Restaurant Base (Hidden)'!$C$2:$C$1048576,0),MATCH(X$6,'Restaurant Base (Hidden)'!$A$1:$Z$1,0)),"")</f>
        <v>4</v>
      </c>
      <c r="Y222" s="65" t="str">
        <f>+IFERROR(INDEX('Restaurant Base (Hidden)'!$A$2:$Z$1048576,MATCH($C222,'Restaurant Base (Hidden)'!$C$2:$C$1048576,0),MATCH(Y$6,'Restaurant Base (Hidden)'!$A$1:$Z$1,0)),"")</f>
        <v>56,60 %</v>
      </c>
      <c r="Z222" s="106">
        <f>+IFERROR(INDEX('Restaurant Base (Hidden)'!$A$2:$Z$1048576,MATCH($C222,'Restaurant Base (Hidden)'!$C$2:$C$1048576,0),MATCH(Z$6,'Restaurant Base (Hidden)'!$A$1:$Z$1,0)),"")</f>
        <v>1</v>
      </c>
      <c r="AA222" s="65" t="str">
        <f>+IFERROR(INDEX('Restaurant Base (Hidden)'!$A$2:$Z$1048576,MATCH($C222,'Restaurant Base (Hidden)'!$C$2:$C$1048576,0),MATCH(AA$6,'Restaurant Base (Hidden)'!$A$1:$Z$1,0)),"")</f>
        <v>87,70 %</v>
      </c>
      <c r="AB222" s="1">
        <f>+IFERROR(INDEX('Restaurant Base (Hidden)'!$A$2:$Z$1048576,MATCH($C222,'Restaurant Base (Hidden)'!$C$2:$C$1048576,0),MATCH(AB$6,'Restaurant Base (Hidden)'!$A$1:$Z$1,0)),"")</f>
        <v>3</v>
      </c>
      <c r="AC222" s="20" t="str">
        <f>+IFERROR(INDEX('Restaurant Base (Hidden)'!$A$2:$Z$1048576,MATCH($C222,'Restaurant Base (Hidden)'!$C$2:$C$1048576,0),MATCH(AC$6,'Restaurant Base (Hidden)'!$A$1:$Z$1,0)),"")</f>
        <v/>
      </c>
      <c r="AD222" s="65" t="str">
        <f>+IFERROR(INDEX('Restaurant Base (Hidden)'!$A$2:$Z$1048576,MATCH($C222,'Restaurant Base (Hidden)'!$C$2:$C$1048576,0),MATCH(AD$6,'Restaurant Base (Hidden)'!$A$1:$Z$1,0)),"")</f>
        <v>55,80 %</v>
      </c>
      <c r="AE222" s="1">
        <f>+IFERROR(INDEX('Restaurant Base (Hidden)'!$A$2:$Z$1048576,MATCH($C222,'Restaurant Base (Hidden)'!$C$2:$C$1048576,0),MATCH(AE$6,'Restaurant Base (Hidden)'!$A$1:$Z$1,0)),"")</f>
        <v>1</v>
      </c>
      <c r="AF222" s="65" t="str">
        <f>+IFERROR(INDEX('Restaurant Base (Hidden)'!$A$2:$Z$1048576,MATCH($C222,'Restaurant Base (Hidden)'!$C$2:$C$1048576,0),MATCH(AF$6,'Restaurant Base (Hidden)'!$A$1:$Z$1,0)),"")</f>
        <v>83,50 %</v>
      </c>
      <c r="AG222" s="1">
        <f>+IFERROR(INDEX('Restaurant Base (Hidden)'!$A$2:$Z$1048576,MATCH($C222,'Restaurant Base (Hidden)'!$C$2:$C$1048576,0),MATCH(AG$6,'Restaurant Base (Hidden)'!$A$1:$Z$1,0)),"")</f>
        <v>2</v>
      </c>
    </row>
    <row r="223" spans="1:33" x14ac:dyDescent="0.4">
      <c r="A223" s="163" t="str">
        <f>IF('Restaurant Base (Hidden)'!A14=0,"", 'Restaurant Base (Hidden)'!A14)</f>
        <v>Logan Redford</v>
      </c>
      <c r="B223" s="163" t="str">
        <f>IF('Restaurant Base (Hidden)'!B14=0,"", 'Restaurant Base (Hidden)'!B14)</f>
        <v>Stonebridge Restaurant Co</v>
      </c>
      <c r="C223" s="163" t="str">
        <f>IF('Restaurant Base (Hidden)'!C14=0,"", 'Restaurant Base (Hidden)'!C14)</f>
        <v>Rosewood House</v>
      </c>
      <c r="D223" s="104">
        <f t="shared" si="3"/>
        <v>216</v>
      </c>
      <c r="E223" s="105">
        <f>+IFERROR(INDEX('Restaurant Base (Hidden)'!$A$2:$Z$1048576,MATCH($C223,'Restaurant Base (Hidden)'!$C$2:$C$1048576,0),MATCH(E$6,'Restaurant Base (Hidden)'!$A$1:$Z$1,0)),"")</f>
        <v>2.96</v>
      </c>
      <c r="F223" s="64" t="str">
        <f>+IFERROR(INDEX('Restaurant Base (Hidden)'!$A$2:$Z$1048576,MATCH($C223,'Restaurant Base (Hidden)'!$C$2:$C$1048576,0),MATCH(F$6,'Restaurant Base (Hidden)'!$A$1:$Z$1,0)),"")</f>
        <v/>
      </c>
      <c r="G223" s="20" t="str">
        <f>+IFERROR(INDEX('Restaurant Base (Hidden)'!$A$2:$Z$1048576,MATCH($C223,'Restaurant Base (Hidden)'!$C$2:$C$1048576,0),MATCH(G$6,'Restaurant Base (Hidden)'!$A$1:$Z$1,0)),"")</f>
        <v>4,139</v>
      </c>
      <c r="H223" s="50">
        <f>+IFERROR(INDEX('Restaurant Base (Hidden)'!$A$2:$Z$1048576,MATCH($C223,'Restaurant Base (Hidden)'!$C$2:$C$1048576,0),MATCH(H$6,'Restaurant Base (Hidden)'!$A$1:$Z$1,0)),"")</f>
        <v>2</v>
      </c>
      <c r="I223" s="20" t="str">
        <f>+IFERROR(INDEX('Restaurant Base (Hidden)'!$A$2:$Z$1048576,MATCH($C223,'Restaurant Base (Hidden)'!$C$2:$C$1048576,0),MATCH(I$6,'Restaurant Base (Hidden)'!$A$1:$Z$1,0)),"")</f>
        <v>80,40 %</v>
      </c>
      <c r="J223" s="49">
        <f>+IFERROR(INDEX('Restaurant Base (Hidden)'!$A$2:$Z$1048576,MATCH($C223,'Restaurant Base (Hidden)'!$C$2:$C$1048576,0),MATCH(J$6,'Restaurant Base (Hidden)'!$A$1:$Z$1,0)),"")</f>
        <v>2</v>
      </c>
      <c r="K223" s="20" t="str">
        <f>+IFERROR(INDEX('Restaurant Base (Hidden)'!$A$2:$Z$1048576,MATCH($C223,'Restaurant Base (Hidden)'!$C$2:$C$1048576,0),MATCH(K$6,'Restaurant Base (Hidden)'!$A$1:$Z$1,0)),"")</f>
        <v>0,060</v>
      </c>
      <c r="L223" s="51">
        <f>+IFERROR(INDEX('Restaurant Base (Hidden)'!$A$2:$Z$1048576,MATCH($C223,'Restaurant Base (Hidden)'!$C$2:$C$1048576,0),MATCH(L$6,'Restaurant Base (Hidden)'!$A$1:$Z$1,0)),"")</f>
        <v>5</v>
      </c>
      <c r="M223" s="2" t="str">
        <f>+IFERROR(INDEX('Restaurant Base (Hidden)'!$A$2:$Z$1048576,MATCH($C223,'Restaurant Base (Hidden)'!$C$2:$C$1048576,0),MATCH(M$6,'Restaurant Base (Hidden)'!$A$1:$Z$1,0)),"")</f>
        <v/>
      </c>
      <c r="N223" s="234" t="str">
        <f>+IFERROR(INDEX('Restaurant Base (Hidden)'!$A$2:$Z$1048576,MATCH($C223,'Restaurant Base (Hidden)'!$C$2:$C$1048576,0),MATCH(N$6,'Restaurant Base (Hidden)'!$A$1:$Z$1,0)),"")</f>
        <v>98,90 %</v>
      </c>
      <c r="O223" s="1">
        <f>+IFERROR(INDEX('Restaurant Base (Hidden)'!$A$2:$Z$1048576,MATCH($C223,'Restaurant Base (Hidden)'!$C$2:$C$1048576,0),MATCH(O$6,'Restaurant Base (Hidden)'!$A$1:$Z$1,0)),"")</f>
        <v>5</v>
      </c>
      <c r="P223" s="2" t="str">
        <f>+IFERROR(INDEX('Restaurant Base (Hidden)'!$A$2:$Z$1048576,MATCH($C223,'Restaurant Base (Hidden)'!$C$2:$C$1048576,0),MATCH(P$6,'Restaurant Base (Hidden)'!$A$1:$Z$1,0)),"")</f>
        <v/>
      </c>
      <c r="Q223" s="234" t="str">
        <f>+IFERROR(INDEX('Restaurant Base (Hidden)'!$A$2:$Z$1048576,MATCH($C223,'Restaurant Base (Hidden)'!$C$2:$C$1048576,0),MATCH(Q$6,'Restaurant Base (Hidden)'!$A$1:$Z$1,0)),"")</f>
        <v>90,50 %</v>
      </c>
      <c r="R223" s="1">
        <f>+IFERROR(INDEX('Restaurant Base (Hidden)'!$A$2:$Z$1048576,MATCH($C223,'Restaurant Base (Hidden)'!$C$2:$C$1048576,0),MATCH(R$6,'Restaurant Base (Hidden)'!$A$1:$Z$1,0)),"")</f>
        <v>5</v>
      </c>
      <c r="S223" s="2" t="str">
        <f>+IFERROR(INDEX('Restaurant Base (Hidden)'!$A$2:$Z$1048576,MATCH($C223,'Restaurant Base (Hidden)'!$C$2:$C$1048576,0),MATCH(S$6,'Restaurant Base (Hidden)'!$A$1:$Z$1,0)),"")</f>
        <v/>
      </c>
      <c r="T223" s="62">
        <f>+IFERROR(INDEX('Restaurant Base (Hidden)'!$A$2:$Z$1048576,MATCH($C223,'Restaurant Base (Hidden)'!$C$2:$C$1048576,0),MATCH(T$6,'Restaurant Base (Hidden)'!$A$1:$Z$1,0)),"")</f>
        <v>56</v>
      </c>
      <c r="U223" s="1">
        <f>+IFERROR(INDEX('Restaurant Base (Hidden)'!$A$2:$Z$1048576,MATCH($C223,'Restaurant Base (Hidden)'!$C$2:$C$1048576,0),MATCH(U$6,'Restaurant Base (Hidden)'!$A$1:$Z$1,0)),"")</f>
        <v>1</v>
      </c>
      <c r="V223" s="2" t="str">
        <f>+IFERROR(INDEX('Restaurant Base (Hidden)'!$A$2:$Z$1048576,MATCH($C223,'Restaurant Base (Hidden)'!$C$2:$C$1048576,0),MATCH(V$6,'Restaurant Base (Hidden)'!$A$1:$Z$1,0)),"")</f>
        <v/>
      </c>
      <c r="W223" s="65" t="str">
        <f>+IFERROR(INDEX('Restaurant Base (Hidden)'!$A$2:$Z$1048576,MATCH($C223,'Restaurant Base (Hidden)'!$C$2:$C$1048576,0),MATCH(W$6,'Restaurant Base (Hidden)'!$A$1:$Z$1,0)),"")</f>
        <v>76,70 %</v>
      </c>
      <c r="X223" s="1">
        <f>+IFERROR(INDEX('Restaurant Base (Hidden)'!$A$2:$Z$1048576,MATCH($C223,'Restaurant Base (Hidden)'!$C$2:$C$1048576,0),MATCH(X$6,'Restaurant Base (Hidden)'!$A$1:$Z$1,0)),"")</f>
        <v>2</v>
      </c>
      <c r="Y223" s="65" t="str">
        <f>+IFERROR(INDEX('Restaurant Base (Hidden)'!$A$2:$Z$1048576,MATCH($C223,'Restaurant Base (Hidden)'!$C$2:$C$1048576,0),MATCH(Y$6,'Restaurant Base (Hidden)'!$A$1:$Z$1,0)),"")</f>
        <v>96,80 %</v>
      </c>
      <c r="Z223" s="106">
        <f>+IFERROR(INDEX('Restaurant Base (Hidden)'!$A$2:$Z$1048576,MATCH($C223,'Restaurant Base (Hidden)'!$C$2:$C$1048576,0),MATCH(Z$6,'Restaurant Base (Hidden)'!$A$1:$Z$1,0)),"")</f>
        <v>4</v>
      </c>
      <c r="AA223" s="65" t="str">
        <f>+IFERROR(INDEX('Restaurant Base (Hidden)'!$A$2:$Z$1048576,MATCH($C223,'Restaurant Base (Hidden)'!$C$2:$C$1048576,0),MATCH(AA$6,'Restaurant Base (Hidden)'!$A$1:$Z$1,0)),"")</f>
        <v>57,80 %</v>
      </c>
      <c r="AB223" s="1">
        <f>+IFERROR(INDEX('Restaurant Base (Hidden)'!$A$2:$Z$1048576,MATCH($C223,'Restaurant Base (Hidden)'!$C$2:$C$1048576,0),MATCH(AB$6,'Restaurant Base (Hidden)'!$A$1:$Z$1,0)),"")</f>
        <v>1</v>
      </c>
      <c r="AC223" s="20" t="str">
        <f>+IFERROR(INDEX('Restaurant Base (Hidden)'!$A$2:$Z$1048576,MATCH($C223,'Restaurant Base (Hidden)'!$C$2:$C$1048576,0),MATCH(AC$6,'Restaurant Base (Hidden)'!$A$1:$Z$1,0)),"")</f>
        <v/>
      </c>
      <c r="AD223" s="65" t="str">
        <f>+IFERROR(INDEX('Restaurant Base (Hidden)'!$A$2:$Z$1048576,MATCH($C223,'Restaurant Base (Hidden)'!$C$2:$C$1048576,0),MATCH(AD$6,'Restaurant Base (Hidden)'!$A$1:$Z$1,0)),"")</f>
        <v>60,40 %</v>
      </c>
      <c r="AE223" s="1">
        <f>+IFERROR(INDEX('Restaurant Base (Hidden)'!$A$2:$Z$1048576,MATCH($C223,'Restaurant Base (Hidden)'!$C$2:$C$1048576,0),MATCH(AE$6,'Restaurant Base (Hidden)'!$A$1:$Z$1,0)),"")</f>
        <v>1</v>
      </c>
      <c r="AF223" s="65" t="str">
        <f>+IFERROR(INDEX('Restaurant Base (Hidden)'!$A$2:$Z$1048576,MATCH($C223,'Restaurant Base (Hidden)'!$C$2:$C$1048576,0),MATCH(AF$6,'Restaurant Base (Hidden)'!$A$1:$Z$1,0)),"")</f>
        <v>88,50 %</v>
      </c>
      <c r="AG223" s="1">
        <f>+IFERROR(INDEX('Restaurant Base (Hidden)'!$A$2:$Z$1048576,MATCH($C223,'Restaurant Base (Hidden)'!$C$2:$C$1048576,0),MATCH(AG$6,'Restaurant Base (Hidden)'!$A$1:$Z$1,0)),"")</f>
        <v>3</v>
      </c>
    </row>
    <row r="224" spans="1:33" x14ac:dyDescent="0.4">
      <c r="A224" s="163" t="str">
        <f>IF('Restaurant Base (Hidden)'!A35=0,"", 'Restaurant Base (Hidden)'!A35)</f>
        <v>Drew Fairbourne</v>
      </c>
      <c r="B224" s="163" t="str">
        <f>IF('Restaurant Base (Hidden)'!B35=0,"", 'Restaurant Base (Hidden)'!B35)</f>
        <v>Springwell Hospitality</v>
      </c>
      <c r="C224" s="163" t="str">
        <f>IF('Restaurant Base (Hidden)'!C35=0,"", 'Restaurant Base (Hidden)'!C35)</f>
        <v>Rosewood Court</v>
      </c>
      <c r="D224" s="104">
        <f t="shared" si="3"/>
        <v>216</v>
      </c>
      <c r="E224" s="105">
        <f>+IFERROR(INDEX('Restaurant Base (Hidden)'!$A$2:$Z$1048576,MATCH($C224,'Restaurant Base (Hidden)'!$C$2:$C$1048576,0),MATCH(E$6,'Restaurant Base (Hidden)'!$A$1:$Z$1,0)),"")</f>
        <v>2.96</v>
      </c>
      <c r="F224" s="64" t="str">
        <f>+IFERROR(INDEX('Restaurant Base (Hidden)'!$A$2:$Z$1048576,MATCH($C224,'Restaurant Base (Hidden)'!$C$2:$C$1048576,0),MATCH(F$6,'Restaurant Base (Hidden)'!$A$1:$Z$1,0)),"")</f>
        <v/>
      </c>
      <c r="G224" s="20" t="str">
        <f>+IFERROR(INDEX('Restaurant Base (Hidden)'!$A$2:$Z$1048576,MATCH($C224,'Restaurant Base (Hidden)'!$C$2:$C$1048576,0),MATCH(G$6,'Restaurant Base (Hidden)'!$A$1:$Z$1,0)),"")</f>
        <v>4,663</v>
      </c>
      <c r="H224" s="50">
        <f>+IFERROR(INDEX('Restaurant Base (Hidden)'!$A$2:$Z$1048576,MATCH($C224,'Restaurant Base (Hidden)'!$C$2:$C$1048576,0),MATCH(H$6,'Restaurant Base (Hidden)'!$A$1:$Z$1,0)),"")</f>
        <v>5</v>
      </c>
      <c r="I224" s="20" t="str">
        <f>+IFERROR(INDEX('Restaurant Base (Hidden)'!$A$2:$Z$1048576,MATCH($C224,'Restaurant Base (Hidden)'!$C$2:$C$1048576,0),MATCH(I$6,'Restaurant Base (Hidden)'!$A$1:$Z$1,0)),"")</f>
        <v>76,60 %</v>
      </c>
      <c r="J224" s="49">
        <f>+IFERROR(INDEX('Restaurant Base (Hidden)'!$A$2:$Z$1048576,MATCH($C224,'Restaurant Base (Hidden)'!$C$2:$C$1048576,0),MATCH(J$6,'Restaurant Base (Hidden)'!$A$1:$Z$1,0)),"")</f>
        <v>1</v>
      </c>
      <c r="K224" s="20" t="str">
        <f>+IFERROR(INDEX('Restaurant Base (Hidden)'!$A$2:$Z$1048576,MATCH($C224,'Restaurant Base (Hidden)'!$C$2:$C$1048576,0),MATCH(K$6,'Restaurant Base (Hidden)'!$A$1:$Z$1,0)),"")</f>
        <v>0,210</v>
      </c>
      <c r="L224" s="51">
        <f>+IFERROR(INDEX('Restaurant Base (Hidden)'!$A$2:$Z$1048576,MATCH($C224,'Restaurant Base (Hidden)'!$C$2:$C$1048576,0),MATCH(L$6,'Restaurant Base (Hidden)'!$A$1:$Z$1,0)),"")</f>
        <v>1</v>
      </c>
      <c r="M224" s="2" t="str">
        <f>+IFERROR(INDEX('Restaurant Base (Hidden)'!$A$2:$Z$1048576,MATCH($C224,'Restaurant Base (Hidden)'!$C$2:$C$1048576,0),MATCH(M$6,'Restaurant Base (Hidden)'!$A$1:$Z$1,0)),"")</f>
        <v/>
      </c>
      <c r="N224" s="234" t="str">
        <f>+IFERROR(INDEX('Restaurant Base (Hidden)'!$A$2:$Z$1048576,MATCH($C224,'Restaurant Base (Hidden)'!$C$2:$C$1048576,0),MATCH(N$6,'Restaurant Base (Hidden)'!$A$1:$Z$1,0)),"")</f>
        <v>90,30 %</v>
      </c>
      <c r="O224" s="1">
        <f>+IFERROR(INDEX('Restaurant Base (Hidden)'!$A$2:$Z$1048576,MATCH($C224,'Restaurant Base (Hidden)'!$C$2:$C$1048576,0),MATCH(O$6,'Restaurant Base (Hidden)'!$A$1:$Z$1,0)),"")</f>
        <v>5</v>
      </c>
      <c r="P224" s="2" t="str">
        <f>+IFERROR(INDEX('Restaurant Base (Hidden)'!$A$2:$Z$1048576,MATCH($C224,'Restaurant Base (Hidden)'!$C$2:$C$1048576,0),MATCH(P$6,'Restaurant Base (Hidden)'!$A$1:$Z$1,0)),"")</f>
        <v/>
      </c>
      <c r="Q224" s="234" t="str">
        <f>+IFERROR(INDEX('Restaurant Base (Hidden)'!$A$2:$Z$1048576,MATCH($C224,'Restaurant Base (Hidden)'!$C$2:$C$1048576,0),MATCH(Q$6,'Restaurant Base (Hidden)'!$A$1:$Z$1,0)),"")</f>
        <v>98,80 %</v>
      </c>
      <c r="R224" s="1">
        <f>+IFERROR(INDEX('Restaurant Base (Hidden)'!$A$2:$Z$1048576,MATCH($C224,'Restaurant Base (Hidden)'!$C$2:$C$1048576,0),MATCH(R$6,'Restaurant Base (Hidden)'!$A$1:$Z$1,0)),"")</f>
        <v>5</v>
      </c>
      <c r="S224" s="2" t="str">
        <f>+IFERROR(INDEX('Restaurant Base (Hidden)'!$A$2:$Z$1048576,MATCH($C224,'Restaurant Base (Hidden)'!$C$2:$C$1048576,0),MATCH(S$6,'Restaurant Base (Hidden)'!$A$1:$Z$1,0)),"")</f>
        <v/>
      </c>
      <c r="T224" s="62">
        <f>+IFERROR(INDEX('Restaurant Base (Hidden)'!$A$2:$Z$1048576,MATCH($C224,'Restaurant Base (Hidden)'!$C$2:$C$1048576,0),MATCH(T$6,'Restaurant Base (Hidden)'!$A$1:$Z$1,0)),"")</f>
        <v>61.9</v>
      </c>
      <c r="U224" s="1">
        <f>+IFERROR(INDEX('Restaurant Base (Hidden)'!$A$2:$Z$1048576,MATCH($C224,'Restaurant Base (Hidden)'!$C$2:$C$1048576,0),MATCH(U$6,'Restaurant Base (Hidden)'!$A$1:$Z$1,0)),"")</f>
        <v>3</v>
      </c>
      <c r="V224" s="2" t="str">
        <f>+IFERROR(INDEX('Restaurant Base (Hidden)'!$A$2:$Z$1048576,MATCH($C224,'Restaurant Base (Hidden)'!$C$2:$C$1048576,0),MATCH(V$6,'Restaurant Base (Hidden)'!$A$1:$Z$1,0)),"")</f>
        <v/>
      </c>
      <c r="W224" s="65" t="str">
        <f>+IFERROR(INDEX('Restaurant Base (Hidden)'!$A$2:$Z$1048576,MATCH($C224,'Restaurant Base (Hidden)'!$C$2:$C$1048576,0),MATCH(W$6,'Restaurant Base (Hidden)'!$A$1:$Z$1,0)),"")</f>
        <v>75,10 %</v>
      </c>
      <c r="X224" s="1">
        <f>+IFERROR(INDEX('Restaurant Base (Hidden)'!$A$2:$Z$1048576,MATCH($C224,'Restaurant Base (Hidden)'!$C$2:$C$1048576,0),MATCH(X$6,'Restaurant Base (Hidden)'!$A$1:$Z$1,0)),"")</f>
        <v>2</v>
      </c>
      <c r="Y224" s="65" t="str">
        <f>+IFERROR(INDEX('Restaurant Base (Hidden)'!$A$2:$Z$1048576,MATCH($C224,'Restaurant Base (Hidden)'!$C$2:$C$1048576,0),MATCH(Y$6,'Restaurant Base (Hidden)'!$A$1:$Z$1,0)),"")</f>
        <v>78,60 %</v>
      </c>
      <c r="Z224" s="106">
        <f>+IFERROR(INDEX('Restaurant Base (Hidden)'!$A$2:$Z$1048576,MATCH($C224,'Restaurant Base (Hidden)'!$C$2:$C$1048576,0),MATCH(Z$6,'Restaurant Base (Hidden)'!$A$1:$Z$1,0)),"")</f>
        <v>2</v>
      </c>
      <c r="AA224" s="65" t="str">
        <f>+IFERROR(INDEX('Restaurant Base (Hidden)'!$A$2:$Z$1048576,MATCH($C224,'Restaurant Base (Hidden)'!$C$2:$C$1048576,0),MATCH(AA$6,'Restaurant Base (Hidden)'!$A$1:$Z$1,0)),"")</f>
        <v>58,80 %</v>
      </c>
      <c r="AB224" s="1">
        <f>+IFERROR(INDEX('Restaurant Base (Hidden)'!$A$2:$Z$1048576,MATCH($C224,'Restaurant Base (Hidden)'!$C$2:$C$1048576,0),MATCH(AB$6,'Restaurant Base (Hidden)'!$A$1:$Z$1,0)),"")</f>
        <v>1</v>
      </c>
      <c r="AC224" s="20" t="str">
        <f>+IFERROR(INDEX('Restaurant Base (Hidden)'!$A$2:$Z$1048576,MATCH($C224,'Restaurant Base (Hidden)'!$C$2:$C$1048576,0),MATCH(AC$6,'Restaurant Base (Hidden)'!$A$1:$Z$1,0)),"")</f>
        <v/>
      </c>
      <c r="AD224" s="65" t="str">
        <f>+IFERROR(INDEX('Restaurant Base (Hidden)'!$A$2:$Z$1048576,MATCH($C224,'Restaurant Base (Hidden)'!$C$2:$C$1048576,0),MATCH(AD$6,'Restaurant Base (Hidden)'!$A$1:$Z$1,0)),"")</f>
        <v>62,50 %</v>
      </c>
      <c r="AE224" s="1">
        <f>+IFERROR(INDEX('Restaurant Base (Hidden)'!$A$2:$Z$1048576,MATCH($C224,'Restaurant Base (Hidden)'!$C$2:$C$1048576,0),MATCH(AE$6,'Restaurant Base (Hidden)'!$A$1:$Z$1,0)),"")</f>
        <v>1</v>
      </c>
      <c r="AF224" s="65" t="str">
        <f>+IFERROR(INDEX('Restaurant Base (Hidden)'!$A$2:$Z$1048576,MATCH($C224,'Restaurant Base (Hidden)'!$C$2:$C$1048576,0),MATCH(AF$6,'Restaurant Base (Hidden)'!$A$1:$Z$1,0)),"")</f>
        <v>92,20 %</v>
      </c>
      <c r="AG224" s="1">
        <f>+IFERROR(INDEX('Restaurant Base (Hidden)'!$A$2:$Z$1048576,MATCH($C224,'Restaurant Base (Hidden)'!$C$2:$C$1048576,0),MATCH(AG$6,'Restaurant Base (Hidden)'!$A$1:$Z$1,0)),"")</f>
        <v>3</v>
      </c>
    </row>
    <row r="225" spans="1:33" x14ac:dyDescent="0.4">
      <c r="A225" s="163" t="str">
        <f>IF('Restaurant Base (Hidden)'!A275=0,"", 'Restaurant Base (Hidden)'!A275)</f>
        <v>Logan Redford</v>
      </c>
      <c r="B225" s="163" t="str">
        <f>IF('Restaurant Base (Hidden)'!B275=0,"", 'Restaurant Base (Hidden)'!B275)</f>
        <v>Springwell Hospitality</v>
      </c>
      <c r="C225" s="163" t="str">
        <f>IF('Restaurant Base (Hidden)'!C275=0,"", 'Restaurant Base (Hidden)'!C275)</f>
        <v>Cedar Place</v>
      </c>
      <c r="D225" s="104">
        <f t="shared" si="3"/>
        <v>216</v>
      </c>
      <c r="E225" s="105">
        <f>+IFERROR(INDEX('Restaurant Base (Hidden)'!$A$2:$Z$1048576,MATCH($C225,'Restaurant Base (Hidden)'!$C$2:$C$1048576,0),MATCH(E$6,'Restaurant Base (Hidden)'!$A$1:$Z$1,0)),"")</f>
        <v>2.96</v>
      </c>
      <c r="F225" s="2" t="str">
        <f>+IFERROR(INDEX('Restaurant Base (Hidden)'!$A$2:$Z$1048576,MATCH($C225,'Restaurant Base (Hidden)'!$C$2:$C$1048576,0),MATCH(F$6,'Restaurant Base (Hidden)'!$A$1:$Z$1,0)),"")</f>
        <v/>
      </c>
      <c r="G225" s="20" t="str">
        <f>+IFERROR(INDEX('Restaurant Base (Hidden)'!$A$2:$Z$1048576,MATCH($C225,'Restaurant Base (Hidden)'!$C$2:$C$1048576,0),MATCH(G$6,'Restaurant Base (Hidden)'!$A$1:$Z$1,0)),"")</f>
        <v>4,689</v>
      </c>
      <c r="H225" s="50">
        <f>+IFERROR(INDEX('Restaurant Base (Hidden)'!$A$2:$Z$1048576,MATCH($C225,'Restaurant Base (Hidden)'!$C$2:$C$1048576,0),MATCH(H$6,'Restaurant Base (Hidden)'!$A$1:$Z$1,0)),"")</f>
        <v>5</v>
      </c>
      <c r="I225" s="20" t="str">
        <f>+IFERROR(INDEX('Restaurant Base (Hidden)'!$A$2:$Z$1048576,MATCH($C225,'Restaurant Base (Hidden)'!$C$2:$C$1048576,0),MATCH(I$6,'Restaurant Base (Hidden)'!$A$1:$Z$1,0)),"")</f>
        <v>55,30 %</v>
      </c>
      <c r="J225" s="49">
        <f>+IFERROR(INDEX('Restaurant Base (Hidden)'!$A$2:$Z$1048576,MATCH($C225,'Restaurant Base (Hidden)'!$C$2:$C$1048576,0),MATCH(J$6,'Restaurant Base (Hidden)'!$A$1:$Z$1,0)),"")</f>
        <v>1</v>
      </c>
      <c r="K225" s="20" t="str">
        <f>+IFERROR(INDEX('Restaurant Base (Hidden)'!$A$2:$Z$1048576,MATCH($C225,'Restaurant Base (Hidden)'!$C$2:$C$1048576,0),MATCH(K$6,'Restaurant Base (Hidden)'!$A$1:$Z$1,0)),"")</f>
        <v>0,134</v>
      </c>
      <c r="L225" s="51">
        <f>+IFERROR(INDEX('Restaurant Base (Hidden)'!$A$2:$Z$1048576,MATCH($C225,'Restaurant Base (Hidden)'!$C$2:$C$1048576,0),MATCH(L$6,'Restaurant Base (Hidden)'!$A$1:$Z$1,0)),"")</f>
        <v>2</v>
      </c>
      <c r="M225" s="2" t="str">
        <f>+IFERROR(INDEX('Restaurant Base (Hidden)'!$A$2:$Z$1048576,MATCH($C225,'Restaurant Base (Hidden)'!$C$2:$C$1048576,0),MATCH(M$6,'Restaurant Base (Hidden)'!$A$1:$Z$1,0)),"")</f>
        <v/>
      </c>
      <c r="N225" s="234" t="str">
        <f>+IFERROR(INDEX('Restaurant Base (Hidden)'!$A$2:$Z$1048576,MATCH($C225,'Restaurant Base (Hidden)'!$C$2:$C$1048576,0),MATCH(N$6,'Restaurant Base (Hidden)'!$A$1:$Z$1,0)),"")</f>
        <v>99,10 %</v>
      </c>
      <c r="O225" s="1">
        <f>+IFERROR(INDEX('Restaurant Base (Hidden)'!$A$2:$Z$1048576,MATCH($C225,'Restaurant Base (Hidden)'!$C$2:$C$1048576,0),MATCH(O$6,'Restaurant Base (Hidden)'!$A$1:$Z$1,0)),"")</f>
        <v>5</v>
      </c>
      <c r="P225" s="2" t="str">
        <f>+IFERROR(INDEX('Restaurant Base (Hidden)'!$A$2:$Z$1048576,MATCH($C225,'Restaurant Base (Hidden)'!$C$2:$C$1048576,0),MATCH(P$6,'Restaurant Base (Hidden)'!$A$1:$Z$1,0)),"")</f>
        <v/>
      </c>
      <c r="Q225" s="234" t="str">
        <f>+IFERROR(INDEX('Restaurant Base (Hidden)'!$A$2:$Z$1048576,MATCH($C225,'Restaurant Base (Hidden)'!$C$2:$C$1048576,0),MATCH(Q$6,'Restaurant Base (Hidden)'!$A$1:$Z$1,0)),"")</f>
        <v>80,60 %</v>
      </c>
      <c r="R225" s="1">
        <f>+IFERROR(INDEX('Restaurant Base (Hidden)'!$A$2:$Z$1048576,MATCH($C225,'Restaurant Base (Hidden)'!$C$2:$C$1048576,0),MATCH(R$6,'Restaurant Base (Hidden)'!$A$1:$Z$1,0)),"")</f>
        <v>5</v>
      </c>
      <c r="S225" s="2" t="str">
        <f>+IFERROR(INDEX('Restaurant Base (Hidden)'!$A$2:$Z$1048576,MATCH($C225,'Restaurant Base (Hidden)'!$C$2:$C$1048576,0),MATCH(S$6,'Restaurant Base (Hidden)'!$A$1:$Z$1,0)),"")</f>
        <v/>
      </c>
      <c r="T225" s="62">
        <f>+IFERROR(INDEX('Restaurant Base (Hidden)'!$A$2:$Z$1048576,MATCH($C225,'Restaurant Base (Hidden)'!$C$2:$C$1048576,0),MATCH(T$6,'Restaurant Base (Hidden)'!$A$1:$Z$1,0)),"")</f>
        <v>53.8</v>
      </c>
      <c r="U225" s="1">
        <f>+IFERROR(INDEX('Restaurant Base (Hidden)'!$A$2:$Z$1048576,MATCH($C225,'Restaurant Base (Hidden)'!$C$2:$C$1048576,0),MATCH(U$6,'Restaurant Base (Hidden)'!$A$1:$Z$1,0)),"")</f>
        <v>1</v>
      </c>
      <c r="V225" s="2" t="str">
        <f>+IFERROR(INDEX('Restaurant Base (Hidden)'!$A$2:$Z$1048576,MATCH($C225,'Restaurant Base (Hidden)'!$C$2:$C$1048576,0),MATCH(V$6,'Restaurant Base (Hidden)'!$A$1:$Z$1,0)),"")</f>
        <v/>
      </c>
      <c r="W225" s="65" t="str">
        <f>+IFERROR(INDEX('Restaurant Base (Hidden)'!$A$2:$Z$1048576,MATCH($C225,'Restaurant Base (Hidden)'!$C$2:$C$1048576,0),MATCH(W$6,'Restaurant Base (Hidden)'!$A$1:$Z$1,0)),"")</f>
        <v>64,40 %</v>
      </c>
      <c r="X225" s="1">
        <f>+IFERROR(INDEX('Restaurant Base (Hidden)'!$A$2:$Z$1048576,MATCH($C225,'Restaurant Base (Hidden)'!$C$2:$C$1048576,0),MATCH(X$6,'Restaurant Base (Hidden)'!$A$1:$Z$1,0)),"")</f>
        <v>2</v>
      </c>
      <c r="Y225" s="65" t="str">
        <f>+IFERROR(INDEX('Restaurant Base (Hidden)'!$A$2:$Z$1048576,MATCH($C225,'Restaurant Base (Hidden)'!$C$2:$C$1048576,0),MATCH(Y$6,'Restaurant Base (Hidden)'!$A$1:$Z$1,0)),"")</f>
        <v>61,60 %</v>
      </c>
      <c r="Z225" s="106">
        <f>+IFERROR(INDEX('Restaurant Base (Hidden)'!$A$2:$Z$1048576,MATCH($C225,'Restaurant Base (Hidden)'!$C$2:$C$1048576,0),MATCH(Z$6,'Restaurant Base (Hidden)'!$A$1:$Z$1,0)),"")</f>
        <v>2</v>
      </c>
      <c r="AA225" s="65" t="str">
        <f>+IFERROR(INDEX('Restaurant Base (Hidden)'!$A$2:$Z$1048576,MATCH($C225,'Restaurant Base (Hidden)'!$C$2:$C$1048576,0),MATCH(AA$6,'Restaurant Base (Hidden)'!$A$1:$Z$1,0)),"")</f>
        <v>65,40 %</v>
      </c>
      <c r="AB225" s="1">
        <f>+IFERROR(INDEX('Restaurant Base (Hidden)'!$A$2:$Z$1048576,MATCH($C225,'Restaurant Base (Hidden)'!$C$2:$C$1048576,0),MATCH(AB$6,'Restaurant Base (Hidden)'!$A$1:$Z$1,0)),"")</f>
        <v>2</v>
      </c>
      <c r="AC225" s="20" t="str">
        <f>+IFERROR(INDEX('Restaurant Base (Hidden)'!$A$2:$Z$1048576,MATCH($C225,'Restaurant Base (Hidden)'!$C$2:$C$1048576,0),MATCH(AC$6,'Restaurant Base (Hidden)'!$A$1:$Z$1,0)),"")</f>
        <v/>
      </c>
      <c r="AD225" s="65" t="str">
        <f>+IFERROR(INDEX('Restaurant Base (Hidden)'!$A$2:$Z$1048576,MATCH($C225,'Restaurant Base (Hidden)'!$C$2:$C$1048576,0),MATCH(AD$6,'Restaurant Base (Hidden)'!$A$1:$Z$1,0)),"")</f>
        <v>57,60 %</v>
      </c>
      <c r="AE225" s="1">
        <f>+IFERROR(INDEX('Restaurant Base (Hidden)'!$A$2:$Z$1048576,MATCH($C225,'Restaurant Base (Hidden)'!$C$2:$C$1048576,0),MATCH(AE$6,'Restaurant Base (Hidden)'!$A$1:$Z$1,0)),"")</f>
        <v>1</v>
      </c>
      <c r="AF225" s="65" t="str">
        <f>+IFERROR(INDEX('Restaurant Base (Hidden)'!$A$2:$Z$1048576,MATCH($C225,'Restaurant Base (Hidden)'!$C$2:$C$1048576,0),MATCH(AF$6,'Restaurant Base (Hidden)'!$A$1:$Z$1,0)),"")</f>
        <v>94,40 %</v>
      </c>
      <c r="AG225" s="1">
        <f>+IFERROR(INDEX('Restaurant Base (Hidden)'!$A$2:$Z$1048576,MATCH($C225,'Restaurant Base (Hidden)'!$C$2:$C$1048576,0),MATCH(AG$6,'Restaurant Base (Hidden)'!$A$1:$Z$1,0)),"")</f>
        <v>4</v>
      </c>
    </row>
    <row r="226" spans="1:33" x14ac:dyDescent="0.4">
      <c r="A226" s="163" t="str">
        <f>IF('Restaurant Base (Hidden)'!A276=0,"", 'Restaurant Base (Hidden)'!A276)</f>
        <v>Morgan Rivington</v>
      </c>
      <c r="B226" s="163" t="str">
        <f>IF('Restaurant Base (Hidden)'!B276=0,"", 'Restaurant Base (Hidden)'!B276)</f>
        <v>Crestwood Dining</v>
      </c>
      <c r="C226" s="163" t="str">
        <f>IF('Restaurant Base (Hidden)'!C276=0,"", 'Restaurant Base (Hidden)'!C276)</f>
        <v>Meadow Bridge</v>
      </c>
      <c r="D226" s="104">
        <f t="shared" si="3"/>
        <v>216</v>
      </c>
      <c r="E226" s="105">
        <f>+IFERROR(INDEX('Restaurant Base (Hidden)'!$A$2:$Z$1048576,MATCH($C226,'Restaurant Base (Hidden)'!$C$2:$C$1048576,0),MATCH(E$6,'Restaurant Base (Hidden)'!$A$1:$Z$1,0)),"")</f>
        <v>2.96</v>
      </c>
      <c r="F226" s="2" t="str">
        <f>+IFERROR(INDEX('Restaurant Base (Hidden)'!$A$2:$Z$1048576,MATCH($C226,'Restaurant Base (Hidden)'!$C$2:$C$1048576,0),MATCH(F$6,'Restaurant Base (Hidden)'!$A$1:$Z$1,0)),"")</f>
        <v/>
      </c>
      <c r="G226" s="20" t="str">
        <f>+IFERROR(INDEX('Restaurant Base (Hidden)'!$A$2:$Z$1048576,MATCH($C226,'Restaurant Base (Hidden)'!$C$2:$C$1048576,0),MATCH(G$6,'Restaurant Base (Hidden)'!$A$1:$Z$1,0)),"")</f>
        <v>4,303</v>
      </c>
      <c r="H226" s="50">
        <f>+IFERROR(INDEX('Restaurant Base (Hidden)'!$A$2:$Z$1048576,MATCH($C226,'Restaurant Base (Hidden)'!$C$2:$C$1048576,0),MATCH(H$6,'Restaurant Base (Hidden)'!$A$1:$Z$1,0)),"")</f>
        <v>3</v>
      </c>
      <c r="I226" s="20" t="str">
        <f>+IFERROR(INDEX('Restaurant Base (Hidden)'!$A$2:$Z$1048576,MATCH($C226,'Restaurant Base (Hidden)'!$C$2:$C$1048576,0),MATCH(I$6,'Restaurant Base (Hidden)'!$A$1:$Z$1,0)),"")</f>
        <v>58,70 %</v>
      </c>
      <c r="J226" s="49">
        <f>+IFERROR(INDEX('Restaurant Base (Hidden)'!$A$2:$Z$1048576,MATCH($C226,'Restaurant Base (Hidden)'!$C$2:$C$1048576,0),MATCH(J$6,'Restaurant Base (Hidden)'!$A$1:$Z$1,0)),"")</f>
        <v>1</v>
      </c>
      <c r="K226" s="20" t="str">
        <f>+IFERROR(INDEX('Restaurant Base (Hidden)'!$A$2:$Z$1048576,MATCH($C226,'Restaurant Base (Hidden)'!$C$2:$C$1048576,0),MATCH(K$6,'Restaurant Base (Hidden)'!$A$1:$Z$1,0)),"")</f>
        <v>0,170</v>
      </c>
      <c r="L226" s="51">
        <f>+IFERROR(INDEX('Restaurant Base (Hidden)'!$A$2:$Z$1048576,MATCH($C226,'Restaurant Base (Hidden)'!$C$2:$C$1048576,0),MATCH(L$6,'Restaurant Base (Hidden)'!$A$1:$Z$1,0)),"")</f>
        <v>2</v>
      </c>
      <c r="M226" s="2" t="str">
        <f>+IFERROR(INDEX('Restaurant Base (Hidden)'!$A$2:$Z$1048576,MATCH($C226,'Restaurant Base (Hidden)'!$C$2:$C$1048576,0),MATCH(M$6,'Restaurant Base (Hidden)'!$A$1:$Z$1,0)),"")</f>
        <v/>
      </c>
      <c r="N226" s="234" t="str">
        <f>+IFERROR(INDEX('Restaurant Base (Hidden)'!$A$2:$Z$1048576,MATCH($C226,'Restaurant Base (Hidden)'!$C$2:$C$1048576,0),MATCH(N$6,'Restaurant Base (Hidden)'!$A$1:$Z$1,0)),"")</f>
        <v>57,30 %</v>
      </c>
      <c r="O226" s="1">
        <f>+IFERROR(INDEX('Restaurant Base (Hidden)'!$A$2:$Z$1048576,MATCH($C226,'Restaurant Base (Hidden)'!$C$2:$C$1048576,0),MATCH(O$6,'Restaurant Base (Hidden)'!$A$1:$Z$1,0)),"")</f>
        <v>1</v>
      </c>
      <c r="P226" s="2" t="str">
        <f>+IFERROR(INDEX('Restaurant Base (Hidden)'!$A$2:$Z$1048576,MATCH($C226,'Restaurant Base (Hidden)'!$C$2:$C$1048576,0),MATCH(P$6,'Restaurant Base (Hidden)'!$A$1:$Z$1,0)),"")</f>
        <v/>
      </c>
      <c r="Q226" s="234" t="str">
        <f>+IFERROR(INDEX('Restaurant Base (Hidden)'!$A$2:$Z$1048576,MATCH($C226,'Restaurant Base (Hidden)'!$C$2:$C$1048576,0),MATCH(Q$6,'Restaurant Base (Hidden)'!$A$1:$Z$1,0)),"")</f>
        <v>77,30 %</v>
      </c>
      <c r="R226" s="1">
        <f>+IFERROR(INDEX('Restaurant Base (Hidden)'!$A$2:$Z$1048576,MATCH($C226,'Restaurant Base (Hidden)'!$C$2:$C$1048576,0),MATCH(R$6,'Restaurant Base (Hidden)'!$A$1:$Z$1,0)),"")</f>
        <v>5</v>
      </c>
      <c r="S226" s="2" t="str">
        <f>+IFERROR(INDEX('Restaurant Base (Hidden)'!$A$2:$Z$1048576,MATCH($C226,'Restaurant Base (Hidden)'!$C$2:$C$1048576,0),MATCH(S$6,'Restaurant Base (Hidden)'!$A$1:$Z$1,0)),"")</f>
        <v/>
      </c>
      <c r="T226" s="62">
        <f>+IFERROR(INDEX('Restaurant Base (Hidden)'!$A$2:$Z$1048576,MATCH($C226,'Restaurant Base (Hidden)'!$C$2:$C$1048576,0),MATCH(T$6,'Restaurant Base (Hidden)'!$A$1:$Z$1,0)),"")</f>
        <v>70.7</v>
      </c>
      <c r="U226" s="1">
        <f>+IFERROR(INDEX('Restaurant Base (Hidden)'!$A$2:$Z$1048576,MATCH($C226,'Restaurant Base (Hidden)'!$C$2:$C$1048576,0),MATCH(U$6,'Restaurant Base (Hidden)'!$A$1:$Z$1,0)),"")</f>
        <v>5</v>
      </c>
      <c r="V226" s="2" t="str">
        <f>+IFERROR(INDEX('Restaurant Base (Hidden)'!$A$2:$Z$1048576,MATCH($C226,'Restaurant Base (Hidden)'!$C$2:$C$1048576,0),MATCH(V$6,'Restaurant Base (Hidden)'!$A$1:$Z$1,0)),"")</f>
        <v/>
      </c>
      <c r="W226" s="65" t="str">
        <f>+IFERROR(INDEX('Restaurant Base (Hidden)'!$A$2:$Z$1048576,MATCH($C226,'Restaurant Base (Hidden)'!$C$2:$C$1048576,0),MATCH(W$6,'Restaurant Base (Hidden)'!$A$1:$Z$1,0)),"")</f>
        <v>55,40 %</v>
      </c>
      <c r="X226" s="1">
        <f>+IFERROR(INDEX('Restaurant Base (Hidden)'!$A$2:$Z$1048576,MATCH($C226,'Restaurant Base (Hidden)'!$C$2:$C$1048576,0),MATCH(X$6,'Restaurant Base (Hidden)'!$A$1:$Z$1,0)),"")</f>
        <v>1</v>
      </c>
      <c r="Y226" s="65" t="str">
        <f>+IFERROR(INDEX('Restaurant Base (Hidden)'!$A$2:$Z$1048576,MATCH($C226,'Restaurant Base (Hidden)'!$C$2:$C$1048576,0),MATCH(Y$6,'Restaurant Base (Hidden)'!$A$1:$Z$1,0)),"")</f>
        <v>76,70 %</v>
      </c>
      <c r="Z226" s="106">
        <f>+IFERROR(INDEX('Restaurant Base (Hidden)'!$A$2:$Z$1048576,MATCH($C226,'Restaurant Base (Hidden)'!$C$2:$C$1048576,0),MATCH(Z$6,'Restaurant Base (Hidden)'!$A$1:$Z$1,0)),"")</f>
        <v>2</v>
      </c>
      <c r="AA226" s="65" t="str">
        <f>+IFERROR(INDEX('Restaurant Base (Hidden)'!$A$2:$Z$1048576,MATCH($C226,'Restaurant Base (Hidden)'!$C$2:$C$1048576,0),MATCH(AA$6,'Restaurant Base (Hidden)'!$A$1:$Z$1,0)),"")</f>
        <v>90,00 %</v>
      </c>
      <c r="AB226" s="1">
        <f>+IFERROR(INDEX('Restaurant Base (Hidden)'!$A$2:$Z$1048576,MATCH($C226,'Restaurant Base (Hidden)'!$C$2:$C$1048576,0),MATCH(AB$6,'Restaurant Base (Hidden)'!$A$1:$Z$1,0)),"")</f>
        <v>3</v>
      </c>
      <c r="AC226" s="20" t="str">
        <f>+IFERROR(INDEX('Restaurant Base (Hidden)'!$A$2:$Z$1048576,MATCH($C226,'Restaurant Base (Hidden)'!$C$2:$C$1048576,0),MATCH(AC$6,'Restaurant Base (Hidden)'!$A$1:$Z$1,0)),"")</f>
        <v/>
      </c>
      <c r="AD226" s="65" t="str">
        <f>+IFERROR(INDEX('Restaurant Base (Hidden)'!$A$2:$Z$1048576,MATCH($C226,'Restaurant Base (Hidden)'!$C$2:$C$1048576,0),MATCH(AD$6,'Restaurant Base (Hidden)'!$A$1:$Z$1,0)),"")</f>
        <v>89,60 %</v>
      </c>
      <c r="AE226" s="1">
        <f>+IFERROR(INDEX('Restaurant Base (Hidden)'!$A$2:$Z$1048576,MATCH($C226,'Restaurant Base (Hidden)'!$C$2:$C$1048576,0),MATCH(AE$6,'Restaurant Base (Hidden)'!$A$1:$Z$1,0)),"")</f>
        <v>4</v>
      </c>
      <c r="AF226" s="65" t="str">
        <f>+IFERROR(INDEX('Restaurant Base (Hidden)'!$A$2:$Z$1048576,MATCH($C226,'Restaurant Base (Hidden)'!$C$2:$C$1048576,0),MATCH(AF$6,'Restaurant Base (Hidden)'!$A$1:$Z$1,0)),"")</f>
        <v>95,60 %</v>
      </c>
      <c r="AG226" s="1">
        <f>+IFERROR(INDEX('Restaurant Base (Hidden)'!$A$2:$Z$1048576,MATCH($C226,'Restaurant Base (Hidden)'!$C$2:$C$1048576,0),MATCH(AG$6,'Restaurant Base (Hidden)'!$A$1:$Z$1,0)),"")</f>
        <v>4</v>
      </c>
    </row>
    <row r="227" spans="1:33" x14ac:dyDescent="0.4">
      <c r="A227" s="163" t="str">
        <f>IF('Restaurant Base (Hidden)'!A33=0,"", 'Restaurant Base (Hidden)'!A33)</f>
        <v>Casey Briarwood</v>
      </c>
      <c r="B227" s="163" t="str">
        <f>IF('Restaurant Base (Hidden)'!B33=0,"", 'Restaurant Base (Hidden)'!B33)</f>
        <v>Brightstone Food Group</v>
      </c>
      <c r="C227" s="163" t="str">
        <f>IF('Restaurant Base (Hidden)'!C33=0,"", 'Restaurant Base (Hidden)'!C33)</f>
        <v>Crown Gate</v>
      </c>
      <c r="D227" s="104">
        <f t="shared" si="3"/>
        <v>221</v>
      </c>
      <c r="E227" s="105">
        <f>+IFERROR(INDEX('Restaurant Base (Hidden)'!$A$2:$Z$1048576,MATCH($C227,'Restaurant Base (Hidden)'!$C$2:$C$1048576,0),MATCH(E$6,'Restaurant Base (Hidden)'!$A$1:$Z$1,0)),"")</f>
        <v>2.95</v>
      </c>
      <c r="F227" s="64" t="str">
        <f>+IFERROR(INDEX('Restaurant Base (Hidden)'!$A$2:$Z$1048576,MATCH($C227,'Restaurant Base (Hidden)'!$C$2:$C$1048576,0),MATCH(F$6,'Restaurant Base (Hidden)'!$A$1:$Z$1,0)),"")</f>
        <v/>
      </c>
      <c r="G227" s="20" t="str">
        <f>+IFERROR(INDEX('Restaurant Base (Hidden)'!$A$2:$Z$1048576,MATCH($C227,'Restaurant Base (Hidden)'!$C$2:$C$1048576,0),MATCH(G$6,'Restaurant Base (Hidden)'!$A$1:$Z$1,0)),"")</f>
        <v>4,799</v>
      </c>
      <c r="H227" s="50">
        <f>+IFERROR(INDEX('Restaurant Base (Hidden)'!$A$2:$Z$1048576,MATCH($C227,'Restaurant Base (Hidden)'!$C$2:$C$1048576,0),MATCH(H$6,'Restaurant Base (Hidden)'!$A$1:$Z$1,0)),"")</f>
        <v>5</v>
      </c>
      <c r="I227" s="20" t="str">
        <f>+IFERROR(INDEX('Restaurant Base (Hidden)'!$A$2:$Z$1048576,MATCH($C227,'Restaurant Base (Hidden)'!$C$2:$C$1048576,0),MATCH(I$6,'Restaurant Base (Hidden)'!$A$1:$Z$1,0)),"")</f>
        <v>76,40 %</v>
      </c>
      <c r="J227" s="49">
        <f>+IFERROR(INDEX('Restaurant Base (Hidden)'!$A$2:$Z$1048576,MATCH($C227,'Restaurant Base (Hidden)'!$C$2:$C$1048576,0),MATCH(J$6,'Restaurant Base (Hidden)'!$A$1:$Z$1,0)),"")</f>
        <v>1</v>
      </c>
      <c r="K227" s="20" t="str">
        <f>+IFERROR(INDEX('Restaurant Base (Hidden)'!$A$2:$Z$1048576,MATCH($C227,'Restaurant Base (Hidden)'!$C$2:$C$1048576,0),MATCH(K$6,'Restaurant Base (Hidden)'!$A$1:$Z$1,0)),"")</f>
        <v>0,092</v>
      </c>
      <c r="L227" s="51">
        <f>+IFERROR(INDEX('Restaurant Base (Hidden)'!$A$2:$Z$1048576,MATCH($C227,'Restaurant Base (Hidden)'!$C$2:$C$1048576,0),MATCH(L$6,'Restaurant Base (Hidden)'!$A$1:$Z$1,0)),"")</f>
        <v>4</v>
      </c>
      <c r="M227" s="2" t="str">
        <f>+IFERROR(INDEX('Restaurant Base (Hidden)'!$A$2:$Z$1048576,MATCH($C227,'Restaurant Base (Hidden)'!$C$2:$C$1048576,0),MATCH(M$6,'Restaurant Base (Hidden)'!$A$1:$Z$1,0)),"")</f>
        <v/>
      </c>
      <c r="N227" s="234" t="str">
        <f>+IFERROR(INDEX('Restaurant Base (Hidden)'!$A$2:$Z$1048576,MATCH($C227,'Restaurant Base (Hidden)'!$C$2:$C$1048576,0),MATCH(N$6,'Restaurant Base (Hidden)'!$A$1:$Z$1,0)),"")</f>
        <v>57,70 %</v>
      </c>
      <c r="O227" s="1">
        <f>+IFERROR(INDEX('Restaurant Base (Hidden)'!$A$2:$Z$1048576,MATCH($C227,'Restaurant Base (Hidden)'!$C$2:$C$1048576,0),MATCH(O$6,'Restaurant Base (Hidden)'!$A$1:$Z$1,0)),"")</f>
        <v>1</v>
      </c>
      <c r="P227" s="2" t="str">
        <f>+IFERROR(INDEX('Restaurant Base (Hidden)'!$A$2:$Z$1048576,MATCH($C227,'Restaurant Base (Hidden)'!$C$2:$C$1048576,0),MATCH(P$6,'Restaurant Base (Hidden)'!$A$1:$Z$1,0)),"")</f>
        <v/>
      </c>
      <c r="Q227" s="234" t="str">
        <f>+IFERROR(INDEX('Restaurant Base (Hidden)'!$A$2:$Z$1048576,MATCH($C227,'Restaurant Base (Hidden)'!$C$2:$C$1048576,0),MATCH(Q$6,'Restaurant Base (Hidden)'!$A$1:$Z$1,0)),"")</f>
        <v>96,70 %</v>
      </c>
      <c r="R227" s="1">
        <f>+IFERROR(INDEX('Restaurant Base (Hidden)'!$A$2:$Z$1048576,MATCH($C227,'Restaurant Base (Hidden)'!$C$2:$C$1048576,0),MATCH(R$6,'Restaurant Base (Hidden)'!$A$1:$Z$1,0)),"")</f>
        <v>5</v>
      </c>
      <c r="S227" s="2" t="str">
        <f>+IFERROR(INDEX('Restaurant Base (Hidden)'!$A$2:$Z$1048576,MATCH($C227,'Restaurant Base (Hidden)'!$C$2:$C$1048576,0),MATCH(S$6,'Restaurant Base (Hidden)'!$A$1:$Z$1,0)),"")</f>
        <v/>
      </c>
      <c r="T227" s="62">
        <f>+IFERROR(INDEX('Restaurant Base (Hidden)'!$A$2:$Z$1048576,MATCH($C227,'Restaurant Base (Hidden)'!$C$2:$C$1048576,0),MATCH(T$6,'Restaurant Base (Hidden)'!$A$1:$Z$1,0)),"")</f>
        <v>71.599999999999994</v>
      </c>
      <c r="U227" s="1">
        <f>+IFERROR(INDEX('Restaurant Base (Hidden)'!$A$2:$Z$1048576,MATCH($C227,'Restaurant Base (Hidden)'!$C$2:$C$1048576,0),MATCH(U$6,'Restaurant Base (Hidden)'!$A$1:$Z$1,0)),"")</f>
        <v>5</v>
      </c>
      <c r="V227" s="2" t="str">
        <f>+IFERROR(INDEX('Restaurant Base (Hidden)'!$A$2:$Z$1048576,MATCH($C227,'Restaurant Base (Hidden)'!$C$2:$C$1048576,0),MATCH(V$6,'Restaurant Base (Hidden)'!$A$1:$Z$1,0)),"")</f>
        <v/>
      </c>
      <c r="W227" s="65" t="str">
        <f>+IFERROR(INDEX('Restaurant Base (Hidden)'!$A$2:$Z$1048576,MATCH($C227,'Restaurant Base (Hidden)'!$C$2:$C$1048576,0),MATCH(W$6,'Restaurant Base (Hidden)'!$A$1:$Z$1,0)),"")</f>
        <v>61,70 %</v>
      </c>
      <c r="X227" s="1">
        <f>+IFERROR(INDEX('Restaurant Base (Hidden)'!$A$2:$Z$1048576,MATCH($C227,'Restaurant Base (Hidden)'!$C$2:$C$1048576,0),MATCH(X$6,'Restaurant Base (Hidden)'!$A$1:$Z$1,0)),"")</f>
        <v>2</v>
      </c>
      <c r="Y227" s="65" t="str">
        <f>+IFERROR(INDEX('Restaurant Base (Hidden)'!$A$2:$Z$1048576,MATCH($C227,'Restaurant Base (Hidden)'!$C$2:$C$1048576,0),MATCH(Y$6,'Restaurant Base (Hidden)'!$A$1:$Z$1,0)),"")</f>
        <v>87,80 %</v>
      </c>
      <c r="Z227" s="106">
        <f>+IFERROR(INDEX('Restaurant Base (Hidden)'!$A$2:$Z$1048576,MATCH($C227,'Restaurant Base (Hidden)'!$C$2:$C$1048576,0),MATCH(Z$6,'Restaurant Base (Hidden)'!$A$1:$Z$1,0)),"")</f>
        <v>3</v>
      </c>
      <c r="AA227" s="65" t="str">
        <f>+IFERROR(INDEX('Restaurant Base (Hidden)'!$A$2:$Z$1048576,MATCH($C227,'Restaurant Base (Hidden)'!$C$2:$C$1048576,0),MATCH(AA$6,'Restaurant Base (Hidden)'!$A$1:$Z$1,0)),"")</f>
        <v>55,80 %</v>
      </c>
      <c r="AB227" s="1">
        <f>+IFERROR(INDEX('Restaurant Base (Hidden)'!$A$2:$Z$1048576,MATCH($C227,'Restaurant Base (Hidden)'!$C$2:$C$1048576,0),MATCH(AB$6,'Restaurant Base (Hidden)'!$A$1:$Z$1,0)),"")</f>
        <v>1</v>
      </c>
      <c r="AC227" s="20" t="str">
        <f>+IFERROR(INDEX('Restaurant Base (Hidden)'!$A$2:$Z$1048576,MATCH($C227,'Restaurant Base (Hidden)'!$C$2:$C$1048576,0),MATCH(AC$6,'Restaurant Base (Hidden)'!$A$1:$Z$1,0)),"")</f>
        <v/>
      </c>
      <c r="AD227" s="65" t="str">
        <f>+IFERROR(INDEX('Restaurant Base (Hidden)'!$A$2:$Z$1048576,MATCH($C227,'Restaurant Base (Hidden)'!$C$2:$C$1048576,0),MATCH(AD$6,'Restaurant Base (Hidden)'!$A$1:$Z$1,0)),"")</f>
        <v>59,00 %</v>
      </c>
      <c r="AE227" s="1">
        <f>+IFERROR(INDEX('Restaurant Base (Hidden)'!$A$2:$Z$1048576,MATCH($C227,'Restaurant Base (Hidden)'!$C$2:$C$1048576,0),MATCH(AE$6,'Restaurant Base (Hidden)'!$A$1:$Z$1,0)),"")</f>
        <v>1</v>
      </c>
      <c r="AF227" s="65" t="str">
        <f>+IFERROR(INDEX('Restaurant Base (Hidden)'!$A$2:$Z$1048576,MATCH($C227,'Restaurant Base (Hidden)'!$C$2:$C$1048576,0),MATCH(AF$6,'Restaurant Base (Hidden)'!$A$1:$Z$1,0)),"")</f>
        <v>93,60 %</v>
      </c>
      <c r="AG227" s="1">
        <f>+IFERROR(INDEX('Restaurant Base (Hidden)'!$A$2:$Z$1048576,MATCH($C227,'Restaurant Base (Hidden)'!$C$2:$C$1048576,0),MATCH(AG$6,'Restaurant Base (Hidden)'!$A$1:$Z$1,0)),"")</f>
        <v>4</v>
      </c>
    </row>
    <row r="228" spans="1:33" x14ac:dyDescent="0.4">
      <c r="A228" s="163" t="str">
        <f>IF('Restaurant Base (Hidden)'!A89=0,"", 'Restaurant Base (Hidden)'!A89)</f>
        <v>Avery Ashford</v>
      </c>
      <c r="B228" s="163" t="str">
        <f>IF('Restaurant Base (Hidden)'!B89=0,"", 'Restaurant Base (Hidden)'!B89)</f>
        <v>Rivermark Food Group</v>
      </c>
      <c r="C228" s="163" t="str">
        <f>IF('Restaurant Base (Hidden)'!C89=0,"", 'Restaurant Base (Hidden)'!C89)</f>
        <v>Glen Lodge</v>
      </c>
      <c r="D228" s="104">
        <f t="shared" si="3"/>
        <v>221</v>
      </c>
      <c r="E228" s="105">
        <f>+IFERROR(INDEX('Restaurant Base (Hidden)'!$A$2:$Z$1048576,MATCH($C228,'Restaurant Base (Hidden)'!$C$2:$C$1048576,0),MATCH(E$6,'Restaurant Base (Hidden)'!$A$1:$Z$1,0)),"")</f>
        <v>2.95</v>
      </c>
      <c r="F228" s="2" t="str">
        <f>+IFERROR(INDEX('Restaurant Base (Hidden)'!$A$2:$Z$1048576,MATCH($C228,'Restaurant Base (Hidden)'!$C$2:$C$1048576,0),MATCH(F$6,'Restaurant Base (Hidden)'!$A$1:$Z$1,0)),"")</f>
        <v/>
      </c>
      <c r="G228" s="20" t="str">
        <f>+IFERROR(INDEX('Restaurant Base (Hidden)'!$A$2:$Z$1048576,MATCH($C228,'Restaurant Base (Hidden)'!$C$2:$C$1048576,0),MATCH(G$6,'Restaurant Base (Hidden)'!$A$1:$Z$1,0)),"")</f>
        <v>4,671</v>
      </c>
      <c r="H228" s="50">
        <f>+IFERROR(INDEX('Restaurant Base (Hidden)'!$A$2:$Z$1048576,MATCH($C228,'Restaurant Base (Hidden)'!$C$2:$C$1048576,0),MATCH(H$6,'Restaurant Base (Hidden)'!$A$1:$Z$1,0)),"")</f>
        <v>5</v>
      </c>
      <c r="I228" s="20" t="str">
        <f>+IFERROR(INDEX('Restaurant Base (Hidden)'!$A$2:$Z$1048576,MATCH($C228,'Restaurant Base (Hidden)'!$C$2:$C$1048576,0),MATCH(I$6,'Restaurant Base (Hidden)'!$A$1:$Z$1,0)),"")</f>
        <v>56,70 %</v>
      </c>
      <c r="J228" s="49">
        <f>+IFERROR(INDEX('Restaurant Base (Hidden)'!$A$2:$Z$1048576,MATCH($C228,'Restaurant Base (Hidden)'!$C$2:$C$1048576,0),MATCH(J$6,'Restaurant Base (Hidden)'!$A$1:$Z$1,0)),"")</f>
        <v>1</v>
      </c>
      <c r="K228" s="20" t="str">
        <f>+IFERROR(INDEX('Restaurant Base (Hidden)'!$A$2:$Z$1048576,MATCH($C228,'Restaurant Base (Hidden)'!$C$2:$C$1048576,0),MATCH(K$6,'Restaurant Base (Hidden)'!$A$1:$Z$1,0)),"")</f>
        <v>0,210</v>
      </c>
      <c r="L228" s="51">
        <f>+IFERROR(INDEX('Restaurant Base (Hidden)'!$A$2:$Z$1048576,MATCH($C228,'Restaurant Base (Hidden)'!$C$2:$C$1048576,0),MATCH(L$6,'Restaurant Base (Hidden)'!$A$1:$Z$1,0)),"")</f>
        <v>1</v>
      </c>
      <c r="M228" s="2" t="str">
        <f>+IFERROR(INDEX('Restaurant Base (Hidden)'!$A$2:$Z$1048576,MATCH($C228,'Restaurant Base (Hidden)'!$C$2:$C$1048576,0),MATCH(M$6,'Restaurant Base (Hidden)'!$A$1:$Z$1,0)),"")</f>
        <v/>
      </c>
      <c r="N228" s="234" t="str">
        <f>+IFERROR(INDEX('Restaurant Base (Hidden)'!$A$2:$Z$1048576,MATCH($C228,'Restaurant Base (Hidden)'!$C$2:$C$1048576,0),MATCH(N$6,'Restaurant Base (Hidden)'!$A$1:$Z$1,0)),"")</f>
        <v>80,60 %</v>
      </c>
      <c r="O228" s="1">
        <f>+IFERROR(INDEX('Restaurant Base (Hidden)'!$A$2:$Z$1048576,MATCH($C228,'Restaurant Base (Hidden)'!$C$2:$C$1048576,0),MATCH(O$6,'Restaurant Base (Hidden)'!$A$1:$Z$1,0)),"")</f>
        <v>5</v>
      </c>
      <c r="P228" s="2" t="str">
        <f>+IFERROR(INDEX('Restaurant Base (Hidden)'!$A$2:$Z$1048576,MATCH($C228,'Restaurant Base (Hidden)'!$C$2:$C$1048576,0),MATCH(P$6,'Restaurant Base (Hidden)'!$A$1:$Z$1,0)),"")</f>
        <v/>
      </c>
      <c r="Q228" s="234" t="str">
        <f>+IFERROR(INDEX('Restaurant Base (Hidden)'!$A$2:$Z$1048576,MATCH($C228,'Restaurant Base (Hidden)'!$C$2:$C$1048576,0),MATCH(Q$6,'Restaurant Base (Hidden)'!$A$1:$Z$1,0)),"")</f>
        <v>59,60 %</v>
      </c>
      <c r="R228" s="1">
        <f>+IFERROR(INDEX('Restaurant Base (Hidden)'!$A$2:$Z$1048576,MATCH($C228,'Restaurant Base (Hidden)'!$C$2:$C$1048576,0),MATCH(R$6,'Restaurant Base (Hidden)'!$A$1:$Z$1,0)),"")</f>
        <v>1</v>
      </c>
      <c r="S228" s="2" t="str">
        <f>+IFERROR(INDEX('Restaurant Base (Hidden)'!$A$2:$Z$1048576,MATCH($C228,'Restaurant Base (Hidden)'!$C$2:$C$1048576,0),MATCH(S$6,'Restaurant Base (Hidden)'!$A$1:$Z$1,0)),"")</f>
        <v/>
      </c>
      <c r="T228" s="62">
        <f>+IFERROR(INDEX('Restaurant Base (Hidden)'!$A$2:$Z$1048576,MATCH($C228,'Restaurant Base (Hidden)'!$C$2:$C$1048576,0),MATCH(T$6,'Restaurant Base (Hidden)'!$A$1:$Z$1,0)),"")</f>
        <v>69.599999999999994</v>
      </c>
      <c r="U228" s="1">
        <f>+IFERROR(INDEX('Restaurant Base (Hidden)'!$A$2:$Z$1048576,MATCH($C228,'Restaurant Base (Hidden)'!$C$2:$C$1048576,0),MATCH(U$6,'Restaurant Base (Hidden)'!$A$1:$Z$1,0)),"")</f>
        <v>5</v>
      </c>
      <c r="V228" s="2" t="str">
        <f>+IFERROR(INDEX('Restaurant Base (Hidden)'!$A$2:$Z$1048576,MATCH($C228,'Restaurant Base (Hidden)'!$C$2:$C$1048576,0),MATCH(V$6,'Restaurant Base (Hidden)'!$A$1:$Z$1,0)),"")</f>
        <v/>
      </c>
      <c r="W228" s="65" t="str">
        <f>+IFERROR(INDEX('Restaurant Base (Hidden)'!$A$2:$Z$1048576,MATCH($C228,'Restaurant Base (Hidden)'!$C$2:$C$1048576,0),MATCH(W$6,'Restaurant Base (Hidden)'!$A$1:$Z$1,0)),"")</f>
        <v>69,20 %</v>
      </c>
      <c r="X228" s="1">
        <f>+IFERROR(INDEX('Restaurant Base (Hidden)'!$A$2:$Z$1048576,MATCH($C228,'Restaurant Base (Hidden)'!$C$2:$C$1048576,0),MATCH(X$6,'Restaurant Base (Hidden)'!$A$1:$Z$1,0)),"")</f>
        <v>2</v>
      </c>
      <c r="Y228" s="65" t="str">
        <f>+IFERROR(INDEX('Restaurant Base (Hidden)'!$A$2:$Z$1048576,MATCH($C228,'Restaurant Base (Hidden)'!$C$2:$C$1048576,0),MATCH(Y$6,'Restaurant Base (Hidden)'!$A$1:$Z$1,0)),"")</f>
        <v>68,80 %</v>
      </c>
      <c r="Z228" s="106">
        <f>+IFERROR(INDEX('Restaurant Base (Hidden)'!$A$2:$Z$1048576,MATCH($C228,'Restaurant Base (Hidden)'!$C$2:$C$1048576,0),MATCH(Z$6,'Restaurant Base (Hidden)'!$A$1:$Z$1,0)),"")</f>
        <v>2</v>
      </c>
      <c r="AA228" s="65" t="str">
        <f>+IFERROR(INDEX('Restaurant Base (Hidden)'!$A$2:$Z$1048576,MATCH($C228,'Restaurant Base (Hidden)'!$C$2:$C$1048576,0),MATCH(AA$6,'Restaurant Base (Hidden)'!$A$1:$Z$1,0)),"")</f>
        <v>69,10 %</v>
      </c>
      <c r="AB228" s="1">
        <f>+IFERROR(INDEX('Restaurant Base (Hidden)'!$A$2:$Z$1048576,MATCH($C228,'Restaurant Base (Hidden)'!$C$2:$C$1048576,0),MATCH(AB$6,'Restaurant Base (Hidden)'!$A$1:$Z$1,0)),"")</f>
        <v>2</v>
      </c>
      <c r="AC228" s="20" t="str">
        <f>+IFERROR(INDEX('Restaurant Base (Hidden)'!$A$2:$Z$1048576,MATCH($C228,'Restaurant Base (Hidden)'!$C$2:$C$1048576,0),MATCH(AC$6,'Restaurant Base (Hidden)'!$A$1:$Z$1,0)),"")</f>
        <v/>
      </c>
      <c r="AD228" s="65" t="str">
        <f>+IFERROR(INDEX('Restaurant Base (Hidden)'!$A$2:$Z$1048576,MATCH($C228,'Restaurant Base (Hidden)'!$C$2:$C$1048576,0),MATCH(AD$6,'Restaurant Base (Hidden)'!$A$1:$Z$1,0)),"")</f>
        <v>90,20 %</v>
      </c>
      <c r="AE228" s="1">
        <f>+IFERROR(INDEX('Restaurant Base (Hidden)'!$A$2:$Z$1048576,MATCH($C228,'Restaurant Base (Hidden)'!$C$2:$C$1048576,0),MATCH(AE$6,'Restaurant Base (Hidden)'!$A$1:$Z$1,0)),"")</f>
        <v>4</v>
      </c>
      <c r="AF228" s="65" t="str">
        <f>+IFERROR(INDEX('Restaurant Base (Hidden)'!$A$2:$Z$1048576,MATCH($C228,'Restaurant Base (Hidden)'!$C$2:$C$1048576,0),MATCH(AF$6,'Restaurant Base (Hidden)'!$A$1:$Z$1,0)),"")</f>
        <v>84,70 %</v>
      </c>
      <c r="AG228" s="1">
        <f>+IFERROR(INDEX('Restaurant Base (Hidden)'!$A$2:$Z$1048576,MATCH($C228,'Restaurant Base (Hidden)'!$C$2:$C$1048576,0),MATCH(AG$6,'Restaurant Base (Hidden)'!$A$1:$Z$1,0)),"")</f>
        <v>3</v>
      </c>
    </row>
    <row r="229" spans="1:33" x14ac:dyDescent="0.4">
      <c r="A229" s="163" t="str">
        <f>IF('Restaurant Base (Hidden)'!A179=0,"", 'Restaurant Base (Hidden)'!A179)</f>
        <v>Cameron Creston</v>
      </c>
      <c r="B229" s="163" t="str">
        <f>IF('Restaurant Base (Hidden)'!B179=0,"", 'Restaurant Base (Hidden)'!B179)</f>
        <v>Fairmont Food Group</v>
      </c>
      <c r="C229" s="163" t="str">
        <f>IF('Restaurant Base (Hidden)'!C179=0,"", 'Restaurant Base (Hidden)'!C179)</f>
        <v>Ash Mews</v>
      </c>
      <c r="D229" s="104">
        <f t="shared" si="3"/>
        <v>221</v>
      </c>
      <c r="E229" s="105">
        <f>+IFERROR(INDEX('Restaurant Base (Hidden)'!$A$2:$Z$1048576,MATCH($C229,'Restaurant Base (Hidden)'!$C$2:$C$1048576,0),MATCH(E$6,'Restaurant Base (Hidden)'!$A$1:$Z$1,0)),"")</f>
        <v>2.95</v>
      </c>
      <c r="F229" s="2" t="str">
        <f>+IFERROR(INDEX('Restaurant Base (Hidden)'!$A$2:$Z$1048576,MATCH($C229,'Restaurant Base (Hidden)'!$C$2:$C$1048576,0),MATCH(F$6,'Restaurant Base (Hidden)'!$A$1:$Z$1,0)),"")</f>
        <v/>
      </c>
      <c r="G229" s="20" t="str">
        <f>+IFERROR(INDEX('Restaurant Base (Hidden)'!$A$2:$Z$1048576,MATCH($C229,'Restaurant Base (Hidden)'!$C$2:$C$1048576,0),MATCH(G$6,'Restaurant Base (Hidden)'!$A$1:$Z$1,0)),"")</f>
        <v>4,533</v>
      </c>
      <c r="H229" s="50">
        <f>+IFERROR(INDEX('Restaurant Base (Hidden)'!$A$2:$Z$1048576,MATCH($C229,'Restaurant Base (Hidden)'!$C$2:$C$1048576,0),MATCH(H$6,'Restaurant Base (Hidden)'!$A$1:$Z$1,0)),"")</f>
        <v>5</v>
      </c>
      <c r="I229" s="20" t="str">
        <f>+IFERROR(INDEX('Restaurant Base (Hidden)'!$A$2:$Z$1048576,MATCH($C229,'Restaurant Base (Hidden)'!$C$2:$C$1048576,0),MATCH(I$6,'Restaurant Base (Hidden)'!$A$1:$Z$1,0)),"")</f>
        <v>58,70 %</v>
      </c>
      <c r="J229" s="49">
        <f>+IFERROR(INDEX('Restaurant Base (Hidden)'!$A$2:$Z$1048576,MATCH($C229,'Restaurant Base (Hidden)'!$C$2:$C$1048576,0),MATCH(J$6,'Restaurant Base (Hidden)'!$A$1:$Z$1,0)),"")</f>
        <v>1</v>
      </c>
      <c r="K229" s="20" t="str">
        <f>+IFERROR(INDEX('Restaurant Base (Hidden)'!$A$2:$Z$1048576,MATCH($C229,'Restaurant Base (Hidden)'!$C$2:$C$1048576,0),MATCH(K$6,'Restaurant Base (Hidden)'!$A$1:$Z$1,0)),"")</f>
        <v>0,110</v>
      </c>
      <c r="L229" s="51">
        <f>+IFERROR(INDEX('Restaurant Base (Hidden)'!$A$2:$Z$1048576,MATCH($C229,'Restaurant Base (Hidden)'!$C$2:$C$1048576,0),MATCH(L$6,'Restaurant Base (Hidden)'!$A$1:$Z$1,0)),"")</f>
        <v>3</v>
      </c>
      <c r="M229" s="2" t="str">
        <f>+IFERROR(INDEX('Restaurant Base (Hidden)'!$A$2:$Z$1048576,MATCH($C229,'Restaurant Base (Hidden)'!$C$2:$C$1048576,0),MATCH(M$6,'Restaurant Base (Hidden)'!$A$1:$Z$1,0)),"")</f>
        <v/>
      </c>
      <c r="N229" s="234" t="str">
        <f>+IFERROR(INDEX('Restaurant Base (Hidden)'!$A$2:$Z$1048576,MATCH($C229,'Restaurant Base (Hidden)'!$C$2:$C$1048576,0),MATCH(N$6,'Restaurant Base (Hidden)'!$A$1:$Z$1,0)),"")</f>
        <v>81,50 %</v>
      </c>
      <c r="O229" s="1">
        <f>+IFERROR(INDEX('Restaurant Base (Hidden)'!$A$2:$Z$1048576,MATCH($C229,'Restaurant Base (Hidden)'!$C$2:$C$1048576,0),MATCH(O$6,'Restaurant Base (Hidden)'!$A$1:$Z$1,0)),"")</f>
        <v>5</v>
      </c>
      <c r="P229" s="2" t="str">
        <f>+IFERROR(INDEX('Restaurant Base (Hidden)'!$A$2:$Z$1048576,MATCH($C229,'Restaurant Base (Hidden)'!$C$2:$C$1048576,0),MATCH(P$6,'Restaurant Base (Hidden)'!$A$1:$Z$1,0)),"")</f>
        <v/>
      </c>
      <c r="Q229" s="234" t="str">
        <f>+IFERROR(INDEX('Restaurant Base (Hidden)'!$A$2:$Z$1048576,MATCH($C229,'Restaurant Base (Hidden)'!$C$2:$C$1048576,0),MATCH(Q$6,'Restaurant Base (Hidden)'!$A$1:$Z$1,0)),"")</f>
        <v>56,00 %</v>
      </c>
      <c r="R229" s="1">
        <f>+IFERROR(INDEX('Restaurant Base (Hidden)'!$A$2:$Z$1048576,MATCH($C229,'Restaurant Base (Hidden)'!$C$2:$C$1048576,0),MATCH(R$6,'Restaurant Base (Hidden)'!$A$1:$Z$1,0)),"")</f>
        <v>1</v>
      </c>
      <c r="S229" s="2" t="str">
        <f>+IFERROR(INDEX('Restaurant Base (Hidden)'!$A$2:$Z$1048576,MATCH($C229,'Restaurant Base (Hidden)'!$C$2:$C$1048576,0),MATCH(S$6,'Restaurant Base (Hidden)'!$A$1:$Z$1,0)),"")</f>
        <v/>
      </c>
      <c r="T229" s="62">
        <f>+IFERROR(INDEX('Restaurant Base (Hidden)'!$A$2:$Z$1048576,MATCH($C229,'Restaurant Base (Hidden)'!$C$2:$C$1048576,0),MATCH(T$6,'Restaurant Base (Hidden)'!$A$1:$Z$1,0)),"")</f>
        <v>67.5</v>
      </c>
      <c r="U229" s="1">
        <f>+IFERROR(INDEX('Restaurant Base (Hidden)'!$A$2:$Z$1048576,MATCH($C229,'Restaurant Base (Hidden)'!$C$2:$C$1048576,0),MATCH(U$6,'Restaurant Base (Hidden)'!$A$1:$Z$1,0)),"")</f>
        <v>4</v>
      </c>
      <c r="V229" s="2" t="str">
        <f>+IFERROR(INDEX('Restaurant Base (Hidden)'!$A$2:$Z$1048576,MATCH($C229,'Restaurant Base (Hidden)'!$C$2:$C$1048576,0),MATCH(V$6,'Restaurant Base (Hidden)'!$A$1:$Z$1,0)),"")</f>
        <v/>
      </c>
      <c r="W229" s="65" t="str">
        <f>+IFERROR(INDEX('Restaurant Base (Hidden)'!$A$2:$Z$1048576,MATCH($C229,'Restaurant Base (Hidden)'!$C$2:$C$1048576,0),MATCH(W$6,'Restaurant Base (Hidden)'!$A$1:$Z$1,0)),"")</f>
        <v>94,50 %</v>
      </c>
      <c r="X229" s="1">
        <f>+IFERROR(INDEX('Restaurant Base (Hidden)'!$A$2:$Z$1048576,MATCH($C229,'Restaurant Base (Hidden)'!$C$2:$C$1048576,0),MATCH(X$6,'Restaurant Base (Hidden)'!$A$1:$Z$1,0)),"")</f>
        <v>4</v>
      </c>
      <c r="Y229" s="65" t="str">
        <f>+IFERROR(INDEX('Restaurant Base (Hidden)'!$A$2:$Z$1048576,MATCH($C229,'Restaurant Base (Hidden)'!$C$2:$C$1048576,0),MATCH(Y$6,'Restaurant Base (Hidden)'!$A$1:$Z$1,0)),"")</f>
        <v>72,10 %</v>
      </c>
      <c r="Z229" s="106">
        <f>+IFERROR(INDEX('Restaurant Base (Hidden)'!$A$2:$Z$1048576,MATCH($C229,'Restaurant Base (Hidden)'!$C$2:$C$1048576,0),MATCH(Z$6,'Restaurant Base (Hidden)'!$A$1:$Z$1,0)),"")</f>
        <v>2</v>
      </c>
      <c r="AA229" s="65" t="str">
        <f>+IFERROR(INDEX('Restaurant Base (Hidden)'!$A$2:$Z$1048576,MATCH($C229,'Restaurant Base (Hidden)'!$C$2:$C$1048576,0),MATCH(AA$6,'Restaurant Base (Hidden)'!$A$1:$Z$1,0)),"")</f>
        <v>63,50 %</v>
      </c>
      <c r="AB229" s="1">
        <f>+IFERROR(INDEX('Restaurant Base (Hidden)'!$A$2:$Z$1048576,MATCH($C229,'Restaurant Base (Hidden)'!$C$2:$C$1048576,0),MATCH(AB$6,'Restaurant Base (Hidden)'!$A$1:$Z$1,0)),"")</f>
        <v>2</v>
      </c>
      <c r="AC229" s="20" t="str">
        <f>+IFERROR(INDEX('Restaurant Base (Hidden)'!$A$2:$Z$1048576,MATCH($C229,'Restaurant Base (Hidden)'!$C$2:$C$1048576,0),MATCH(AC$6,'Restaurant Base (Hidden)'!$A$1:$Z$1,0)),"")</f>
        <v/>
      </c>
      <c r="AD229" s="65" t="str">
        <f>+IFERROR(INDEX('Restaurant Base (Hidden)'!$A$2:$Z$1048576,MATCH($C229,'Restaurant Base (Hidden)'!$C$2:$C$1048576,0),MATCH(AD$6,'Restaurant Base (Hidden)'!$A$1:$Z$1,0)),"")</f>
        <v>97,70 %</v>
      </c>
      <c r="AE229" s="1">
        <f>+IFERROR(INDEX('Restaurant Base (Hidden)'!$A$2:$Z$1048576,MATCH($C229,'Restaurant Base (Hidden)'!$C$2:$C$1048576,0),MATCH(AE$6,'Restaurant Base (Hidden)'!$A$1:$Z$1,0)),"")</f>
        <v>5</v>
      </c>
      <c r="AF229" s="65" t="str">
        <f>+IFERROR(INDEX('Restaurant Base (Hidden)'!$A$2:$Z$1048576,MATCH($C229,'Restaurant Base (Hidden)'!$C$2:$C$1048576,0),MATCH(AF$6,'Restaurant Base (Hidden)'!$A$1:$Z$1,0)),"")</f>
        <v>73,40 %</v>
      </c>
      <c r="AG229" s="1">
        <f>+IFERROR(INDEX('Restaurant Base (Hidden)'!$A$2:$Z$1048576,MATCH($C229,'Restaurant Base (Hidden)'!$C$2:$C$1048576,0),MATCH(AG$6,'Restaurant Base (Hidden)'!$A$1:$Z$1,0)),"")</f>
        <v>1</v>
      </c>
    </row>
    <row r="230" spans="1:33" x14ac:dyDescent="0.4">
      <c r="A230" s="163" t="str">
        <f>IF('Restaurant Base (Hidden)'!A350=0,"", 'Restaurant Base (Hidden)'!A350)</f>
        <v>Avery Ashford</v>
      </c>
      <c r="B230" s="163" t="str">
        <f>IF('Restaurant Base (Hidden)'!B350=0,"", 'Restaurant Base (Hidden)'!B350)</f>
        <v>Northvale Restaurants</v>
      </c>
      <c r="C230" s="163" t="str">
        <f>IF('Restaurant Base (Hidden)'!C350=0,"", 'Restaurant Base (Hidden)'!C350)</f>
        <v>Northern Pines</v>
      </c>
      <c r="D230" s="104">
        <f t="shared" si="3"/>
        <v>221</v>
      </c>
      <c r="E230" s="105">
        <f>+IFERROR(INDEX('Restaurant Base (Hidden)'!$A$2:$Z$1048576,MATCH($C230,'Restaurant Base (Hidden)'!$C$2:$C$1048576,0),MATCH(E$6,'Restaurant Base (Hidden)'!$A$1:$Z$1,0)),"")</f>
        <v>2.95</v>
      </c>
      <c r="F230" s="2" t="str">
        <f>+IFERROR(INDEX('Restaurant Base (Hidden)'!$A$2:$Z$1048576,MATCH($C230,'Restaurant Base (Hidden)'!$C$2:$C$1048576,0),MATCH(F$6,'Restaurant Base (Hidden)'!$A$1:$Z$1,0)),"")</f>
        <v/>
      </c>
      <c r="G230" s="20" t="str">
        <f>+IFERROR(INDEX('Restaurant Base (Hidden)'!$A$2:$Z$1048576,MATCH($C230,'Restaurant Base (Hidden)'!$C$2:$C$1048576,0),MATCH(G$6,'Restaurant Base (Hidden)'!$A$1:$Z$1,0)),"")</f>
        <v>4,268</v>
      </c>
      <c r="H230" s="50">
        <f>+IFERROR(INDEX('Restaurant Base (Hidden)'!$A$2:$Z$1048576,MATCH($C230,'Restaurant Base (Hidden)'!$C$2:$C$1048576,0),MATCH(H$6,'Restaurant Base (Hidden)'!$A$1:$Z$1,0)),"")</f>
        <v>3</v>
      </c>
      <c r="I230" s="20" t="str">
        <f>+IFERROR(INDEX('Restaurant Base (Hidden)'!$A$2:$Z$1048576,MATCH($C230,'Restaurant Base (Hidden)'!$C$2:$C$1048576,0),MATCH(I$6,'Restaurant Base (Hidden)'!$A$1:$Z$1,0)),"")</f>
        <v>70,50 %</v>
      </c>
      <c r="J230" s="49">
        <f>+IFERROR(INDEX('Restaurant Base (Hidden)'!$A$2:$Z$1048576,MATCH($C230,'Restaurant Base (Hidden)'!$C$2:$C$1048576,0),MATCH(J$6,'Restaurant Base (Hidden)'!$A$1:$Z$1,0)),"")</f>
        <v>1</v>
      </c>
      <c r="K230" s="20" t="str">
        <f>+IFERROR(INDEX('Restaurant Base (Hidden)'!$A$2:$Z$1048576,MATCH($C230,'Restaurant Base (Hidden)'!$C$2:$C$1048576,0),MATCH(K$6,'Restaurant Base (Hidden)'!$A$1:$Z$1,0)),"")</f>
        <v>0,060</v>
      </c>
      <c r="L230" s="51">
        <f>+IFERROR(INDEX('Restaurant Base (Hidden)'!$A$2:$Z$1048576,MATCH($C230,'Restaurant Base (Hidden)'!$C$2:$C$1048576,0),MATCH(L$6,'Restaurant Base (Hidden)'!$A$1:$Z$1,0)),"")</f>
        <v>5</v>
      </c>
      <c r="M230" s="2" t="str">
        <f>+IFERROR(INDEX('Restaurant Base (Hidden)'!$A$2:$Z$1048576,MATCH($C230,'Restaurant Base (Hidden)'!$C$2:$C$1048576,0),MATCH(M$6,'Restaurant Base (Hidden)'!$A$1:$Z$1,0)),"")</f>
        <v/>
      </c>
      <c r="N230" s="234" t="str">
        <f>+IFERROR(INDEX('Restaurant Base (Hidden)'!$A$2:$Z$1048576,MATCH($C230,'Restaurant Base (Hidden)'!$C$2:$C$1048576,0),MATCH(N$6,'Restaurant Base (Hidden)'!$A$1:$Z$1,0)),"")</f>
        <v>67,00 %</v>
      </c>
      <c r="O230" s="1">
        <f>+IFERROR(INDEX('Restaurant Base (Hidden)'!$A$2:$Z$1048576,MATCH($C230,'Restaurant Base (Hidden)'!$C$2:$C$1048576,0),MATCH(O$6,'Restaurant Base (Hidden)'!$A$1:$Z$1,0)),"")</f>
        <v>3</v>
      </c>
      <c r="P230" s="2" t="str">
        <f>+IFERROR(INDEX('Restaurant Base (Hidden)'!$A$2:$Z$1048576,MATCH($C230,'Restaurant Base (Hidden)'!$C$2:$C$1048576,0),MATCH(P$6,'Restaurant Base (Hidden)'!$A$1:$Z$1,0)),"")</f>
        <v/>
      </c>
      <c r="Q230" s="234" t="str">
        <f>+IFERROR(INDEX('Restaurant Base (Hidden)'!$A$2:$Z$1048576,MATCH($C230,'Restaurant Base (Hidden)'!$C$2:$C$1048576,0),MATCH(Q$6,'Restaurant Base (Hidden)'!$A$1:$Z$1,0)),"")</f>
        <v>92,50 %</v>
      </c>
      <c r="R230" s="1">
        <f>+IFERROR(INDEX('Restaurant Base (Hidden)'!$A$2:$Z$1048576,MATCH($C230,'Restaurant Base (Hidden)'!$C$2:$C$1048576,0),MATCH(R$6,'Restaurant Base (Hidden)'!$A$1:$Z$1,0)),"")</f>
        <v>5</v>
      </c>
      <c r="S230" s="2" t="str">
        <f>+IFERROR(INDEX('Restaurant Base (Hidden)'!$A$2:$Z$1048576,MATCH($C230,'Restaurant Base (Hidden)'!$C$2:$C$1048576,0),MATCH(S$6,'Restaurant Base (Hidden)'!$A$1:$Z$1,0)),"")</f>
        <v/>
      </c>
      <c r="T230" s="62">
        <f>+IFERROR(INDEX('Restaurant Base (Hidden)'!$A$2:$Z$1048576,MATCH($C230,'Restaurant Base (Hidden)'!$C$2:$C$1048576,0),MATCH(T$6,'Restaurant Base (Hidden)'!$A$1:$Z$1,0)),"")</f>
        <v>55.5</v>
      </c>
      <c r="U230" s="1">
        <f>+IFERROR(INDEX('Restaurant Base (Hidden)'!$A$2:$Z$1048576,MATCH($C230,'Restaurant Base (Hidden)'!$C$2:$C$1048576,0),MATCH(U$6,'Restaurant Base (Hidden)'!$A$1:$Z$1,0)),"")</f>
        <v>1</v>
      </c>
      <c r="V230" s="2" t="str">
        <f>+IFERROR(INDEX('Restaurant Base (Hidden)'!$A$2:$Z$1048576,MATCH($C230,'Restaurant Base (Hidden)'!$C$2:$C$1048576,0),MATCH(V$6,'Restaurant Base (Hidden)'!$A$1:$Z$1,0)),"")</f>
        <v/>
      </c>
      <c r="W230" s="65" t="str">
        <f>+IFERROR(INDEX('Restaurant Base (Hidden)'!$A$2:$Z$1048576,MATCH($C230,'Restaurant Base (Hidden)'!$C$2:$C$1048576,0),MATCH(W$6,'Restaurant Base (Hidden)'!$A$1:$Z$1,0)),"")</f>
        <v>94,10 %</v>
      </c>
      <c r="X230" s="1">
        <f>+IFERROR(INDEX('Restaurant Base (Hidden)'!$A$2:$Z$1048576,MATCH($C230,'Restaurant Base (Hidden)'!$C$2:$C$1048576,0),MATCH(X$6,'Restaurant Base (Hidden)'!$A$1:$Z$1,0)),"")</f>
        <v>4</v>
      </c>
      <c r="Y230" s="65" t="str">
        <f>+IFERROR(INDEX('Restaurant Base (Hidden)'!$A$2:$Z$1048576,MATCH($C230,'Restaurant Base (Hidden)'!$C$2:$C$1048576,0),MATCH(Y$6,'Restaurant Base (Hidden)'!$A$1:$Z$1,0)),"")</f>
        <v>91,60 %</v>
      </c>
      <c r="Z230" s="106">
        <f>+IFERROR(INDEX('Restaurant Base (Hidden)'!$A$2:$Z$1048576,MATCH($C230,'Restaurant Base (Hidden)'!$C$2:$C$1048576,0),MATCH(Z$6,'Restaurant Base (Hidden)'!$A$1:$Z$1,0)),"")</f>
        <v>3</v>
      </c>
      <c r="AA230" s="65" t="str">
        <f>+IFERROR(INDEX('Restaurant Base (Hidden)'!$A$2:$Z$1048576,MATCH($C230,'Restaurant Base (Hidden)'!$C$2:$C$1048576,0),MATCH(AA$6,'Restaurant Base (Hidden)'!$A$1:$Z$1,0)),"")</f>
        <v>77,60 %</v>
      </c>
      <c r="AB230" s="1">
        <f>+IFERROR(INDEX('Restaurant Base (Hidden)'!$A$2:$Z$1048576,MATCH($C230,'Restaurant Base (Hidden)'!$C$2:$C$1048576,0),MATCH(AB$6,'Restaurant Base (Hidden)'!$A$1:$Z$1,0)),"")</f>
        <v>2</v>
      </c>
      <c r="AC230" s="20" t="str">
        <f>+IFERROR(INDEX('Restaurant Base (Hidden)'!$A$2:$Z$1048576,MATCH($C230,'Restaurant Base (Hidden)'!$C$2:$C$1048576,0),MATCH(AC$6,'Restaurant Base (Hidden)'!$A$1:$Z$1,0)),"")</f>
        <v/>
      </c>
      <c r="AD230" s="65" t="str">
        <f>+IFERROR(INDEX('Restaurant Base (Hidden)'!$A$2:$Z$1048576,MATCH($C230,'Restaurant Base (Hidden)'!$C$2:$C$1048576,0),MATCH(AD$6,'Restaurant Base (Hidden)'!$A$1:$Z$1,0)),"")</f>
        <v>61,20 %</v>
      </c>
      <c r="AE230" s="1">
        <f>+IFERROR(INDEX('Restaurant Base (Hidden)'!$A$2:$Z$1048576,MATCH($C230,'Restaurant Base (Hidden)'!$C$2:$C$1048576,0),MATCH(AE$6,'Restaurant Base (Hidden)'!$A$1:$Z$1,0)),"")</f>
        <v>1</v>
      </c>
      <c r="AF230" s="65" t="str">
        <f>+IFERROR(INDEX('Restaurant Base (Hidden)'!$A$2:$Z$1048576,MATCH($C230,'Restaurant Base (Hidden)'!$C$2:$C$1048576,0),MATCH(AF$6,'Restaurant Base (Hidden)'!$A$1:$Z$1,0)),"")</f>
        <v>98,70 %</v>
      </c>
      <c r="AG230" s="1">
        <f>+IFERROR(INDEX('Restaurant Base (Hidden)'!$A$2:$Z$1048576,MATCH($C230,'Restaurant Base (Hidden)'!$C$2:$C$1048576,0),MATCH(AG$6,'Restaurant Base (Hidden)'!$A$1:$Z$1,0)),"")</f>
        <v>5</v>
      </c>
    </row>
    <row r="231" spans="1:33" x14ac:dyDescent="0.4">
      <c r="A231" s="163" t="str">
        <f>IF('Restaurant Base (Hidden)'!A63=0,"", 'Restaurant Base (Hidden)'!A63)</f>
        <v>Cameron Creston</v>
      </c>
      <c r="B231" s="163" t="str">
        <f>IF('Restaurant Base (Hidden)'!B63=0,"", 'Restaurant Base (Hidden)'!B63)</f>
        <v>Goldenridge Hospitality</v>
      </c>
      <c r="C231" s="163" t="str">
        <f>IF('Restaurant Base (Hidden)'!C63=0,"", 'Restaurant Base (Hidden)'!C63)</f>
        <v>Westmere Place</v>
      </c>
      <c r="D231" s="104">
        <f t="shared" si="3"/>
        <v>225</v>
      </c>
      <c r="E231" s="105">
        <f>+IFERROR(INDEX('Restaurant Base (Hidden)'!$A$2:$Z$1048576,MATCH($C231,'Restaurant Base (Hidden)'!$C$2:$C$1048576,0),MATCH(E$6,'Restaurant Base (Hidden)'!$A$1:$Z$1,0)),"")</f>
        <v>2.94</v>
      </c>
      <c r="F231" s="64" t="str">
        <f>+IFERROR(INDEX('Restaurant Base (Hidden)'!$A$2:$Z$1048576,MATCH($C231,'Restaurant Base (Hidden)'!$C$2:$C$1048576,0),MATCH(F$6,'Restaurant Base (Hidden)'!$A$1:$Z$1,0)),"")</f>
        <v/>
      </c>
      <c r="G231" s="20" t="str">
        <f>+IFERROR(INDEX('Restaurant Base (Hidden)'!$A$2:$Z$1048576,MATCH($C231,'Restaurant Base (Hidden)'!$C$2:$C$1048576,0),MATCH(G$6,'Restaurant Base (Hidden)'!$A$1:$Z$1,0)),"")</f>
        <v>4,481</v>
      </c>
      <c r="H231" s="50">
        <f>+IFERROR(INDEX('Restaurant Base (Hidden)'!$A$2:$Z$1048576,MATCH($C231,'Restaurant Base (Hidden)'!$C$2:$C$1048576,0),MATCH(H$6,'Restaurant Base (Hidden)'!$A$1:$Z$1,0)),"")</f>
        <v>4</v>
      </c>
      <c r="I231" s="20" t="str">
        <f>+IFERROR(INDEX('Restaurant Base (Hidden)'!$A$2:$Z$1048576,MATCH($C231,'Restaurant Base (Hidden)'!$C$2:$C$1048576,0),MATCH(I$6,'Restaurant Base (Hidden)'!$A$1:$Z$1,0)),"")</f>
        <v>86,50 %</v>
      </c>
      <c r="J231" s="49">
        <f>+IFERROR(INDEX('Restaurant Base (Hidden)'!$A$2:$Z$1048576,MATCH($C231,'Restaurant Base (Hidden)'!$C$2:$C$1048576,0),MATCH(J$6,'Restaurant Base (Hidden)'!$A$1:$Z$1,0)),"")</f>
        <v>3</v>
      </c>
      <c r="K231" s="20" t="str">
        <f>+IFERROR(INDEX('Restaurant Base (Hidden)'!$A$2:$Z$1048576,MATCH($C231,'Restaurant Base (Hidden)'!$C$2:$C$1048576,0),MATCH(K$6,'Restaurant Base (Hidden)'!$A$1:$Z$1,0)),"")</f>
        <v>0,050</v>
      </c>
      <c r="L231" s="51">
        <f>+IFERROR(INDEX('Restaurant Base (Hidden)'!$A$2:$Z$1048576,MATCH($C231,'Restaurant Base (Hidden)'!$C$2:$C$1048576,0),MATCH(L$6,'Restaurant Base (Hidden)'!$A$1:$Z$1,0)),"")</f>
        <v>5</v>
      </c>
      <c r="M231" s="2" t="str">
        <f>+IFERROR(INDEX('Restaurant Base (Hidden)'!$A$2:$Z$1048576,MATCH($C231,'Restaurant Base (Hidden)'!$C$2:$C$1048576,0),MATCH(M$6,'Restaurant Base (Hidden)'!$A$1:$Z$1,0)),"")</f>
        <v/>
      </c>
      <c r="N231" s="234" t="str">
        <f>+IFERROR(INDEX('Restaurant Base (Hidden)'!$A$2:$Z$1048576,MATCH($C231,'Restaurant Base (Hidden)'!$C$2:$C$1048576,0),MATCH(N$6,'Restaurant Base (Hidden)'!$A$1:$Z$1,0)),"")</f>
        <v>90,20 %</v>
      </c>
      <c r="O231" s="1">
        <f>+IFERROR(INDEX('Restaurant Base (Hidden)'!$A$2:$Z$1048576,MATCH($C231,'Restaurant Base (Hidden)'!$C$2:$C$1048576,0),MATCH(O$6,'Restaurant Base (Hidden)'!$A$1:$Z$1,0)),"")</f>
        <v>5</v>
      </c>
      <c r="P231" s="2" t="str">
        <f>+IFERROR(INDEX('Restaurant Base (Hidden)'!$A$2:$Z$1048576,MATCH($C231,'Restaurant Base (Hidden)'!$C$2:$C$1048576,0),MATCH(P$6,'Restaurant Base (Hidden)'!$A$1:$Z$1,0)),"")</f>
        <v/>
      </c>
      <c r="Q231" s="234" t="str">
        <f>+IFERROR(INDEX('Restaurant Base (Hidden)'!$A$2:$Z$1048576,MATCH($C231,'Restaurant Base (Hidden)'!$C$2:$C$1048576,0),MATCH(Q$6,'Restaurant Base (Hidden)'!$A$1:$Z$1,0)),"")</f>
        <v>91,80 %</v>
      </c>
      <c r="R231" s="1">
        <f>+IFERROR(INDEX('Restaurant Base (Hidden)'!$A$2:$Z$1048576,MATCH($C231,'Restaurant Base (Hidden)'!$C$2:$C$1048576,0),MATCH(R$6,'Restaurant Base (Hidden)'!$A$1:$Z$1,0)),"")</f>
        <v>5</v>
      </c>
      <c r="S231" s="2" t="str">
        <f>+IFERROR(INDEX('Restaurant Base (Hidden)'!$A$2:$Z$1048576,MATCH($C231,'Restaurant Base (Hidden)'!$C$2:$C$1048576,0),MATCH(S$6,'Restaurant Base (Hidden)'!$A$1:$Z$1,0)),"")</f>
        <v/>
      </c>
      <c r="T231" s="62">
        <f>+IFERROR(INDEX('Restaurant Base (Hidden)'!$A$2:$Z$1048576,MATCH($C231,'Restaurant Base (Hidden)'!$C$2:$C$1048576,0),MATCH(T$6,'Restaurant Base (Hidden)'!$A$1:$Z$1,0)),"")</f>
        <v>54.1</v>
      </c>
      <c r="U231" s="1">
        <f>+IFERROR(INDEX('Restaurant Base (Hidden)'!$A$2:$Z$1048576,MATCH($C231,'Restaurant Base (Hidden)'!$C$2:$C$1048576,0),MATCH(U$6,'Restaurant Base (Hidden)'!$A$1:$Z$1,0)),"")</f>
        <v>1</v>
      </c>
      <c r="V231" s="2" t="str">
        <f>+IFERROR(INDEX('Restaurant Base (Hidden)'!$A$2:$Z$1048576,MATCH($C231,'Restaurant Base (Hidden)'!$C$2:$C$1048576,0),MATCH(V$6,'Restaurant Base (Hidden)'!$A$1:$Z$1,0)),"")</f>
        <v/>
      </c>
      <c r="W231" s="65" t="str">
        <f>+IFERROR(INDEX('Restaurant Base (Hidden)'!$A$2:$Z$1048576,MATCH($C231,'Restaurant Base (Hidden)'!$C$2:$C$1048576,0),MATCH(W$6,'Restaurant Base (Hidden)'!$A$1:$Z$1,0)),"")</f>
        <v>69,80 %</v>
      </c>
      <c r="X231" s="1">
        <f>+IFERROR(INDEX('Restaurant Base (Hidden)'!$A$2:$Z$1048576,MATCH($C231,'Restaurant Base (Hidden)'!$C$2:$C$1048576,0),MATCH(X$6,'Restaurant Base (Hidden)'!$A$1:$Z$1,0)),"")</f>
        <v>2</v>
      </c>
      <c r="Y231" s="65" t="str">
        <f>+IFERROR(INDEX('Restaurant Base (Hidden)'!$A$2:$Z$1048576,MATCH($C231,'Restaurant Base (Hidden)'!$C$2:$C$1048576,0),MATCH(Y$6,'Restaurant Base (Hidden)'!$A$1:$Z$1,0)),"")</f>
        <v>77,70 %</v>
      </c>
      <c r="Z231" s="106">
        <f>+IFERROR(INDEX('Restaurant Base (Hidden)'!$A$2:$Z$1048576,MATCH($C231,'Restaurant Base (Hidden)'!$C$2:$C$1048576,0),MATCH(Z$6,'Restaurant Base (Hidden)'!$A$1:$Z$1,0)),"")</f>
        <v>2</v>
      </c>
      <c r="AA231" s="65" t="str">
        <f>+IFERROR(INDEX('Restaurant Base (Hidden)'!$A$2:$Z$1048576,MATCH($C231,'Restaurant Base (Hidden)'!$C$2:$C$1048576,0),MATCH(AA$6,'Restaurant Base (Hidden)'!$A$1:$Z$1,0)),"")</f>
        <v>57,60 %</v>
      </c>
      <c r="AB231" s="1">
        <f>+IFERROR(INDEX('Restaurant Base (Hidden)'!$A$2:$Z$1048576,MATCH($C231,'Restaurant Base (Hidden)'!$C$2:$C$1048576,0),MATCH(AB$6,'Restaurant Base (Hidden)'!$A$1:$Z$1,0)),"")</f>
        <v>1</v>
      </c>
      <c r="AC231" s="20" t="str">
        <f>+IFERROR(INDEX('Restaurant Base (Hidden)'!$A$2:$Z$1048576,MATCH($C231,'Restaurant Base (Hidden)'!$C$2:$C$1048576,0),MATCH(AC$6,'Restaurant Base (Hidden)'!$A$1:$Z$1,0)),"")</f>
        <v/>
      </c>
      <c r="AD231" s="65" t="str">
        <f>+IFERROR(INDEX('Restaurant Base (Hidden)'!$A$2:$Z$1048576,MATCH($C231,'Restaurant Base (Hidden)'!$C$2:$C$1048576,0),MATCH(AD$6,'Restaurant Base (Hidden)'!$A$1:$Z$1,0)),"")</f>
        <v>71,80 %</v>
      </c>
      <c r="AE231" s="1">
        <f>+IFERROR(INDEX('Restaurant Base (Hidden)'!$A$2:$Z$1048576,MATCH($C231,'Restaurant Base (Hidden)'!$C$2:$C$1048576,0),MATCH(AE$6,'Restaurant Base (Hidden)'!$A$1:$Z$1,0)),"")</f>
        <v>1</v>
      </c>
      <c r="AF231" s="65" t="str">
        <f>+IFERROR(INDEX('Restaurant Base (Hidden)'!$A$2:$Z$1048576,MATCH($C231,'Restaurant Base (Hidden)'!$C$2:$C$1048576,0),MATCH(AF$6,'Restaurant Base (Hidden)'!$A$1:$Z$1,0)),"")</f>
        <v>69,60 %</v>
      </c>
      <c r="AG231" s="1">
        <f>+IFERROR(INDEX('Restaurant Base (Hidden)'!$A$2:$Z$1048576,MATCH($C231,'Restaurant Base (Hidden)'!$C$2:$C$1048576,0),MATCH(AG$6,'Restaurant Base (Hidden)'!$A$1:$Z$1,0)),"")</f>
        <v>1</v>
      </c>
    </row>
    <row r="232" spans="1:33" x14ac:dyDescent="0.4">
      <c r="A232" s="163" t="str">
        <f>IF('Restaurant Base (Hidden)'!A152=0,"", 'Restaurant Base (Hidden)'!A152)</f>
        <v>Elliot Hawthorne</v>
      </c>
      <c r="B232" s="163" t="str">
        <f>IF('Restaurant Base (Hidden)'!B152=0,"", 'Restaurant Base (Hidden)'!B152)</f>
        <v>Oakmont Dining Partners</v>
      </c>
      <c r="C232" s="163" t="str">
        <f>IF('Restaurant Base (Hidden)'!C152=0,"", 'Restaurant Base (Hidden)'!C152)</f>
        <v>Hilltop Mews</v>
      </c>
      <c r="D232" s="104">
        <f t="shared" si="3"/>
        <v>225</v>
      </c>
      <c r="E232" s="105">
        <f>+IFERROR(INDEX('Restaurant Base (Hidden)'!$A$2:$Z$1048576,MATCH($C232,'Restaurant Base (Hidden)'!$C$2:$C$1048576,0),MATCH(E$6,'Restaurant Base (Hidden)'!$A$1:$Z$1,0)),"")</f>
        <v>2.94</v>
      </c>
      <c r="F232" s="2" t="str">
        <f>+IFERROR(INDEX('Restaurant Base (Hidden)'!$A$2:$Z$1048576,MATCH($C232,'Restaurant Base (Hidden)'!$C$2:$C$1048576,0),MATCH(F$6,'Restaurant Base (Hidden)'!$A$1:$Z$1,0)),"")</f>
        <v/>
      </c>
      <c r="G232" s="20" t="str">
        <f>+IFERROR(INDEX('Restaurant Base (Hidden)'!$A$2:$Z$1048576,MATCH($C232,'Restaurant Base (Hidden)'!$C$2:$C$1048576,0),MATCH(G$6,'Restaurant Base (Hidden)'!$A$1:$Z$1,0)),"")</f>
        <v>4,086</v>
      </c>
      <c r="H232" s="50">
        <f>+IFERROR(INDEX('Restaurant Base (Hidden)'!$A$2:$Z$1048576,MATCH($C232,'Restaurant Base (Hidden)'!$C$2:$C$1048576,0),MATCH(H$6,'Restaurant Base (Hidden)'!$A$1:$Z$1,0)),"")</f>
        <v>2</v>
      </c>
      <c r="I232" s="20" t="str">
        <f>+IFERROR(INDEX('Restaurant Base (Hidden)'!$A$2:$Z$1048576,MATCH($C232,'Restaurant Base (Hidden)'!$C$2:$C$1048576,0),MATCH(I$6,'Restaurant Base (Hidden)'!$A$1:$Z$1,0)),"")</f>
        <v>82,50 %</v>
      </c>
      <c r="J232" s="49">
        <f>+IFERROR(INDEX('Restaurant Base (Hidden)'!$A$2:$Z$1048576,MATCH($C232,'Restaurant Base (Hidden)'!$C$2:$C$1048576,0),MATCH(J$6,'Restaurant Base (Hidden)'!$A$1:$Z$1,0)),"")</f>
        <v>2</v>
      </c>
      <c r="K232" s="20" t="str">
        <f>+IFERROR(INDEX('Restaurant Base (Hidden)'!$A$2:$Z$1048576,MATCH($C232,'Restaurant Base (Hidden)'!$C$2:$C$1048576,0),MATCH(K$6,'Restaurant Base (Hidden)'!$A$1:$Z$1,0)),"")</f>
        <v>0,060</v>
      </c>
      <c r="L232" s="51">
        <f>+IFERROR(INDEX('Restaurant Base (Hidden)'!$A$2:$Z$1048576,MATCH($C232,'Restaurant Base (Hidden)'!$C$2:$C$1048576,0),MATCH(L$6,'Restaurant Base (Hidden)'!$A$1:$Z$1,0)),"")</f>
        <v>5</v>
      </c>
      <c r="M232" s="2" t="str">
        <f>+IFERROR(INDEX('Restaurant Base (Hidden)'!$A$2:$Z$1048576,MATCH($C232,'Restaurant Base (Hidden)'!$C$2:$C$1048576,0),MATCH(M$6,'Restaurant Base (Hidden)'!$A$1:$Z$1,0)),"")</f>
        <v/>
      </c>
      <c r="N232" s="234" t="str">
        <f>+IFERROR(INDEX('Restaurant Base (Hidden)'!$A$2:$Z$1048576,MATCH($C232,'Restaurant Base (Hidden)'!$C$2:$C$1048576,0),MATCH(N$6,'Restaurant Base (Hidden)'!$A$1:$Z$1,0)),"")</f>
        <v>71,50 %</v>
      </c>
      <c r="O232" s="1">
        <f>+IFERROR(INDEX('Restaurant Base (Hidden)'!$A$2:$Z$1048576,MATCH($C232,'Restaurant Base (Hidden)'!$C$2:$C$1048576,0),MATCH(O$6,'Restaurant Base (Hidden)'!$A$1:$Z$1,0)),"")</f>
        <v>4</v>
      </c>
      <c r="P232" s="2" t="str">
        <f>+IFERROR(INDEX('Restaurant Base (Hidden)'!$A$2:$Z$1048576,MATCH($C232,'Restaurant Base (Hidden)'!$C$2:$C$1048576,0),MATCH(P$6,'Restaurant Base (Hidden)'!$A$1:$Z$1,0)),"")</f>
        <v/>
      </c>
      <c r="Q232" s="234" t="str">
        <f>+IFERROR(INDEX('Restaurant Base (Hidden)'!$A$2:$Z$1048576,MATCH($C232,'Restaurant Base (Hidden)'!$C$2:$C$1048576,0),MATCH(Q$6,'Restaurant Base (Hidden)'!$A$1:$Z$1,0)),"")</f>
        <v>60,10 %</v>
      </c>
      <c r="R232" s="1">
        <f>+IFERROR(INDEX('Restaurant Base (Hidden)'!$A$2:$Z$1048576,MATCH($C232,'Restaurant Base (Hidden)'!$C$2:$C$1048576,0),MATCH(R$6,'Restaurant Base (Hidden)'!$A$1:$Z$1,0)),"")</f>
        <v>1</v>
      </c>
      <c r="S232" s="2" t="str">
        <f>+IFERROR(INDEX('Restaurant Base (Hidden)'!$A$2:$Z$1048576,MATCH($C232,'Restaurant Base (Hidden)'!$C$2:$C$1048576,0),MATCH(S$6,'Restaurant Base (Hidden)'!$A$1:$Z$1,0)),"")</f>
        <v/>
      </c>
      <c r="T232" s="62">
        <f>+IFERROR(INDEX('Restaurant Base (Hidden)'!$A$2:$Z$1048576,MATCH($C232,'Restaurant Base (Hidden)'!$C$2:$C$1048576,0),MATCH(T$6,'Restaurant Base (Hidden)'!$A$1:$Z$1,0)),"")</f>
        <v>70.5</v>
      </c>
      <c r="U232" s="1">
        <f>+IFERROR(INDEX('Restaurant Base (Hidden)'!$A$2:$Z$1048576,MATCH($C232,'Restaurant Base (Hidden)'!$C$2:$C$1048576,0),MATCH(U$6,'Restaurant Base (Hidden)'!$A$1:$Z$1,0)),"")</f>
        <v>5</v>
      </c>
      <c r="V232" s="2" t="str">
        <f>+IFERROR(INDEX('Restaurant Base (Hidden)'!$A$2:$Z$1048576,MATCH($C232,'Restaurant Base (Hidden)'!$C$2:$C$1048576,0),MATCH(V$6,'Restaurant Base (Hidden)'!$A$1:$Z$1,0)),"")</f>
        <v/>
      </c>
      <c r="W232" s="65" t="str">
        <f>+IFERROR(INDEX('Restaurant Base (Hidden)'!$A$2:$Z$1048576,MATCH($C232,'Restaurant Base (Hidden)'!$C$2:$C$1048576,0),MATCH(W$6,'Restaurant Base (Hidden)'!$A$1:$Z$1,0)),"")</f>
        <v>93,60 %</v>
      </c>
      <c r="X232" s="1">
        <f>+IFERROR(INDEX('Restaurant Base (Hidden)'!$A$2:$Z$1048576,MATCH($C232,'Restaurant Base (Hidden)'!$C$2:$C$1048576,0),MATCH(X$6,'Restaurant Base (Hidden)'!$A$1:$Z$1,0)),"")</f>
        <v>4</v>
      </c>
      <c r="Y232" s="65" t="str">
        <f>+IFERROR(INDEX('Restaurant Base (Hidden)'!$A$2:$Z$1048576,MATCH($C232,'Restaurant Base (Hidden)'!$C$2:$C$1048576,0),MATCH(Y$6,'Restaurant Base (Hidden)'!$A$1:$Z$1,0)),"")</f>
        <v>86,20 %</v>
      </c>
      <c r="Z232" s="106">
        <f>+IFERROR(INDEX('Restaurant Base (Hidden)'!$A$2:$Z$1048576,MATCH($C232,'Restaurant Base (Hidden)'!$C$2:$C$1048576,0),MATCH(Z$6,'Restaurant Base (Hidden)'!$A$1:$Z$1,0)),"")</f>
        <v>3</v>
      </c>
      <c r="AA232" s="65" t="str">
        <f>+IFERROR(INDEX('Restaurant Base (Hidden)'!$A$2:$Z$1048576,MATCH($C232,'Restaurant Base (Hidden)'!$C$2:$C$1048576,0),MATCH(AA$6,'Restaurant Base (Hidden)'!$A$1:$Z$1,0)),"")</f>
        <v>90,90 %</v>
      </c>
      <c r="AB232" s="1">
        <f>+IFERROR(INDEX('Restaurant Base (Hidden)'!$A$2:$Z$1048576,MATCH($C232,'Restaurant Base (Hidden)'!$C$2:$C$1048576,0),MATCH(AB$6,'Restaurant Base (Hidden)'!$A$1:$Z$1,0)),"")</f>
        <v>3</v>
      </c>
      <c r="AC232" s="20" t="str">
        <f>+IFERROR(INDEX('Restaurant Base (Hidden)'!$A$2:$Z$1048576,MATCH($C232,'Restaurant Base (Hidden)'!$C$2:$C$1048576,0),MATCH(AC$6,'Restaurant Base (Hidden)'!$A$1:$Z$1,0)),"")</f>
        <v/>
      </c>
      <c r="AD232" s="65" t="str">
        <f>+IFERROR(INDEX('Restaurant Base (Hidden)'!$A$2:$Z$1048576,MATCH($C232,'Restaurant Base (Hidden)'!$C$2:$C$1048576,0),MATCH(AD$6,'Restaurant Base (Hidden)'!$A$1:$Z$1,0)),"")</f>
        <v>92,20 %</v>
      </c>
      <c r="AE232" s="1">
        <f>+IFERROR(INDEX('Restaurant Base (Hidden)'!$A$2:$Z$1048576,MATCH($C232,'Restaurant Base (Hidden)'!$C$2:$C$1048576,0),MATCH(AE$6,'Restaurant Base (Hidden)'!$A$1:$Z$1,0)),"")</f>
        <v>4</v>
      </c>
      <c r="AF232" s="65" t="str">
        <f>+IFERROR(INDEX('Restaurant Base (Hidden)'!$A$2:$Z$1048576,MATCH($C232,'Restaurant Base (Hidden)'!$C$2:$C$1048576,0),MATCH(AF$6,'Restaurant Base (Hidden)'!$A$1:$Z$1,0)),"")</f>
        <v>65,20 %</v>
      </c>
      <c r="AG232" s="1">
        <f>+IFERROR(INDEX('Restaurant Base (Hidden)'!$A$2:$Z$1048576,MATCH($C232,'Restaurant Base (Hidden)'!$C$2:$C$1048576,0),MATCH(AG$6,'Restaurant Base (Hidden)'!$A$1:$Z$1,0)),"")</f>
        <v>1</v>
      </c>
    </row>
    <row r="233" spans="1:33" x14ac:dyDescent="0.4">
      <c r="A233" s="163" t="str">
        <f>IF('Restaurant Base (Hidden)'!A223=0,"", 'Restaurant Base (Hidden)'!A223)</f>
        <v>Rowan Kingsley</v>
      </c>
      <c r="B233" s="163" t="str">
        <f>IF('Restaurant Base (Hidden)'!B223=0,"", 'Restaurant Base (Hidden)'!B223)</f>
        <v>Goldenridge Hospitality</v>
      </c>
      <c r="C233" s="163" t="str">
        <f>IF('Restaurant Base (Hidden)'!C223=0,"", 'Restaurant Base (Hidden)'!C223)</f>
        <v>Eastwood Square</v>
      </c>
      <c r="D233" s="104">
        <f t="shared" si="3"/>
        <v>225</v>
      </c>
      <c r="E233" s="105">
        <f>+IFERROR(INDEX('Restaurant Base (Hidden)'!$A$2:$Z$1048576,MATCH($C233,'Restaurant Base (Hidden)'!$C$2:$C$1048576,0),MATCH(E$6,'Restaurant Base (Hidden)'!$A$1:$Z$1,0)),"")</f>
        <v>2.94</v>
      </c>
      <c r="F233" s="2" t="str">
        <f>+IFERROR(INDEX('Restaurant Base (Hidden)'!$A$2:$Z$1048576,MATCH($C233,'Restaurant Base (Hidden)'!$C$2:$C$1048576,0),MATCH(F$6,'Restaurant Base (Hidden)'!$A$1:$Z$1,0)),"")</f>
        <v/>
      </c>
      <c r="G233" s="20" t="str">
        <f>+IFERROR(INDEX('Restaurant Base (Hidden)'!$A$2:$Z$1048576,MATCH($C233,'Restaurant Base (Hidden)'!$C$2:$C$1048576,0),MATCH(G$6,'Restaurant Base (Hidden)'!$A$1:$Z$1,0)),"")</f>
        <v>4,233</v>
      </c>
      <c r="H233" s="50">
        <f>+IFERROR(INDEX('Restaurant Base (Hidden)'!$A$2:$Z$1048576,MATCH($C233,'Restaurant Base (Hidden)'!$C$2:$C$1048576,0),MATCH(H$6,'Restaurant Base (Hidden)'!$A$1:$Z$1,0)),"")</f>
        <v>3</v>
      </c>
      <c r="I233" s="20" t="str">
        <f>+IFERROR(INDEX('Restaurant Base (Hidden)'!$A$2:$Z$1048576,MATCH($C233,'Restaurant Base (Hidden)'!$C$2:$C$1048576,0),MATCH(I$6,'Restaurant Base (Hidden)'!$A$1:$Z$1,0)),"")</f>
        <v>76,20 %</v>
      </c>
      <c r="J233" s="49">
        <f>+IFERROR(INDEX('Restaurant Base (Hidden)'!$A$2:$Z$1048576,MATCH($C233,'Restaurant Base (Hidden)'!$C$2:$C$1048576,0),MATCH(J$6,'Restaurant Base (Hidden)'!$A$1:$Z$1,0)),"")</f>
        <v>1</v>
      </c>
      <c r="K233" s="20" t="str">
        <f>+IFERROR(INDEX('Restaurant Base (Hidden)'!$A$2:$Z$1048576,MATCH($C233,'Restaurant Base (Hidden)'!$C$2:$C$1048576,0),MATCH(K$6,'Restaurant Base (Hidden)'!$A$1:$Z$1,0)),"")</f>
        <v>0,214</v>
      </c>
      <c r="L233" s="51">
        <f>+IFERROR(INDEX('Restaurant Base (Hidden)'!$A$2:$Z$1048576,MATCH($C233,'Restaurant Base (Hidden)'!$C$2:$C$1048576,0),MATCH(L$6,'Restaurant Base (Hidden)'!$A$1:$Z$1,0)),"")</f>
        <v>1</v>
      </c>
      <c r="M233" s="2" t="str">
        <f>+IFERROR(INDEX('Restaurant Base (Hidden)'!$A$2:$Z$1048576,MATCH($C233,'Restaurant Base (Hidden)'!$C$2:$C$1048576,0),MATCH(M$6,'Restaurant Base (Hidden)'!$A$1:$Z$1,0)),"")</f>
        <v/>
      </c>
      <c r="N233" s="234" t="str">
        <f>+IFERROR(INDEX('Restaurant Base (Hidden)'!$A$2:$Z$1048576,MATCH($C233,'Restaurant Base (Hidden)'!$C$2:$C$1048576,0),MATCH(N$6,'Restaurant Base (Hidden)'!$A$1:$Z$1,0)),"")</f>
        <v>85,10 %</v>
      </c>
      <c r="O233" s="1">
        <f>+IFERROR(INDEX('Restaurant Base (Hidden)'!$A$2:$Z$1048576,MATCH($C233,'Restaurant Base (Hidden)'!$C$2:$C$1048576,0),MATCH(O$6,'Restaurant Base (Hidden)'!$A$1:$Z$1,0)),"")</f>
        <v>5</v>
      </c>
      <c r="P233" s="2" t="str">
        <f>+IFERROR(INDEX('Restaurant Base (Hidden)'!$A$2:$Z$1048576,MATCH($C233,'Restaurant Base (Hidden)'!$C$2:$C$1048576,0),MATCH(P$6,'Restaurant Base (Hidden)'!$A$1:$Z$1,0)),"")</f>
        <v/>
      </c>
      <c r="Q233" s="234" t="str">
        <f>+IFERROR(INDEX('Restaurant Base (Hidden)'!$A$2:$Z$1048576,MATCH($C233,'Restaurant Base (Hidden)'!$C$2:$C$1048576,0),MATCH(Q$6,'Restaurant Base (Hidden)'!$A$1:$Z$1,0)),"")</f>
        <v>79,40 %</v>
      </c>
      <c r="R233" s="1">
        <f>+IFERROR(INDEX('Restaurant Base (Hidden)'!$A$2:$Z$1048576,MATCH($C233,'Restaurant Base (Hidden)'!$C$2:$C$1048576,0),MATCH(R$6,'Restaurant Base (Hidden)'!$A$1:$Z$1,0)),"")</f>
        <v>5</v>
      </c>
      <c r="S233" s="2" t="str">
        <f>+IFERROR(INDEX('Restaurant Base (Hidden)'!$A$2:$Z$1048576,MATCH($C233,'Restaurant Base (Hidden)'!$C$2:$C$1048576,0),MATCH(S$6,'Restaurant Base (Hidden)'!$A$1:$Z$1,0)),"")</f>
        <v/>
      </c>
      <c r="T233" s="62">
        <f>+IFERROR(INDEX('Restaurant Base (Hidden)'!$A$2:$Z$1048576,MATCH($C233,'Restaurant Base (Hidden)'!$C$2:$C$1048576,0),MATCH(T$6,'Restaurant Base (Hidden)'!$A$1:$Z$1,0)),"")</f>
        <v>62.7</v>
      </c>
      <c r="U233" s="1">
        <f>+IFERROR(INDEX('Restaurant Base (Hidden)'!$A$2:$Z$1048576,MATCH($C233,'Restaurant Base (Hidden)'!$C$2:$C$1048576,0),MATCH(U$6,'Restaurant Base (Hidden)'!$A$1:$Z$1,0)),"")</f>
        <v>3</v>
      </c>
      <c r="V233" s="2" t="str">
        <f>+IFERROR(INDEX('Restaurant Base (Hidden)'!$A$2:$Z$1048576,MATCH($C233,'Restaurant Base (Hidden)'!$C$2:$C$1048576,0),MATCH(V$6,'Restaurant Base (Hidden)'!$A$1:$Z$1,0)),"")</f>
        <v/>
      </c>
      <c r="W233" s="65" t="str">
        <f>+IFERROR(INDEX('Restaurant Base (Hidden)'!$A$2:$Z$1048576,MATCH($C233,'Restaurant Base (Hidden)'!$C$2:$C$1048576,0),MATCH(W$6,'Restaurant Base (Hidden)'!$A$1:$Z$1,0)),"")</f>
        <v>95,20 %</v>
      </c>
      <c r="X233" s="1">
        <f>+IFERROR(INDEX('Restaurant Base (Hidden)'!$A$2:$Z$1048576,MATCH($C233,'Restaurant Base (Hidden)'!$C$2:$C$1048576,0),MATCH(X$6,'Restaurant Base (Hidden)'!$A$1:$Z$1,0)),"")</f>
        <v>4</v>
      </c>
      <c r="Y233" s="65" t="str">
        <f>+IFERROR(INDEX('Restaurant Base (Hidden)'!$A$2:$Z$1048576,MATCH($C233,'Restaurant Base (Hidden)'!$C$2:$C$1048576,0),MATCH(Y$6,'Restaurant Base (Hidden)'!$A$1:$Z$1,0)),"")</f>
        <v>75,50 %</v>
      </c>
      <c r="Z233" s="106">
        <f>+IFERROR(INDEX('Restaurant Base (Hidden)'!$A$2:$Z$1048576,MATCH($C233,'Restaurant Base (Hidden)'!$C$2:$C$1048576,0),MATCH(Z$6,'Restaurant Base (Hidden)'!$A$1:$Z$1,0)),"")</f>
        <v>2</v>
      </c>
      <c r="AA233" s="65" t="str">
        <f>+IFERROR(INDEX('Restaurant Base (Hidden)'!$A$2:$Z$1048576,MATCH($C233,'Restaurant Base (Hidden)'!$C$2:$C$1048576,0),MATCH(AA$6,'Restaurant Base (Hidden)'!$A$1:$Z$1,0)),"")</f>
        <v>81,50 %</v>
      </c>
      <c r="AB233" s="1">
        <f>+IFERROR(INDEX('Restaurant Base (Hidden)'!$A$2:$Z$1048576,MATCH($C233,'Restaurant Base (Hidden)'!$C$2:$C$1048576,0),MATCH(AB$6,'Restaurant Base (Hidden)'!$A$1:$Z$1,0)),"")</f>
        <v>2</v>
      </c>
      <c r="AC233" s="20" t="str">
        <f>+IFERROR(INDEX('Restaurant Base (Hidden)'!$A$2:$Z$1048576,MATCH($C233,'Restaurant Base (Hidden)'!$C$2:$C$1048576,0),MATCH(AC$6,'Restaurant Base (Hidden)'!$A$1:$Z$1,0)),"")</f>
        <v/>
      </c>
      <c r="AD233" s="65" t="str">
        <f>+IFERROR(INDEX('Restaurant Base (Hidden)'!$A$2:$Z$1048576,MATCH($C233,'Restaurant Base (Hidden)'!$C$2:$C$1048576,0),MATCH(AD$6,'Restaurant Base (Hidden)'!$A$1:$Z$1,0)),"")</f>
        <v>88,70 %</v>
      </c>
      <c r="AE233" s="1">
        <f>+IFERROR(INDEX('Restaurant Base (Hidden)'!$A$2:$Z$1048576,MATCH($C233,'Restaurant Base (Hidden)'!$C$2:$C$1048576,0),MATCH(AE$6,'Restaurant Base (Hidden)'!$A$1:$Z$1,0)),"")</f>
        <v>3</v>
      </c>
      <c r="AF233" s="65" t="str">
        <f>+IFERROR(INDEX('Restaurant Base (Hidden)'!$A$2:$Z$1048576,MATCH($C233,'Restaurant Base (Hidden)'!$C$2:$C$1048576,0),MATCH(AF$6,'Restaurant Base (Hidden)'!$A$1:$Z$1,0)),"")</f>
        <v>58,90 %</v>
      </c>
      <c r="AG233" s="1">
        <f>+IFERROR(INDEX('Restaurant Base (Hidden)'!$A$2:$Z$1048576,MATCH($C233,'Restaurant Base (Hidden)'!$C$2:$C$1048576,0),MATCH(AG$6,'Restaurant Base (Hidden)'!$A$1:$Z$1,0)),"")</f>
        <v>1</v>
      </c>
    </row>
    <row r="234" spans="1:33" x14ac:dyDescent="0.4">
      <c r="A234" s="163" t="str">
        <f>IF('Restaurant Base (Hidden)'!A133=0,"", 'Restaurant Base (Hidden)'!A133)</f>
        <v>Quinn Westbrook</v>
      </c>
      <c r="B234" s="163" t="str">
        <f>IF('Restaurant Base (Hidden)'!B133=0,"", 'Restaurant Base (Hidden)'!B133)</f>
        <v>Maplewood Hospitality</v>
      </c>
      <c r="C234" s="163" t="str">
        <f>IF('Restaurant Base (Hidden)'!C133=0,"", 'Restaurant Base (Hidden)'!C133)</f>
        <v>Rosewood Creek</v>
      </c>
      <c r="D234" s="104">
        <f t="shared" si="3"/>
        <v>228</v>
      </c>
      <c r="E234" s="105">
        <f>+IFERROR(INDEX('Restaurant Base (Hidden)'!$A$2:$Z$1048576,MATCH($C234,'Restaurant Base (Hidden)'!$C$2:$C$1048576,0),MATCH(E$6,'Restaurant Base (Hidden)'!$A$1:$Z$1,0)),"")</f>
        <v>2.93</v>
      </c>
      <c r="F234" s="2" t="str">
        <f>+IFERROR(INDEX('Restaurant Base (Hidden)'!$A$2:$Z$1048576,MATCH($C234,'Restaurant Base (Hidden)'!$C$2:$C$1048576,0),MATCH(F$6,'Restaurant Base (Hidden)'!$A$1:$Z$1,0)),"")</f>
        <v/>
      </c>
      <c r="G234" s="20" t="str">
        <f>+IFERROR(INDEX('Restaurant Base (Hidden)'!$A$2:$Z$1048576,MATCH($C234,'Restaurant Base (Hidden)'!$C$2:$C$1048576,0),MATCH(G$6,'Restaurant Base (Hidden)'!$A$1:$Z$1,0)),"")</f>
        <v>4,134</v>
      </c>
      <c r="H234" s="50">
        <f>+IFERROR(INDEX('Restaurant Base (Hidden)'!$A$2:$Z$1048576,MATCH($C234,'Restaurant Base (Hidden)'!$C$2:$C$1048576,0),MATCH(H$6,'Restaurant Base (Hidden)'!$A$1:$Z$1,0)),"")</f>
        <v>2</v>
      </c>
      <c r="I234" s="20" t="str">
        <f>+IFERROR(INDEX('Restaurant Base (Hidden)'!$A$2:$Z$1048576,MATCH($C234,'Restaurant Base (Hidden)'!$C$2:$C$1048576,0),MATCH(I$6,'Restaurant Base (Hidden)'!$A$1:$Z$1,0)),"")</f>
        <v>58,60 %</v>
      </c>
      <c r="J234" s="49">
        <f>+IFERROR(INDEX('Restaurant Base (Hidden)'!$A$2:$Z$1048576,MATCH($C234,'Restaurant Base (Hidden)'!$C$2:$C$1048576,0),MATCH(J$6,'Restaurant Base (Hidden)'!$A$1:$Z$1,0)),"")</f>
        <v>1</v>
      </c>
      <c r="K234" s="20" t="str">
        <f>+IFERROR(INDEX('Restaurant Base (Hidden)'!$A$2:$Z$1048576,MATCH($C234,'Restaurant Base (Hidden)'!$C$2:$C$1048576,0),MATCH(K$6,'Restaurant Base (Hidden)'!$A$1:$Z$1,0)),"")</f>
        <v>0,064</v>
      </c>
      <c r="L234" s="51">
        <f>+IFERROR(INDEX('Restaurant Base (Hidden)'!$A$2:$Z$1048576,MATCH($C234,'Restaurant Base (Hidden)'!$C$2:$C$1048576,0),MATCH(L$6,'Restaurant Base (Hidden)'!$A$1:$Z$1,0)),"")</f>
        <v>4</v>
      </c>
      <c r="M234" s="2" t="str">
        <f>+IFERROR(INDEX('Restaurant Base (Hidden)'!$A$2:$Z$1048576,MATCH($C234,'Restaurant Base (Hidden)'!$C$2:$C$1048576,0),MATCH(M$6,'Restaurant Base (Hidden)'!$A$1:$Z$1,0)),"")</f>
        <v/>
      </c>
      <c r="N234" s="234" t="str">
        <f>+IFERROR(INDEX('Restaurant Base (Hidden)'!$A$2:$Z$1048576,MATCH($C234,'Restaurant Base (Hidden)'!$C$2:$C$1048576,0),MATCH(N$6,'Restaurant Base (Hidden)'!$A$1:$Z$1,0)),"")</f>
        <v>71,70 %</v>
      </c>
      <c r="O234" s="1">
        <f>+IFERROR(INDEX('Restaurant Base (Hidden)'!$A$2:$Z$1048576,MATCH($C234,'Restaurant Base (Hidden)'!$C$2:$C$1048576,0),MATCH(O$6,'Restaurant Base (Hidden)'!$A$1:$Z$1,0)),"")</f>
        <v>4</v>
      </c>
      <c r="P234" s="2" t="str">
        <f>+IFERROR(INDEX('Restaurant Base (Hidden)'!$A$2:$Z$1048576,MATCH($C234,'Restaurant Base (Hidden)'!$C$2:$C$1048576,0),MATCH(P$6,'Restaurant Base (Hidden)'!$A$1:$Z$1,0)),"")</f>
        <v/>
      </c>
      <c r="Q234" s="234" t="str">
        <f>+IFERROR(INDEX('Restaurant Base (Hidden)'!$A$2:$Z$1048576,MATCH($C234,'Restaurant Base (Hidden)'!$C$2:$C$1048576,0),MATCH(Q$6,'Restaurant Base (Hidden)'!$A$1:$Z$1,0)),"")</f>
        <v>88,50 %</v>
      </c>
      <c r="R234" s="1">
        <f>+IFERROR(INDEX('Restaurant Base (Hidden)'!$A$2:$Z$1048576,MATCH($C234,'Restaurant Base (Hidden)'!$C$2:$C$1048576,0),MATCH(R$6,'Restaurant Base (Hidden)'!$A$1:$Z$1,0)),"")</f>
        <v>5</v>
      </c>
      <c r="S234" s="2" t="str">
        <f>+IFERROR(INDEX('Restaurant Base (Hidden)'!$A$2:$Z$1048576,MATCH($C234,'Restaurant Base (Hidden)'!$C$2:$C$1048576,0),MATCH(S$6,'Restaurant Base (Hidden)'!$A$1:$Z$1,0)),"")</f>
        <v/>
      </c>
      <c r="T234" s="62">
        <f>+IFERROR(INDEX('Restaurant Base (Hidden)'!$A$2:$Z$1048576,MATCH($C234,'Restaurant Base (Hidden)'!$C$2:$C$1048576,0),MATCH(T$6,'Restaurant Base (Hidden)'!$A$1:$Z$1,0)),"")</f>
        <v>77.900000000000006</v>
      </c>
      <c r="U234" s="1">
        <f>+IFERROR(INDEX('Restaurant Base (Hidden)'!$A$2:$Z$1048576,MATCH($C234,'Restaurant Base (Hidden)'!$C$2:$C$1048576,0),MATCH(U$6,'Restaurant Base (Hidden)'!$A$1:$Z$1,0)),"")</f>
        <v>5</v>
      </c>
      <c r="V234" s="2" t="str">
        <f>+IFERROR(INDEX('Restaurant Base (Hidden)'!$A$2:$Z$1048576,MATCH($C234,'Restaurant Base (Hidden)'!$C$2:$C$1048576,0),MATCH(V$6,'Restaurant Base (Hidden)'!$A$1:$Z$1,0)),"")</f>
        <v/>
      </c>
      <c r="W234" s="65" t="str">
        <f>+IFERROR(INDEX('Restaurant Base (Hidden)'!$A$2:$Z$1048576,MATCH($C234,'Restaurant Base (Hidden)'!$C$2:$C$1048576,0),MATCH(W$6,'Restaurant Base (Hidden)'!$A$1:$Z$1,0)),"")</f>
        <v>76,20 %</v>
      </c>
      <c r="X234" s="1">
        <f>+IFERROR(INDEX('Restaurant Base (Hidden)'!$A$2:$Z$1048576,MATCH($C234,'Restaurant Base (Hidden)'!$C$2:$C$1048576,0),MATCH(X$6,'Restaurant Base (Hidden)'!$A$1:$Z$1,0)),"")</f>
        <v>2</v>
      </c>
      <c r="Y234" s="65" t="str">
        <f>+IFERROR(INDEX('Restaurant Base (Hidden)'!$A$2:$Z$1048576,MATCH($C234,'Restaurant Base (Hidden)'!$C$2:$C$1048576,0),MATCH(Y$6,'Restaurant Base (Hidden)'!$A$1:$Z$1,0)),"")</f>
        <v>70,50 %</v>
      </c>
      <c r="Z234" s="106">
        <f>+IFERROR(INDEX('Restaurant Base (Hidden)'!$A$2:$Z$1048576,MATCH($C234,'Restaurant Base (Hidden)'!$C$2:$C$1048576,0),MATCH(Z$6,'Restaurant Base (Hidden)'!$A$1:$Z$1,0)),"")</f>
        <v>2</v>
      </c>
      <c r="AA234" s="65" t="str">
        <f>+IFERROR(INDEX('Restaurant Base (Hidden)'!$A$2:$Z$1048576,MATCH($C234,'Restaurant Base (Hidden)'!$C$2:$C$1048576,0),MATCH(AA$6,'Restaurant Base (Hidden)'!$A$1:$Z$1,0)),"")</f>
        <v>67,80 %</v>
      </c>
      <c r="AB234" s="1">
        <f>+IFERROR(INDEX('Restaurant Base (Hidden)'!$A$2:$Z$1048576,MATCH($C234,'Restaurant Base (Hidden)'!$C$2:$C$1048576,0),MATCH(AB$6,'Restaurant Base (Hidden)'!$A$1:$Z$1,0)),"")</f>
        <v>2</v>
      </c>
      <c r="AC234" s="20" t="str">
        <f>+IFERROR(INDEX('Restaurant Base (Hidden)'!$A$2:$Z$1048576,MATCH($C234,'Restaurant Base (Hidden)'!$C$2:$C$1048576,0),MATCH(AC$6,'Restaurant Base (Hidden)'!$A$1:$Z$1,0)),"")</f>
        <v/>
      </c>
      <c r="AD234" s="65" t="str">
        <f>+IFERROR(INDEX('Restaurant Base (Hidden)'!$A$2:$Z$1048576,MATCH($C234,'Restaurant Base (Hidden)'!$C$2:$C$1048576,0),MATCH(AD$6,'Restaurant Base (Hidden)'!$A$1:$Z$1,0)),"")</f>
        <v>79,80 %</v>
      </c>
      <c r="AE234" s="1">
        <f>+IFERROR(INDEX('Restaurant Base (Hidden)'!$A$2:$Z$1048576,MATCH($C234,'Restaurant Base (Hidden)'!$C$2:$C$1048576,0),MATCH(AE$6,'Restaurant Base (Hidden)'!$A$1:$Z$1,0)),"")</f>
        <v>2</v>
      </c>
      <c r="AF234" s="65" t="str">
        <f>+IFERROR(INDEX('Restaurant Base (Hidden)'!$A$2:$Z$1048576,MATCH($C234,'Restaurant Base (Hidden)'!$C$2:$C$1048576,0),MATCH(AF$6,'Restaurant Base (Hidden)'!$A$1:$Z$1,0)),"")</f>
        <v>67,30 %</v>
      </c>
      <c r="AG234" s="1">
        <f>+IFERROR(INDEX('Restaurant Base (Hidden)'!$A$2:$Z$1048576,MATCH($C234,'Restaurant Base (Hidden)'!$C$2:$C$1048576,0),MATCH(AG$6,'Restaurant Base (Hidden)'!$A$1:$Z$1,0)),"")</f>
        <v>1</v>
      </c>
    </row>
    <row r="235" spans="1:33" x14ac:dyDescent="0.4">
      <c r="A235" s="163" t="str">
        <f>IF('Restaurant Base (Hidden)'!A177=0,"", 'Restaurant Base (Hidden)'!A177)</f>
        <v>Blake Bellamy</v>
      </c>
      <c r="B235" s="163" t="str">
        <f>IF('Restaurant Base (Hidden)'!B177=0,"", 'Restaurant Base (Hidden)'!B177)</f>
        <v>Greenhaven Restaurants</v>
      </c>
      <c r="C235" s="163" t="str">
        <f>IF('Restaurant Base (Hidden)'!C177=0,"", 'Restaurant Base (Hidden)'!C177)</f>
        <v>Lunar Terrace</v>
      </c>
      <c r="D235" s="104">
        <f t="shared" si="3"/>
        <v>228</v>
      </c>
      <c r="E235" s="105">
        <f>+IFERROR(INDEX('Restaurant Base (Hidden)'!$A$2:$Z$1048576,MATCH($C235,'Restaurant Base (Hidden)'!$C$2:$C$1048576,0),MATCH(E$6,'Restaurant Base (Hidden)'!$A$1:$Z$1,0)),"")</f>
        <v>2.93</v>
      </c>
      <c r="F235" s="2" t="str">
        <f>+IFERROR(INDEX('Restaurant Base (Hidden)'!$A$2:$Z$1048576,MATCH($C235,'Restaurant Base (Hidden)'!$C$2:$C$1048576,0),MATCH(F$6,'Restaurant Base (Hidden)'!$A$1:$Z$1,0)),"")</f>
        <v/>
      </c>
      <c r="G235" s="20" t="str">
        <f>+IFERROR(INDEX('Restaurant Base (Hidden)'!$A$2:$Z$1048576,MATCH($C235,'Restaurant Base (Hidden)'!$C$2:$C$1048576,0),MATCH(G$6,'Restaurant Base (Hidden)'!$A$1:$Z$1,0)),"")</f>
        <v>4,510</v>
      </c>
      <c r="H235" s="50">
        <f>+IFERROR(INDEX('Restaurant Base (Hidden)'!$A$2:$Z$1048576,MATCH($C235,'Restaurant Base (Hidden)'!$C$2:$C$1048576,0),MATCH(H$6,'Restaurant Base (Hidden)'!$A$1:$Z$1,0)),"")</f>
        <v>5</v>
      </c>
      <c r="I235" s="20" t="str">
        <f>+IFERROR(INDEX('Restaurant Base (Hidden)'!$A$2:$Z$1048576,MATCH($C235,'Restaurant Base (Hidden)'!$C$2:$C$1048576,0),MATCH(I$6,'Restaurant Base (Hidden)'!$A$1:$Z$1,0)),"")</f>
        <v>70,90 %</v>
      </c>
      <c r="J235" s="49">
        <f>+IFERROR(INDEX('Restaurant Base (Hidden)'!$A$2:$Z$1048576,MATCH($C235,'Restaurant Base (Hidden)'!$C$2:$C$1048576,0),MATCH(J$6,'Restaurant Base (Hidden)'!$A$1:$Z$1,0)),"")</f>
        <v>1</v>
      </c>
      <c r="K235" s="20" t="str">
        <f>+IFERROR(INDEX('Restaurant Base (Hidden)'!$A$2:$Z$1048576,MATCH($C235,'Restaurant Base (Hidden)'!$C$2:$C$1048576,0),MATCH(K$6,'Restaurant Base (Hidden)'!$A$1:$Z$1,0)),"")</f>
        <v>0,048</v>
      </c>
      <c r="L235" s="51">
        <f>+IFERROR(INDEX('Restaurant Base (Hidden)'!$A$2:$Z$1048576,MATCH($C235,'Restaurant Base (Hidden)'!$C$2:$C$1048576,0),MATCH(L$6,'Restaurant Base (Hidden)'!$A$1:$Z$1,0)),"")</f>
        <v>5</v>
      </c>
      <c r="M235" s="2" t="str">
        <f>+IFERROR(INDEX('Restaurant Base (Hidden)'!$A$2:$Z$1048576,MATCH($C235,'Restaurant Base (Hidden)'!$C$2:$C$1048576,0),MATCH(M$6,'Restaurant Base (Hidden)'!$A$1:$Z$1,0)),"")</f>
        <v/>
      </c>
      <c r="N235" s="234" t="str">
        <f>+IFERROR(INDEX('Restaurant Base (Hidden)'!$A$2:$Z$1048576,MATCH($C235,'Restaurant Base (Hidden)'!$C$2:$C$1048576,0),MATCH(N$6,'Restaurant Base (Hidden)'!$A$1:$Z$1,0)),"")</f>
        <v>59,70 %</v>
      </c>
      <c r="O235" s="1">
        <f>+IFERROR(INDEX('Restaurant Base (Hidden)'!$A$2:$Z$1048576,MATCH($C235,'Restaurant Base (Hidden)'!$C$2:$C$1048576,0),MATCH(O$6,'Restaurant Base (Hidden)'!$A$1:$Z$1,0)),"")</f>
        <v>1</v>
      </c>
      <c r="P235" s="2" t="str">
        <f>+IFERROR(INDEX('Restaurant Base (Hidden)'!$A$2:$Z$1048576,MATCH($C235,'Restaurant Base (Hidden)'!$C$2:$C$1048576,0),MATCH(P$6,'Restaurant Base (Hidden)'!$A$1:$Z$1,0)),"")</f>
        <v/>
      </c>
      <c r="Q235" s="234" t="str">
        <f>+IFERROR(INDEX('Restaurant Base (Hidden)'!$A$2:$Z$1048576,MATCH($C235,'Restaurant Base (Hidden)'!$C$2:$C$1048576,0),MATCH(Q$6,'Restaurant Base (Hidden)'!$A$1:$Z$1,0)),"")</f>
        <v>70,50 %</v>
      </c>
      <c r="R235" s="1">
        <f>+IFERROR(INDEX('Restaurant Base (Hidden)'!$A$2:$Z$1048576,MATCH($C235,'Restaurant Base (Hidden)'!$C$2:$C$1048576,0),MATCH(R$6,'Restaurant Base (Hidden)'!$A$1:$Z$1,0)),"")</f>
        <v>4</v>
      </c>
      <c r="S235" s="2" t="str">
        <f>+IFERROR(INDEX('Restaurant Base (Hidden)'!$A$2:$Z$1048576,MATCH($C235,'Restaurant Base (Hidden)'!$C$2:$C$1048576,0),MATCH(S$6,'Restaurant Base (Hidden)'!$A$1:$Z$1,0)),"")</f>
        <v/>
      </c>
      <c r="T235" s="62">
        <f>+IFERROR(INDEX('Restaurant Base (Hidden)'!$A$2:$Z$1048576,MATCH($C235,'Restaurant Base (Hidden)'!$C$2:$C$1048576,0),MATCH(T$6,'Restaurant Base (Hidden)'!$A$1:$Z$1,0)),"")</f>
        <v>61.4</v>
      </c>
      <c r="U235" s="1">
        <f>+IFERROR(INDEX('Restaurant Base (Hidden)'!$A$2:$Z$1048576,MATCH($C235,'Restaurant Base (Hidden)'!$C$2:$C$1048576,0),MATCH(U$6,'Restaurant Base (Hidden)'!$A$1:$Z$1,0)),"")</f>
        <v>3</v>
      </c>
      <c r="V235" s="2" t="str">
        <f>+IFERROR(INDEX('Restaurant Base (Hidden)'!$A$2:$Z$1048576,MATCH($C235,'Restaurant Base (Hidden)'!$C$2:$C$1048576,0),MATCH(V$6,'Restaurant Base (Hidden)'!$A$1:$Z$1,0)),"")</f>
        <v/>
      </c>
      <c r="W235" s="65" t="str">
        <f>+IFERROR(INDEX('Restaurant Base (Hidden)'!$A$2:$Z$1048576,MATCH($C235,'Restaurant Base (Hidden)'!$C$2:$C$1048576,0),MATCH(W$6,'Restaurant Base (Hidden)'!$A$1:$Z$1,0)),"")</f>
        <v>66,20 %</v>
      </c>
      <c r="X235" s="1">
        <f>+IFERROR(INDEX('Restaurant Base (Hidden)'!$A$2:$Z$1048576,MATCH($C235,'Restaurant Base (Hidden)'!$C$2:$C$1048576,0),MATCH(X$6,'Restaurant Base (Hidden)'!$A$1:$Z$1,0)),"")</f>
        <v>2</v>
      </c>
      <c r="Y235" s="65" t="str">
        <f>+IFERROR(INDEX('Restaurant Base (Hidden)'!$A$2:$Z$1048576,MATCH($C235,'Restaurant Base (Hidden)'!$C$2:$C$1048576,0),MATCH(Y$6,'Restaurant Base (Hidden)'!$A$1:$Z$1,0)),"")</f>
        <v>97,40 %</v>
      </c>
      <c r="Z235" s="106">
        <f>+IFERROR(INDEX('Restaurant Base (Hidden)'!$A$2:$Z$1048576,MATCH($C235,'Restaurant Base (Hidden)'!$C$2:$C$1048576,0),MATCH(Z$6,'Restaurant Base (Hidden)'!$A$1:$Z$1,0)),"")</f>
        <v>4</v>
      </c>
      <c r="AA235" s="65" t="str">
        <f>+IFERROR(INDEX('Restaurant Base (Hidden)'!$A$2:$Z$1048576,MATCH($C235,'Restaurant Base (Hidden)'!$C$2:$C$1048576,0),MATCH(AA$6,'Restaurant Base (Hidden)'!$A$1:$Z$1,0)),"")</f>
        <v>68,30 %</v>
      </c>
      <c r="AB235" s="1">
        <f>+IFERROR(INDEX('Restaurant Base (Hidden)'!$A$2:$Z$1048576,MATCH($C235,'Restaurant Base (Hidden)'!$C$2:$C$1048576,0),MATCH(AB$6,'Restaurant Base (Hidden)'!$A$1:$Z$1,0)),"")</f>
        <v>2</v>
      </c>
      <c r="AC235" s="20" t="str">
        <f>+IFERROR(INDEX('Restaurant Base (Hidden)'!$A$2:$Z$1048576,MATCH($C235,'Restaurant Base (Hidden)'!$C$2:$C$1048576,0),MATCH(AC$6,'Restaurant Base (Hidden)'!$A$1:$Z$1,0)),"")</f>
        <v/>
      </c>
      <c r="AD235" s="65" t="str">
        <f>+IFERROR(INDEX('Restaurant Base (Hidden)'!$A$2:$Z$1048576,MATCH($C235,'Restaurant Base (Hidden)'!$C$2:$C$1048576,0),MATCH(AD$6,'Restaurant Base (Hidden)'!$A$1:$Z$1,0)),"")</f>
        <v>91,10 %</v>
      </c>
      <c r="AE235" s="1">
        <f>+IFERROR(INDEX('Restaurant Base (Hidden)'!$A$2:$Z$1048576,MATCH($C235,'Restaurant Base (Hidden)'!$C$2:$C$1048576,0),MATCH(AE$6,'Restaurant Base (Hidden)'!$A$1:$Z$1,0)),"")</f>
        <v>4</v>
      </c>
      <c r="AF235" s="65" t="str">
        <f>+IFERROR(INDEX('Restaurant Base (Hidden)'!$A$2:$Z$1048576,MATCH($C235,'Restaurant Base (Hidden)'!$C$2:$C$1048576,0),MATCH(AF$6,'Restaurant Base (Hidden)'!$A$1:$Z$1,0)),"")</f>
        <v>90,40 %</v>
      </c>
      <c r="AG235" s="1">
        <f>+IFERROR(INDEX('Restaurant Base (Hidden)'!$A$2:$Z$1048576,MATCH($C235,'Restaurant Base (Hidden)'!$C$2:$C$1048576,0),MATCH(AG$6,'Restaurant Base (Hidden)'!$A$1:$Z$1,0)),"")</f>
        <v>3</v>
      </c>
    </row>
    <row r="236" spans="1:33" x14ac:dyDescent="0.4">
      <c r="A236" s="163" t="str">
        <f>IF('Restaurant Base (Hidden)'!A249=0,"", 'Restaurant Base (Hidden)'!A249)</f>
        <v>Quinn Westbrook</v>
      </c>
      <c r="B236" s="163" t="str">
        <f>IF('Restaurant Base (Hidden)'!B249=0,"", 'Restaurant Base (Hidden)'!B249)</f>
        <v>Rivermark Food Group</v>
      </c>
      <c r="C236" s="163" t="str">
        <f>IF('Restaurant Base (Hidden)'!C249=0,"", 'Restaurant Base (Hidden)'!C249)</f>
        <v>Crown Station</v>
      </c>
      <c r="D236" s="104">
        <f t="shared" si="3"/>
        <v>228</v>
      </c>
      <c r="E236" s="105">
        <f>+IFERROR(INDEX('Restaurant Base (Hidden)'!$A$2:$Z$1048576,MATCH($C236,'Restaurant Base (Hidden)'!$C$2:$C$1048576,0),MATCH(E$6,'Restaurant Base (Hidden)'!$A$1:$Z$1,0)),"")</f>
        <v>2.93</v>
      </c>
      <c r="F236" s="2" t="str">
        <f>+IFERROR(INDEX('Restaurant Base (Hidden)'!$A$2:$Z$1048576,MATCH($C236,'Restaurant Base (Hidden)'!$C$2:$C$1048576,0),MATCH(F$6,'Restaurant Base (Hidden)'!$A$1:$Z$1,0)),"")</f>
        <v/>
      </c>
      <c r="G236" s="20" t="str">
        <f>+IFERROR(INDEX('Restaurant Base (Hidden)'!$A$2:$Z$1048576,MATCH($C236,'Restaurant Base (Hidden)'!$C$2:$C$1048576,0),MATCH(G$6,'Restaurant Base (Hidden)'!$A$1:$Z$1,0)),"")</f>
        <v>4,644</v>
      </c>
      <c r="H236" s="50">
        <f>+IFERROR(INDEX('Restaurant Base (Hidden)'!$A$2:$Z$1048576,MATCH($C236,'Restaurant Base (Hidden)'!$C$2:$C$1048576,0),MATCH(H$6,'Restaurant Base (Hidden)'!$A$1:$Z$1,0)),"")</f>
        <v>5</v>
      </c>
      <c r="I236" s="20" t="str">
        <f>+IFERROR(INDEX('Restaurant Base (Hidden)'!$A$2:$Z$1048576,MATCH($C236,'Restaurant Base (Hidden)'!$C$2:$C$1048576,0),MATCH(I$6,'Restaurant Base (Hidden)'!$A$1:$Z$1,0)),"")</f>
        <v>72,90 %</v>
      </c>
      <c r="J236" s="49">
        <f>+IFERROR(INDEX('Restaurant Base (Hidden)'!$A$2:$Z$1048576,MATCH($C236,'Restaurant Base (Hidden)'!$C$2:$C$1048576,0),MATCH(J$6,'Restaurant Base (Hidden)'!$A$1:$Z$1,0)),"")</f>
        <v>1</v>
      </c>
      <c r="K236" s="20" t="str">
        <f>+IFERROR(INDEX('Restaurant Base (Hidden)'!$A$2:$Z$1048576,MATCH($C236,'Restaurant Base (Hidden)'!$C$2:$C$1048576,0),MATCH(K$6,'Restaurant Base (Hidden)'!$A$1:$Z$1,0)),"")</f>
        <v>0,102</v>
      </c>
      <c r="L236" s="51">
        <f>+IFERROR(INDEX('Restaurant Base (Hidden)'!$A$2:$Z$1048576,MATCH($C236,'Restaurant Base (Hidden)'!$C$2:$C$1048576,0),MATCH(L$6,'Restaurant Base (Hidden)'!$A$1:$Z$1,0)),"")</f>
        <v>3</v>
      </c>
      <c r="M236" s="2" t="str">
        <f>+IFERROR(INDEX('Restaurant Base (Hidden)'!$A$2:$Z$1048576,MATCH($C236,'Restaurant Base (Hidden)'!$C$2:$C$1048576,0),MATCH(M$6,'Restaurant Base (Hidden)'!$A$1:$Z$1,0)),"")</f>
        <v/>
      </c>
      <c r="N236" s="234" t="str">
        <f>+IFERROR(INDEX('Restaurant Base (Hidden)'!$A$2:$Z$1048576,MATCH($C236,'Restaurant Base (Hidden)'!$C$2:$C$1048576,0),MATCH(N$6,'Restaurant Base (Hidden)'!$A$1:$Z$1,0)),"")</f>
        <v>60,10 %</v>
      </c>
      <c r="O236" s="1">
        <f>+IFERROR(INDEX('Restaurant Base (Hidden)'!$A$2:$Z$1048576,MATCH($C236,'Restaurant Base (Hidden)'!$C$2:$C$1048576,0),MATCH(O$6,'Restaurant Base (Hidden)'!$A$1:$Z$1,0)),"")</f>
        <v>2</v>
      </c>
      <c r="P236" s="2" t="str">
        <f>+IFERROR(INDEX('Restaurant Base (Hidden)'!$A$2:$Z$1048576,MATCH($C236,'Restaurant Base (Hidden)'!$C$2:$C$1048576,0),MATCH(P$6,'Restaurant Base (Hidden)'!$A$1:$Z$1,0)),"")</f>
        <v/>
      </c>
      <c r="Q236" s="234" t="str">
        <f>+IFERROR(INDEX('Restaurant Base (Hidden)'!$A$2:$Z$1048576,MATCH($C236,'Restaurant Base (Hidden)'!$C$2:$C$1048576,0),MATCH(Q$6,'Restaurant Base (Hidden)'!$A$1:$Z$1,0)),"")</f>
        <v>66,10 %</v>
      </c>
      <c r="R236" s="1">
        <f>+IFERROR(INDEX('Restaurant Base (Hidden)'!$A$2:$Z$1048576,MATCH($C236,'Restaurant Base (Hidden)'!$C$2:$C$1048576,0),MATCH(R$6,'Restaurant Base (Hidden)'!$A$1:$Z$1,0)),"")</f>
        <v>3</v>
      </c>
      <c r="S236" s="2" t="str">
        <f>+IFERROR(INDEX('Restaurant Base (Hidden)'!$A$2:$Z$1048576,MATCH($C236,'Restaurant Base (Hidden)'!$C$2:$C$1048576,0),MATCH(S$6,'Restaurant Base (Hidden)'!$A$1:$Z$1,0)),"")</f>
        <v/>
      </c>
      <c r="T236" s="62">
        <f>+IFERROR(INDEX('Restaurant Base (Hidden)'!$A$2:$Z$1048576,MATCH($C236,'Restaurant Base (Hidden)'!$C$2:$C$1048576,0),MATCH(T$6,'Restaurant Base (Hidden)'!$A$1:$Z$1,0)),"")</f>
        <v>74.900000000000006</v>
      </c>
      <c r="U236" s="1">
        <f>+IFERROR(INDEX('Restaurant Base (Hidden)'!$A$2:$Z$1048576,MATCH($C236,'Restaurant Base (Hidden)'!$C$2:$C$1048576,0),MATCH(U$6,'Restaurant Base (Hidden)'!$A$1:$Z$1,0)),"")</f>
        <v>5</v>
      </c>
      <c r="V236" s="2" t="str">
        <f>+IFERROR(INDEX('Restaurant Base (Hidden)'!$A$2:$Z$1048576,MATCH($C236,'Restaurant Base (Hidden)'!$C$2:$C$1048576,0),MATCH(V$6,'Restaurant Base (Hidden)'!$A$1:$Z$1,0)),"")</f>
        <v/>
      </c>
      <c r="W236" s="65" t="str">
        <f>+IFERROR(INDEX('Restaurant Base (Hidden)'!$A$2:$Z$1048576,MATCH($C236,'Restaurant Base (Hidden)'!$C$2:$C$1048576,0),MATCH(W$6,'Restaurant Base (Hidden)'!$A$1:$Z$1,0)),"")</f>
        <v>80,70 %</v>
      </c>
      <c r="X236" s="1">
        <f>+IFERROR(INDEX('Restaurant Base (Hidden)'!$A$2:$Z$1048576,MATCH($C236,'Restaurant Base (Hidden)'!$C$2:$C$1048576,0),MATCH(X$6,'Restaurant Base (Hidden)'!$A$1:$Z$1,0)),"")</f>
        <v>3</v>
      </c>
      <c r="Y236" s="65" t="str">
        <f>+IFERROR(INDEX('Restaurant Base (Hidden)'!$A$2:$Z$1048576,MATCH($C236,'Restaurant Base (Hidden)'!$C$2:$C$1048576,0),MATCH(Y$6,'Restaurant Base (Hidden)'!$A$1:$Z$1,0)),"")</f>
        <v>75,30 %</v>
      </c>
      <c r="Z236" s="106">
        <f>+IFERROR(INDEX('Restaurant Base (Hidden)'!$A$2:$Z$1048576,MATCH($C236,'Restaurant Base (Hidden)'!$C$2:$C$1048576,0),MATCH(Z$6,'Restaurant Base (Hidden)'!$A$1:$Z$1,0)),"")</f>
        <v>2</v>
      </c>
      <c r="AA236" s="65" t="str">
        <f>+IFERROR(INDEX('Restaurant Base (Hidden)'!$A$2:$Z$1048576,MATCH($C236,'Restaurant Base (Hidden)'!$C$2:$C$1048576,0),MATCH(AA$6,'Restaurant Base (Hidden)'!$A$1:$Z$1,0)),"")</f>
        <v>88,70 %</v>
      </c>
      <c r="AB236" s="1">
        <f>+IFERROR(INDEX('Restaurant Base (Hidden)'!$A$2:$Z$1048576,MATCH($C236,'Restaurant Base (Hidden)'!$C$2:$C$1048576,0),MATCH(AB$6,'Restaurant Base (Hidden)'!$A$1:$Z$1,0)),"")</f>
        <v>3</v>
      </c>
      <c r="AC236" s="20" t="str">
        <f>+IFERROR(INDEX('Restaurant Base (Hidden)'!$A$2:$Z$1048576,MATCH($C236,'Restaurant Base (Hidden)'!$C$2:$C$1048576,0),MATCH(AC$6,'Restaurant Base (Hidden)'!$A$1:$Z$1,0)),"")</f>
        <v/>
      </c>
      <c r="AD236" s="65" t="str">
        <f>+IFERROR(INDEX('Restaurant Base (Hidden)'!$A$2:$Z$1048576,MATCH($C236,'Restaurant Base (Hidden)'!$C$2:$C$1048576,0),MATCH(AD$6,'Restaurant Base (Hidden)'!$A$1:$Z$1,0)),"")</f>
        <v>95,50 %</v>
      </c>
      <c r="AE236" s="1">
        <f>+IFERROR(INDEX('Restaurant Base (Hidden)'!$A$2:$Z$1048576,MATCH($C236,'Restaurant Base (Hidden)'!$C$2:$C$1048576,0),MATCH(AE$6,'Restaurant Base (Hidden)'!$A$1:$Z$1,0)),"")</f>
        <v>5</v>
      </c>
      <c r="AF236" s="65" t="str">
        <f>+IFERROR(INDEX('Restaurant Base (Hidden)'!$A$2:$Z$1048576,MATCH($C236,'Restaurant Base (Hidden)'!$C$2:$C$1048576,0),MATCH(AF$6,'Restaurant Base (Hidden)'!$A$1:$Z$1,0)),"")</f>
        <v>56,30 %</v>
      </c>
      <c r="AG236" s="1">
        <f>+IFERROR(INDEX('Restaurant Base (Hidden)'!$A$2:$Z$1048576,MATCH($C236,'Restaurant Base (Hidden)'!$C$2:$C$1048576,0),MATCH(AG$6,'Restaurant Base (Hidden)'!$A$1:$Z$1,0)),"")</f>
        <v>1</v>
      </c>
    </row>
    <row r="237" spans="1:33" x14ac:dyDescent="0.4">
      <c r="A237" s="163" t="str">
        <f>IF('Restaurant Base (Hidden)'!A338=0,"", 'Restaurant Base (Hidden)'!A338)</f>
        <v>Riley Wellington</v>
      </c>
      <c r="B237" s="163" t="str">
        <f>IF('Restaurant Base (Hidden)'!B338=0,"", 'Restaurant Base (Hidden)'!B338)</f>
        <v>Crownfield Hospitality</v>
      </c>
      <c r="C237" s="163" t="str">
        <f>IF('Restaurant Base (Hidden)'!C338=0,"", 'Restaurant Base (Hidden)'!C338)</f>
        <v>Elm Terrace</v>
      </c>
      <c r="D237" s="104">
        <f t="shared" si="3"/>
        <v>228</v>
      </c>
      <c r="E237" s="105">
        <f>+IFERROR(INDEX('Restaurant Base (Hidden)'!$A$2:$Z$1048576,MATCH($C237,'Restaurant Base (Hidden)'!$C$2:$C$1048576,0),MATCH(E$6,'Restaurant Base (Hidden)'!$A$1:$Z$1,0)),"")</f>
        <v>2.93</v>
      </c>
      <c r="F237" s="2" t="str">
        <f>+IFERROR(INDEX('Restaurant Base (Hidden)'!$A$2:$Z$1048576,MATCH($C237,'Restaurant Base (Hidden)'!$C$2:$C$1048576,0),MATCH(F$6,'Restaurant Base (Hidden)'!$A$1:$Z$1,0)),"")</f>
        <v/>
      </c>
      <c r="G237" s="20" t="str">
        <f>+IFERROR(INDEX('Restaurant Base (Hidden)'!$A$2:$Z$1048576,MATCH($C237,'Restaurant Base (Hidden)'!$C$2:$C$1048576,0),MATCH(G$6,'Restaurant Base (Hidden)'!$A$1:$Z$1,0)),"")</f>
        <v>4,529</v>
      </c>
      <c r="H237" s="50">
        <f>+IFERROR(INDEX('Restaurant Base (Hidden)'!$A$2:$Z$1048576,MATCH($C237,'Restaurant Base (Hidden)'!$C$2:$C$1048576,0),MATCH(H$6,'Restaurant Base (Hidden)'!$A$1:$Z$1,0)),"")</f>
        <v>5</v>
      </c>
      <c r="I237" s="20" t="str">
        <f>+IFERROR(INDEX('Restaurant Base (Hidden)'!$A$2:$Z$1048576,MATCH($C237,'Restaurant Base (Hidden)'!$C$2:$C$1048576,0),MATCH(I$6,'Restaurant Base (Hidden)'!$A$1:$Z$1,0)),"")</f>
        <v>69,40 %</v>
      </c>
      <c r="J237" s="49">
        <f>+IFERROR(INDEX('Restaurant Base (Hidden)'!$A$2:$Z$1048576,MATCH($C237,'Restaurant Base (Hidden)'!$C$2:$C$1048576,0),MATCH(J$6,'Restaurant Base (Hidden)'!$A$1:$Z$1,0)),"")</f>
        <v>1</v>
      </c>
      <c r="K237" s="20" t="str">
        <f>+IFERROR(INDEX('Restaurant Base (Hidden)'!$A$2:$Z$1048576,MATCH($C237,'Restaurant Base (Hidden)'!$C$2:$C$1048576,0),MATCH(K$6,'Restaurant Base (Hidden)'!$A$1:$Z$1,0)),"")</f>
        <v>0,054</v>
      </c>
      <c r="L237" s="51">
        <f>+IFERROR(INDEX('Restaurant Base (Hidden)'!$A$2:$Z$1048576,MATCH($C237,'Restaurant Base (Hidden)'!$C$2:$C$1048576,0),MATCH(L$6,'Restaurant Base (Hidden)'!$A$1:$Z$1,0)),"")</f>
        <v>5</v>
      </c>
      <c r="M237" s="2" t="str">
        <f>+IFERROR(INDEX('Restaurant Base (Hidden)'!$A$2:$Z$1048576,MATCH($C237,'Restaurant Base (Hidden)'!$C$2:$C$1048576,0),MATCH(M$6,'Restaurant Base (Hidden)'!$A$1:$Z$1,0)),"")</f>
        <v/>
      </c>
      <c r="N237" s="234" t="str">
        <f>+IFERROR(INDEX('Restaurant Base (Hidden)'!$A$2:$Z$1048576,MATCH($C237,'Restaurant Base (Hidden)'!$C$2:$C$1048576,0),MATCH(N$6,'Restaurant Base (Hidden)'!$A$1:$Z$1,0)),"")</f>
        <v>96,00 %</v>
      </c>
      <c r="O237" s="1">
        <f>+IFERROR(INDEX('Restaurant Base (Hidden)'!$A$2:$Z$1048576,MATCH($C237,'Restaurant Base (Hidden)'!$C$2:$C$1048576,0),MATCH(O$6,'Restaurant Base (Hidden)'!$A$1:$Z$1,0)),"")</f>
        <v>5</v>
      </c>
      <c r="P237" s="2" t="str">
        <f>+IFERROR(INDEX('Restaurant Base (Hidden)'!$A$2:$Z$1048576,MATCH($C237,'Restaurant Base (Hidden)'!$C$2:$C$1048576,0),MATCH(P$6,'Restaurant Base (Hidden)'!$A$1:$Z$1,0)),"")</f>
        <v/>
      </c>
      <c r="Q237" s="234" t="str">
        <f>+IFERROR(INDEX('Restaurant Base (Hidden)'!$A$2:$Z$1048576,MATCH($C237,'Restaurant Base (Hidden)'!$C$2:$C$1048576,0),MATCH(Q$6,'Restaurant Base (Hidden)'!$A$1:$Z$1,0)),"")</f>
        <v>57,30 %</v>
      </c>
      <c r="R237" s="1">
        <f>+IFERROR(INDEX('Restaurant Base (Hidden)'!$A$2:$Z$1048576,MATCH($C237,'Restaurant Base (Hidden)'!$C$2:$C$1048576,0),MATCH(R$6,'Restaurant Base (Hidden)'!$A$1:$Z$1,0)),"")</f>
        <v>1</v>
      </c>
      <c r="S237" s="2" t="str">
        <f>+IFERROR(INDEX('Restaurant Base (Hidden)'!$A$2:$Z$1048576,MATCH($C237,'Restaurant Base (Hidden)'!$C$2:$C$1048576,0),MATCH(S$6,'Restaurant Base (Hidden)'!$A$1:$Z$1,0)),"")</f>
        <v/>
      </c>
      <c r="T237" s="62">
        <f>+IFERROR(INDEX('Restaurant Base (Hidden)'!$A$2:$Z$1048576,MATCH($C237,'Restaurant Base (Hidden)'!$C$2:$C$1048576,0),MATCH(T$6,'Restaurant Base (Hidden)'!$A$1:$Z$1,0)),"")</f>
        <v>76.5</v>
      </c>
      <c r="U237" s="1">
        <f>+IFERROR(INDEX('Restaurant Base (Hidden)'!$A$2:$Z$1048576,MATCH($C237,'Restaurant Base (Hidden)'!$C$2:$C$1048576,0),MATCH(U$6,'Restaurant Base (Hidden)'!$A$1:$Z$1,0)),"")</f>
        <v>5</v>
      </c>
      <c r="V237" s="2" t="str">
        <f>+IFERROR(INDEX('Restaurant Base (Hidden)'!$A$2:$Z$1048576,MATCH($C237,'Restaurant Base (Hidden)'!$C$2:$C$1048576,0),MATCH(V$6,'Restaurant Base (Hidden)'!$A$1:$Z$1,0)),"")</f>
        <v/>
      </c>
      <c r="W237" s="65" t="str">
        <f>+IFERROR(INDEX('Restaurant Base (Hidden)'!$A$2:$Z$1048576,MATCH($C237,'Restaurant Base (Hidden)'!$C$2:$C$1048576,0),MATCH(W$6,'Restaurant Base (Hidden)'!$A$1:$Z$1,0)),"")</f>
        <v>63,90 %</v>
      </c>
      <c r="X237" s="1">
        <f>+IFERROR(INDEX('Restaurant Base (Hidden)'!$A$2:$Z$1048576,MATCH($C237,'Restaurant Base (Hidden)'!$C$2:$C$1048576,0),MATCH(X$6,'Restaurant Base (Hidden)'!$A$1:$Z$1,0)),"")</f>
        <v>2</v>
      </c>
      <c r="Y237" s="65" t="str">
        <f>+IFERROR(INDEX('Restaurant Base (Hidden)'!$A$2:$Z$1048576,MATCH($C237,'Restaurant Base (Hidden)'!$C$2:$C$1048576,0),MATCH(Y$6,'Restaurant Base (Hidden)'!$A$1:$Z$1,0)),"")</f>
        <v>93,30 %</v>
      </c>
      <c r="Z237" s="106">
        <f>+IFERROR(INDEX('Restaurant Base (Hidden)'!$A$2:$Z$1048576,MATCH($C237,'Restaurant Base (Hidden)'!$C$2:$C$1048576,0),MATCH(Z$6,'Restaurant Base (Hidden)'!$A$1:$Z$1,0)),"")</f>
        <v>3</v>
      </c>
      <c r="AA237" s="65" t="str">
        <f>+IFERROR(INDEX('Restaurant Base (Hidden)'!$A$2:$Z$1048576,MATCH($C237,'Restaurant Base (Hidden)'!$C$2:$C$1048576,0),MATCH(AA$6,'Restaurant Base (Hidden)'!$A$1:$Z$1,0)),"")</f>
        <v>88,30 %</v>
      </c>
      <c r="AB237" s="1">
        <f>+IFERROR(INDEX('Restaurant Base (Hidden)'!$A$2:$Z$1048576,MATCH($C237,'Restaurant Base (Hidden)'!$C$2:$C$1048576,0),MATCH(AB$6,'Restaurant Base (Hidden)'!$A$1:$Z$1,0)),"")</f>
        <v>3</v>
      </c>
      <c r="AC237" s="20" t="str">
        <f>+IFERROR(INDEX('Restaurant Base (Hidden)'!$A$2:$Z$1048576,MATCH($C237,'Restaurant Base (Hidden)'!$C$2:$C$1048576,0),MATCH(AC$6,'Restaurant Base (Hidden)'!$A$1:$Z$1,0)),"")</f>
        <v/>
      </c>
      <c r="AD237" s="65" t="str">
        <f>+IFERROR(INDEX('Restaurant Base (Hidden)'!$A$2:$Z$1048576,MATCH($C237,'Restaurant Base (Hidden)'!$C$2:$C$1048576,0),MATCH(AD$6,'Restaurant Base (Hidden)'!$A$1:$Z$1,0)),"")</f>
        <v>62,20 %</v>
      </c>
      <c r="AE237" s="1">
        <f>+IFERROR(INDEX('Restaurant Base (Hidden)'!$A$2:$Z$1048576,MATCH($C237,'Restaurant Base (Hidden)'!$C$2:$C$1048576,0),MATCH(AE$6,'Restaurant Base (Hidden)'!$A$1:$Z$1,0)),"")</f>
        <v>1</v>
      </c>
      <c r="AF237" s="65" t="str">
        <f>+IFERROR(INDEX('Restaurant Base (Hidden)'!$A$2:$Z$1048576,MATCH($C237,'Restaurant Base (Hidden)'!$C$2:$C$1048576,0),MATCH(AF$6,'Restaurant Base (Hidden)'!$A$1:$Z$1,0)),"")</f>
        <v>83,00 %</v>
      </c>
      <c r="AG237" s="1">
        <f>+IFERROR(INDEX('Restaurant Base (Hidden)'!$A$2:$Z$1048576,MATCH($C237,'Restaurant Base (Hidden)'!$C$2:$C$1048576,0),MATCH(AG$6,'Restaurant Base (Hidden)'!$A$1:$Z$1,0)),"")</f>
        <v>2</v>
      </c>
    </row>
    <row r="238" spans="1:33" x14ac:dyDescent="0.4">
      <c r="A238" s="163" t="str">
        <f>IF('Restaurant Base (Hidden)'!A355=0,"", 'Restaurant Base (Hidden)'!A355)</f>
        <v>Elliot Hawthorne</v>
      </c>
      <c r="B238" s="163" t="str">
        <f>IF('Restaurant Base (Hidden)'!B355=0,"", 'Restaurant Base (Hidden)'!B355)</f>
        <v>Springwell Hospitality</v>
      </c>
      <c r="C238" s="163" t="str">
        <f>IF('Restaurant Base (Hidden)'!C355=0,"", 'Restaurant Base (Hidden)'!C355)</f>
        <v>Stone Village</v>
      </c>
      <c r="D238" s="104">
        <f t="shared" si="3"/>
        <v>228</v>
      </c>
      <c r="E238" s="105">
        <f>+IFERROR(INDEX('Restaurant Base (Hidden)'!$A$2:$Z$1048576,MATCH($C238,'Restaurant Base (Hidden)'!$C$2:$C$1048576,0),MATCH(E$6,'Restaurant Base (Hidden)'!$A$1:$Z$1,0)),"")</f>
        <v>2.93</v>
      </c>
      <c r="F238" s="2" t="str">
        <f>+IFERROR(INDEX('Restaurant Base (Hidden)'!$A$2:$Z$1048576,MATCH($C238,'Restaurant Base (Hidden)'!$C$2:$C$1048576,0),MATCH(F$6,'Restaurant Base (Hidden)'!$A$1:$Z$1,0)),"")</f>
        <v/>
      </c>
      <c r="G238" s="20" t="str">
        <f>+IFERROR(INDEX('Restaurant Base (Hidden)'!$A$2:$Z$1048576,MATCH($C238,'Restaurant Base (Hidden)'!$C$2:$C$1048576,0),MATCH(G$6,'Restaurant Base (Hidden)'!$A$1:$Z$1,0)),"")</f>
        <v>4,742</v>
      </c>
      <c r="H238" s="50">
        <f>+IFERROR(INDEX('Restaurant Base (Hidden)'!$A$2:$Z$1048576,MATCH($C238,'Restaurant Base (Hidden)'!$C$2:$C$1048576,0),MATCH(H$6,'Restaurant Base (Hidden)'!$A$1:$Z$1,0)),"")</f>
        <v>5</v>
      </c>
      <c r="I238" s="20" t="str">
        <f>+IFERROR(INDEX('Restaurant Base (Hidden)'!$A$2:$Z$1048576,MATCH($C238,'Restaurant Base (Hidden)'!$C$2:$C$1048576,0),MATCH(I$6,'Restaurant Base (Hidden)'!$A$1:$Z$1,0)),"")</f>
        <v>66,90 %</v>
      </c>
      <c r="J238" s="49">
        <f>+IFERROR(INDEX('Restaurant Base (Hidden)'!$A$2:$Z$1048576,MATCH($C238,'Restaurant Base (Hidden)'!$C$2:$C$1048576,0),MATCH(J$6,'Restaurant Base (Hidden)'!$A$1:$Z$1,0)),"")</f>
        <v>1</v>
      </c>
      <c r="K238" s="20" t="str">
        <f>+IFERROR(INDEX('Restaurant Base (Hidden)'!$A$2:$Z$1048576,MATCH($C238,'Restaurant Base (Hidden)'!$C$2:$C$1048576,0),MATCH(K$6,'Restaurant Base (Hidden)'!$A$1:$Z$1,0)),"")</f>
        <v>0,181</v>
      </c>
      <c r="L238" s="51">
        <f>+IFERROR(INDEX('Restaurant Base (Hidden)'!$A$2:$Z$1048576,MATCH($C238,'Restaurant Base (Hidden)'!$C$2:$C$1048576,0),MATCH(L$6,'Restaurant Base (Hidden)'!$A$1:$Z$1,0)),"")</f>
        <v>1</v>
      </c>
      <c r="M238" s="2" t="str">
        <f>+IFERROR(INDEX('Restaurant Base (Hidden)'!$A$2:$Z$1048576,MATCH($C238,'Restaurant Base (Hidden)'!$C$2:$C$1048576,0),MATCH(M$6,'Restaurant Base (Hidden)'!$A$1:$Z$1,0)),"")</f>
        <v/>
      </c>
      <c r="N238" s="234" t="str">
        <f>+IFERROR(INDEX('Restaurant Base (Hidden)'!$A$2:$Z$1048576,MATCH($C238,'Restaurant Base (Hidden)'!$C$2:$C$1048576,0),MATCH(N$6,'Restaurant Base (Hidden)'!$A$1:$Z$1,0)),"")</f>
        <v>82,10 %</v>
      </c>
      <c r="O238" s="1">
        <f>+IFERROR(INDEX('Restaurant Base (Hidden)'!$A$2:$Z$1048576,MATCH($C238,'Restaurant Base (Hidden)'!$C$2:$C$1048576,0),MATCH(O$6,'Restaurant Base (Hidden)'!$A$1:$Z$1,0)),"")</f>
        <v>5</v>
      </c>
      <c r="P238" s="2" t="str">
        <f>+IFERROR(INDEX('Restaurant Base (Hidden)'!$A$2:$Z$1048576,MATCH($C238,'Restaurant Base (Hidden)'!$C$2:$C$1048576,0),MATCH(P$6,'Restaurant Base (Hidden)'!$A$1:$Z$1,0)),"")</f>
        <v/>
      </c>
      <c r="Q238" s="234" t="str">
        <f>+IFERROR(INDEX('Restaurant Base (Hidden)'!$A$2:$Z$1048576,MATCH($C238,'Restaurant Base (Hidden)'!$C$2:$C$1048576,0),MATCH(Q$6,'Restaurant Base (Hidden)'!$A$1:$Z$1,0)),"")</f>
        <v>76,00 %</v>
      </c>
      <c r="R238" s="1">
        <f>+IFERROR(INDEX('Restaurant Base (Hidden)'!$A$2:$Z$1048576,MATCH($C238,'Restaurant Base (Hidden)'!$C$2:$C$1048576,0),MATCH(R$6,'Restaurant Base (Hidden)'!$A$1:$Z$1,0)),"")</f>
        <v>5</v>
      </c>
      <c r="S238" s="2" t="str">
        <f>+IFERROR(INDEX('Restaurant Base (Hidden)'!$A$2:$Z$1048576,MATCH($C238,'Restaurant Base (Hidden)'!$C$2:$C$1048576,0),MATCH(S$6,'Restaurant Base (Hidden)'!$A$1:$Z$1,0)),"")</f>
        <v/>
      </c>
      <c r="T238" s="62">
        <f>+IFERROR(INDEX('Restaurant Base (Hidden)'!$A$2:$Z$1048576,MATCH($C238,'Restaurant Base (Hidden)'!$C$2:$C$1048576,0),MATCH(T$6,'Restaurant Base (Hidden)'!$A$1:$Z$1,0)),"")</f>
        <v>59.3</v>
      </c>
      <c r="U238" s="1">
        <f>+IFERROR(INDEX('Restaurant Base (Hidden)'!$A$2:$Z$1048576,MATCH($C238,'Restaurant Base (Hidden)'!$C$2:$C$1048576,0),MATCH(U$6,'Restaurant Base (Hidden)'!$A$1:$Z$1,0)),"")</f>
        <v>2</v>
      </c>
      <c r="V238" s="2" t="str">
        <f>+IFERROR(INDEX('Restaurant Base (Hidden)'!$A$2:$Z$1048576,MATCH($C238,'Restaurant Base (Hidden)'!$C$2:$C$1048576,0),MATCH(V$6,'Restaurant Base (Hidden)'!$A$1:$Z$1,0)),"")</f>
        <v/>
      </c>
      <c r="W238" s="65" t="str">
        <f>+IFERROR(INDEX('Restaurant Base (Hidden)'!$A$2:$Z$1048576,MATCH($C238,'Restaurant Base (Hidden)'!$C$2:$C$1048576,0),MATCH(W$6,'Restaurant Base (Hidden)'!$A$1:$Z$1,0)),"")</f>
        <v>83,60 %</v>
      </c>
      <c r="X238" s="1">
        <f>+IFERROR(INDEX('Restaurant Base (Hidden)'!$A$2:$Z$1048576,MATCH($C238,'Restaurant Base (Hidden)'!$C$2:$C$1048576,0),MATCH(X$6,'Restaurant Base (Hidden)'!$A$1:$Z$1,0)),"")</f>
        <v>3</v>
      </c>
      <c r="Y238" s="65" t="str">
        <f>+IFERROR(INDEX('Restaurant Base (Hidden)'!$A$2:$Z$1048576,MATCH($C238,'Restaurant Base (Hidden)'!$C$2:$C$1048576,0),MATCH(Y$6,'Restaurant Base (Hidden)'!$A$1:$Z$1,0)),"")</f>
        <v>58,20 %</v>
      </c>
      <c r="Z238" s="106">
        <f>+IFERROR(INDEX('Restaurant Base (Hidden)'!$A$2:$Z$1048576,MATCH($C238,'Restaurant Base (Hidden)'!$C$2:$C$1048576,0),MATCH(Z$6,'Restaurant Base (Hidden)'!$A$1:$Z$1,0)),"")</f>
        <v>1</v>
      </c>
      <c r="AA238" s="65" t="str">
        <f>+IFERROR(INDEX('Restaurant Base (Hidden)'!$A$2:$Z$1048576,MATCH($C238,'Restaurant Base (Hidden)'!$C$2:$C$1048576,0),MATCH(AA$6,'Restaurant Base (Hidden)'!$A$1:$Z$1,0)),"")</f>
        <v>98,00 %</v>
      </c>
      <c r="AB238" s="1">
        <f>+IFERROR(INDEX('Restaurant Base (Hidden)'!$A$2:$Z$1048576,MATCH($C238,'Restaurant Base (Hidden)'!$C$2:$C$1048576,0),MATCH(AB$6,'Restaurant Base (Hidden)'!$A$1:$Z$1,0)),"")</f>
        <v>4</v>
      </c>
      <c r="AC238" s="20" t="str">
        <f>+IFERROR(INDEX('Restaurant Base (Hidden)'!$A$2:$Z$1048576,MATCH($C238,'Restaurant Base (Hidden)'!$C$2:$C$1048576,0),MATCH(AC$6,'Restaurant Base (Hidden)'!$A$1:$Z$1,0)),"")</f>
        <v/>
      </c>
      <c r="AD238" s="65" t="str">
        <f>+IFERROR(INDEX('Restaurant Base (Hidden)'!$A$2:$Z$1048576,MATCH($C238,'Restaurant Base (Hidden)'!$C$2:$C$1048576,0),MATCH(AD$6,'Restaurant Base (Hidden)'!$A$1:$Z$1,0)),"")</f>
        <v>60,90 %</v>
      </c>
      <c r="AE238" s="1">
        <f>+IFERROR(INDEX('Restaurant Base (Hidden)'!$A$2:$Z$1048576,MATCH($C238,'Restaurant Base (Hidden)'!$C$2:$C$1048576,0),MATCH(AE$6,'Restaurant Base (Hidden)'!$A$1:$Z$1,0)),"")</f>
        <v>1</v>
      </c>
      <c r="AF238" s="65" t="str">
        <f>+IFERROR(INDEX('Restaurant Base (Hidden)'!$A$2:$Z$1048576,MATCH($C238,'Restaurant Base (Hidden)'!$C$2:$C$1048576,0),MATCH(AF$6,'Restaurant Base (Hidden)'!$A$1:$Z$1,0)),"")</f>
        <v>77,40 %</v>
      </c>
      <c r="AG238" s="1">
        <f>+IFERROR(INDEX('Restaurant Base (Hidden)'!$A$2:$Z$1048576,MATCH($C238,'Restaurant Base (Hidden)'!$C$2:$C$1048576,0),MATCH(AG$6,'Restaurant Base (Hidden)'!$A$1:$Z$1,0)),"")</f>
        <v>2</v>
      </c>
    </row>
    <row r="239" spans="1:33" x14ac:dyDescent="0.4">
      <c r="A239" s="163" t="str">
        <f>IF('Restaurant Base (Hidden)'!A3=0,"", 'Restaurant Base (Hidden)'!A3)</f>
        <v>Blake Bellamy</v>
      </c>
      <c r="B239" s="163" t="str">
        <f>IF('Restaurant Base (Hidden)'!B3=0,"", 'Restaurant Base (Hidden)'!B3)</f>
        <v>Bluecrest Food Partners</v>
      </c>
      <c r="C239" s="163" t="str">
        <f>IF('Restaurant Base (Hidden)'!C3=0,"", 'Restaurant Base (Hidden)'!C3)</f>
        <v>Starling Way</v>
      </c>
      <c r="D239" s="104">
        <f t="shared" si="3"/>
        <v>233</v>
      </c>
      <c r="E239" s="105">
        <f>+IFERROR(INDEX('Restaurant Base (Hidden)'!$A$2:$Z$1048576,MATCH($C239,'Restaurant Base (Hidden)'!$C$2:$C$1048576,0),MATCH(E$6,'Restaurant Base (Hidden)'!$A$1:$Z$1,0)),"")</f>
        <v>2.92</v>
      </c>
      <c r="F239" s="64" t="str">
        <f>+IFERROR(INDEX('Restaurant Base (Hidden)'!$A$2:$Z$1048576,MATCH($C239,'Restaurant Base (Hidden)'!$C$2:$C$1048576,0),MATCH(F$6,'Restaurant Base (Hidden)'!$A$1:$Z$1,0)),"")</f>
        <v/>
      </c>
      <c r="G239" s="20" t="str">
        <f>+IFERROR(INDEX('Restaurant Base (Hidden)'!$A$2:$Z$1048576,MATCH($C239,'Restaurant Base (Hidden)'!$C$2:$C$1048576,0),MATCH(G$6,'Restaurant Base (Hidden)'!$A$1:$Z$1,0)),"")</f>
        <v>4,351</v>
      </c>
      <c r="H239" s="50">
        <f>+IFERROR(INDEX('Restaurant Base (Hidden)'!$A$2:$Z$1048576,MATCH($C239,'Restaurant Base (Hidden)'!$C$2:$C$1048576,0),MATCH(H$6,'Restaurant Base (Hidden)'!$A$1:$Z$1,0)),"")</f>
        <v>4</v>
      </c>
      <c r="I239" s="20" t="str">
        <f>+IFERROR(INDEX('Restaurant Base (Hidden)'!$A$2:$Z$1048576,MATCH($C239,'Restaurant Base (Hidden)'!$C$2:$C$1048576,0),MATCH(I$6,'Restaurant Base (Hidden)'!$A$1:$Z$1,0)),"")</f>
        <v>93,40 %</v>
      </c>
      <c r="J239" s="49">
        <f>+IFERROR(INDEX('Restaurant Base (Hidden)'!$A$2:$Z$1048576,MATCH($C239,'Restaurant Base (Hidden)'!$C$2:$C$1048576,0),MATCH(J$6,'Restaurant Base (Hidden)'!$A$1:$Z$1,0)),"")</f>
        <v>4</v>
      </c>
      <c r="K239" s="20" t="str">
        <f>+IFERROR(INDEX('Restaurant Base (Hidden)'!$A$2:$Z$1048576,MATCH($C239,'Restaurant Base (Hidden)'!$C$2:$C$1048576,0),MATCH(K$6,'Restaurant Base (Hidden)'!$A$1:$Z$1,0)),"")</f>
        <v>0,086</v>
      </c>
      <c r="L239" s="51">
        <f>+IFERROR(INDEX('Restaurant Base (Hidden)'!$A$2:$Z$1048576,MATCH($C239,'Restaurant Base (Hidden)'!$C$2:$C$1048576,0),MATCH(L$6,'Restaurant Base (Hidden)'!$A$1:$Z$1,0)),"")</f>
        <v>4</v>
      </c>
      <c r="M239" s="2" t="str">
        <f>+IFERROR(INDEX('Restaurant Base (Hidden)'!$A$2:$Z$1048576,MATCH($C239,'Restaurant Base (Hidden)'!$C$2:$C$1048576,0),MATCH(M$6,'Restaurant Base (Hidden)'!$A$1:$Z$1,0)),"")</f>
        <v/>
      </c>
      <c r="N239" s="234" t="str">
        <f>+IFERROR(INDEX('Restaurant Base (Hidden)'!$A$2:$Z$1048576,MATCH($C239,'Restaurant Base (Hidden)'!$C$2:$C$1048576,0),MATCH(N$6,'Restaurant Base (Hidden)'!$A$1:$Z$1,0)),"")</f>
        <v>64,70 %</v>
      </c>
      <c r="O239" s="1">
        <f>+IFERROR(INDEX('Restaurant Base (Hidden)'!$A$2:$Z$1048576,MATCH($C239,'Restaurant Base (Hidden)'!$C$2:$C$1048576,0),MATCH(O$6,'Restaurant Base (Hidden)'!$A$1:$Z$1,0)),"")</f>
        <v>3</v>
      </c>
      <c r="P239" s="2" t="str">
        <f>+IFERROR(INDEX('Restaurant Base (Hidden)'!$A$2:$Z$1048576,MATCH($C239,'Restaurant Base (Hidden)'!$C$2:$C$1048576,0),MATCH(P$6,'Restaurant Base (Hidden)'!$A$1:$Z$1,0)),"")</f>
        <v/>
      </c>
      <c r="Q239" s="234" t="str">
        <f>+IFERROR(INDEX('Restaurant Base (Hidden)'!$A$2:$Z$1048576,MATCH($C239,'Restaurant Base (Hidden)'!$C$2:$C$1048576,0),MATCH(Q$6,'Restaurant Base (Hidden)'!$A$1:$Z$1,0)),"")</f>
        <v>97,60 %</v>
      </c>
      <c r="R239" s="1">
        <f>+IFERROR(INDEX('Restaurant Base (Hidden)'!$A$2:$Z$1048576,MATCH($C239,'Restaurant Base (Hidden)'!$C$2:$C$1048576,0),MATCH(R$6,'Restaurant Base (Hidden)'!$A$1:$Z$1,0)),"")</f>
        <v>5</v>
      </c>
      <c r="S239" s="2" t="str">
        <f>+IFERROR(INDEX('Restaurant Base (Hidden)'!$A$2:$Z$1048576,MATCH($C239,'Restaurant Base (Hidden)'!$C$2:$C$1048576,0),MATCH(S$6,'Restaurant Base (Hidden)'!$A$1:$Z$1,0)),"")</f>
        <v/>
      </c>
      <c r="T239" s="62">
        <f>+IFERROR(INDEX('Restaurant Base (Hidden)'!$A$2:$Z$1048576,MATCH($C239,'Restaurant Base (Hidden)'!$C$2:$C$1048576,0),MATCH(T$6,'Restaurant Base (Hidden)'!$A$1:$Z$1,0)),"")</f>
        <v>53.3</v>
      </c>
      <c r="U239" s="1">
        <f>+IFERROR(INDEX('Restaurant Base (Hidden)'!$A$2:$Z$1048576,MATCH($C239,'Restaurant Base (Hidden)'!$C$2:$C$1048576,0),MATCH(U$6,'Restaurant Base (Hidden)'!$A$1:$Z$1,0)),"")</f>
        <v>1</v>
      </c>
      <c r="V239" s="2" t="str">
        <f>+IFERROR(INDEX('Restaurant Base (Hidden)'!$A$2:$Z$1048576,MATCH($C239,'Restaurant Base (Hidden)'!$C$2:$C$1048576,0),MATCH(V$6,'Restaurant Base (Hidden)'!$A$1:$Z$1,0)),"")</f>
        <v/>
      </c>
      <c r="W239" s="65" t="str">
        <f>+IFERROR(INDEX('Restaurant Base (Hidden)'!$A$2:$Z$1048576,MATCH($C239,'Restaurant Base (Hidden)'!$C$2:$C$1048576,0),MATCH(W$6,'Restaurant Base (Hidden)'!$A$1:$Z$1,0)),"")</f>
        <v>88,80 %</v>
      </c>
      <c r="X239" s="1">
        <f>+IFERROR(INDEX('Restaurant Base (Hidden)'!$A$2:$Z$1048576,MATCH($C239,'Restaurant Base (Hidden)'!$C$2:$C$1048576,0),MATCH(X$6,'Restaurant Base (Hidden)'!$A$1:$Z$1,0)),"")</f>
        <v>3</v>
      </c>
      <c r="Y239" s="65" t="str">
        <f>+IFERROR(INDEX('Restaurant Base (Hidden)'!$A$2:$Z$1048576,MATCH($C239,'Restaurant Base (Hidden)'!$C$2:$C$1048576,0),MATCH(Y$6,'Restaurant Base (Hidden)'!$A$1:$Z$1,0)),"")</f>
        <v>91,80 %</v>
      </c>
      <c r="Z239" s="106">
        <f>+IFERROR(INDEX('Restaurant Base (Hidden)'!$A$2:$Z$1048576,MATCH($C239,'Restaurant Base (Hidden)'!$C$2:$C$1048576,0),MATCH(Z$6,'Restaurant Base (Hidden)'!$A$1:$Z$1,0)),"")</f>
        <v>3</v>
      </c>
      <c r="AA239" s="65" t="str">
        <f>+IFERROR(INDEX('Restaurant Base (Hidden)'!$A$2:$Z$1048576,MATCH($C239,'Restaurant Base (Hidden)'!$C$2:$C$1048576,0),MATCH(AA$6,'Restaurant Base (Hidden)'!$A$1:$Z$1,0)),"")</f>
        <v>57,50 %</v>
      </c>
      <c r="AB239" s="1">
        <f>+IFERROR(INDEX('Restaurant Base (Hidden)'!$A$2:$Z$1048576,MATCH($C239,'Restaurant Base (Hidden)'!$C$2:$C$1048576,0),MATCH(AB$6,'Restaurant Base (Hidden)'!$A$1:$Z$1,0)),"")</f>
        <v>1</v>
      </c>
      <c r="AC239" s="20" t="str">
        <f>+IFERROR(INDEX('Restaurant Base (Hidden)'!$A$2:$Z$1048576,MATCH($C239,'Restaurant Base (Hidden)'!$C$2:$C$1048576,0),MATCH(AC$6,'Restaurant Base (Hidden)'!$A$1:$Z$1,0)),"")</f>
        <v/>
      </c>
      <c r="AD239" s="65" t="str">
        <f>+IFERROR(INDEX('Restaurant Base (Hidden)'!$A$2:$Z$1048576,MATCH($C239,'Restaurant Base (Hidden)'!$C$2:$C$1048576,0),MATCH(AD$6,'Restaurant Base (Hidden)'!$A$1:$Z$1,0)),"")</f>
        <v>64,70 %</v>
      </c>
      <c r="AE239" s="1">
        <f>+IFERROR(INDEX('Restaurant Base (Hidden)'!$A$2:$Z$1048576,MATCH($C239,'Restaurant Base (Hidden)'!$C$2:$C$1048576,0),MATCH(AE$6,'Restaurant Base (Hidden)'!$A$1:$Z$1,0)),"")</f>
        <v>1</v>
      </c>
      <c r="AF239" s="65" t="str">
        <f>+IFERROR(INDEX('Restaurant Base (Hidden)'!$A$2:$Z$1048576,MATCH($C239,'Restaurant Base (Hidden)'!$C$2:$C$1048576,0),MATCH(AF$6,'Restaurant Base (Hidden)'!$A$1:$Z$1,0)),"")</f>
        <v>76,20 %</v>
      </c>
      <c r="AG239" s="1">
        <f>+IFERROR(INDEX('Restaurant Base (Hidden)'!$A$2:$Z$1048576,MATCH($C239,'Restaurant Base (Hidden)'!$C$2:$C$1048576,0),MATCH(AG$6,'Restaurant Base (Hidden)'!$A$1:$Z$1,0)),"")</f>
        <v>2</v>
      </c>
    </row>
    <row r="240" spans="1:33" x14ac:dyDescent="0.4">
      <c r="A240" s="163" t="str">
        <f>IF('Restaurant Base (Hidden)'!A22=0,"", 'Restaurant Base (Hidden)'!A22)</f>
        <v>Taylor Hartwell</v>
      </c>
      <c r="B240" s="163" t="str">
        <f>IF('Restaurant Base (Hidden)'!B22=0,"", 'Restaurant Base (Hidden)'!B22)</f>
        <v>Eastmere Foods</v>
      </c>
      <c r="C240" s="163" t="str">
        <f>IF('Restaurant Base (Hidden)'!C22=0,"", 'Restaurant Base (Hidden)'!C22)</f>
        <v>Starling Plaza</v>
      </c>
      <c r="D240" s="104">
        <f t="shared" si="3"/>
        <v>233</v>
      </c>
      <c r="E240" s="105">
        <f>+IFERROR(INDEX('Restaurant Base (Hidden)'!$A$2:$Z$1048576,MATCH($C240,'Restaurant Base (Hidden)'!$C$2:$C$1048576,0),MATCH(E$6,'Restaurant Base (Hidden)'!$A$1:$Z$1,0)),"")</f>
        <v>2.92</v>
      </c>
      <c r="F240" s="64" t="str">
        <f>+IFERROR(INDEX('Restaurant Base (Hidden)'!$A$2:$Z$1048576,MATCH($C240,'Restaurant Base (Hidden)'!$C$2:$C$1048576,0),MATCH(F$6,'Restaurant Base (Hidden)'!$A$1:$Z$1,0)),"")</f>
        <v/>
      </c>
      <c r="G240" s="20" t="str">
        <f>+IFERROR(INDEX('Restaurant Base (Hidden)'!$A$2:$Z$1048576,MATCH($C240,'Restaurant Base (Hidden)'!$C$2:$C$1048576,0),MATCH(G$6,'Restaurant Base (Hidden)'!$A$1:$Z$1,0)),"")</f>
        <v>4,447</v>
      </c>
      <c r="H240" s="50">
        <f>+IFERROR(INDEX('Restaurant Base (Hidden)'!$A$2:$Z$1048576,MATCH($C240,'Restaurant Base (Hidden)'!$C$2:$C$1048576,0),MATCH(H$6,'Restaurant Base (Hidden)'!$A$1:$Z$1,0)),"")</f>
        <v>4</v>
      </c>
      <c r="I240" s="20" t="str">
        <f>+IFERROR(INDEX('Restaurant Base (Hidden)'!$A$2:$Z$1048576,MATCH($C240,'Restaurant Base (Hidden)'!$C$2:$C$1048576,0),MATCH(I$6,'Restaurant Base (Hidden)'!$A$1:$Z$1,0)),"")</f>
        <v>82,30 %</v>
      </c>
      <c r="J240" s="49">
        <f>+IFERROR(INDEX('Restaurant Base (Hidden)'!$A$2:$Z$1048576,MATCH($C240,'Restaurant Base (Hidden)'!$C$2:$C$1048576,0),MATCH(J$6,'Restaurant Base (Hidden)'!$A$1:$Z$1,0)),"")</f>
        <v>2</v>
      </c>
      <c r="K240" s="20" t="str">
        <f>+IFERROR(INDEX('Restaurant Base (Hidden)'!$A$2:$Z$1048576,MATCH($C240,'Restaurant Base (Hidden)'!$C$2:$C$1048576,0),MATCH(K$6,'Restaurant Base (Hidden)'!$A$1:$Z$1,0)),"")</f>
        <v>0,210</v>
      </c>
      <c r="L240" s="51">
        <f>+IFERROR(INDEX('Restaurant Base (Hidden)'!$A$2:$Z$1048576,MATCH($C240,'Restaurant Base (Hidden)'!$C$2:$C$1048576,0),MATCH(L$6,'Restaurant Base (Hidden)'!$A$1:$Z$1,0)),"")</f>
        <v>1</v>
      </c>
      <c r="M240" s="2" t="str">
        <f>+IFERROR(INDEX('Restaurant Base (Hidden)'!$A$2:$Z$1048576,MATCH($C240,'Restaurant Base (Hidden)'!$C$2:$C$1048576,0),MATCH(M$6,'Restaurant Base (Hidden)'!$A$1:$Z$1,0)),"")</f>
        <v/>
      </c>
      <c r="N240" s="234" t="str">
        <f>+IFERROR(INDEX('Restaurant Base (Hidden)'!$A$2:$Z$1048576,MATCH($C240,'Restaurant Base (Hidden)'!$C$2:$C$1048576,0),MATCH(N$6,'Restaurant Base (Hidden)'!$A$1:$Z$1,0)),"")</f>
        <v>73,00 %</v>
      </c>
      <c r="O240" s="1">
        <f>+IFERROR(INDEX('Restaurant Base (Hidden)'!$A$2:$Z$1048576,MATCH($C240,'Restaurant Base (Hidden)'!$C$2:$C$1048576,0),MATCH(O$6,'Restaurant Base (Hidden)'!$A$1:$Z$1,0)),"")</f>
        <v>5</v>
      </c>
      <c r="P240" s="2" t="str">
        <f>+IFERROR(INDEX('Restaurant Base (Hidden)'!$A$2:$Z$1048576,MATCH($C240,'Restaurant Base (Hidden)'!$C$2:$C$1048576,0),MATCH(P$6,'Restaurant Base (Hidden)'!$A$1:$Z$1,0)),"")</f>
        <v/>
      </c>
      <c r="Q240" s="234" t="str">
        <f>+IFERROR(INDEX('Restaurant Base (Hidden)'!$A$2:$Z$1048576,MATCH($C240,'Restaurant Base (Hidden)'!$C$2:$C$1048576,0),MATCH(Q$6,'Restaurant Base (Hidden)'!$A$1:$Z$1,0)),"")</f>
        <v>59,10 %</v>
      </c>
      <c r="R240" s="1">
        <f>+IFERROR(INDEX('Restaurant Base (Hidden)'!$A$2:$Z$1048576,MATCH($C240,'Restaurant Base (Hidden)'!$C$2:$C$1048576,0),MATCH(R$6,'Restaurant Base (Hidden)'!$A$1:$Z$1,0)),"")</f>
        <v>1</v>
      </c>
      <c r="S240" s="2" t="str">
        <f>+IFERROR(INDEX('Restaurant Base (Hidden)'!$A$2:$Z$1048576,MATCH($C240,'Restaurant Base (Hidden)'!$C$2:$C$1048576,0),MATCH(S$6,'Restaurant Base (Hidden)'!$A$1:$Z$1,0)),"")</f>
        <v/>
      </c>
      <c r="T240" s="62">
        <f>+IFERROR(INDEX('Restaurant Base (Hidden)'!$A$2:$Z$1048576,MATCH($C240,'Restaurant Base (Hidden)'!$C$2:$C$1048576,0),MATCH(T$6,'Restaurant Base (Hidden)'!$A$1:$Z$1,0)),"")</f>
        <v>70.2</v>
      </c>
      <c r="U240" s="1">
        <f>+IFERROR(INDEX('Restaurant Base (Hidden)'!$A$2:$Z$1048576,MATCH($C240,'Restaurant Base (Hidden)'!$C$2:$C$1048576,0),MATCH(U$6,'Restaurant Base (Hidden)'!$A$1:$Z$1,0)),"")</f>
        <v>5</v>
      </c>
      <c r="V240" s="2" t="str">
        <f>+IFERROR(INDEX('Restaurant Base (Hidden)'!$A$2:$Z$1048576,MATCH($C240,'Restaurant Base (Hidden)'!$C$2:$C$1048576,0),MATCH(V$6,'Restaurant Base (Hidden)'!$A$1:$Z$1,0)),"")</f>
        <v/>
      </c>
      <c r="W240" s="65" t="str">
        <f>+IFERROR(INDEX('Restaurant Base (Hidden)'!$A$2:$Z$1048576,MATCH($C240,'Restaurant Base (Hidden)'!$C$2:$C$1048576,0),MATCH(W$6,'Restaurant Base (Hidden)'!$A$1:$Z$1,0)),"")</f>
        <v>76,00 %</v>
      </c>
      <c r="X240" s="1">
        <f>+IFERROR(INDEX('Restaurant Base (Hidden)'!$A$2:$Z$1048576,MATCH($C240,'Restaurant Base (Hidden)'!$C$2:$C$1048576,0),MATCH(X$6,'Restaurant Base (Hidden)'!$A$1:$Z$1,0)),"")</f>
        <v>2</v>
      </c>
      <c r="Y240" s="65" t="str">
        <f>+IFERROR(INDEX('Restaurant Base (Hidden)'!$A$2:$Z$1048576,MATCH($C240,'Restaurant Base (Hidden)'!$C$2:$C$1048576,0),MATCH(Y$6,'Restaurant Base (Hidden)'!$A$1:$Z$1,0)),"")</f>
        <v>90,70 %</v>
      </c>
      <c r="Z240" s="106">
        <f>+IFERROR(INDEX('Restaurant Base (Hidden)'!$A$2:$Z$1048576,MATCH($C240,'Restaurant Base (Hidden)'!$C$2:$C$1048576,0),MATCH(Z$6,'Restaurant Base (Hidden)'!$A$1:$Z$1,0)),"")</f>
        <v>3</v>
      </c>
      <c r="AA240" s="65" t="str">
        <f>+IFERROR(INDEX('Restaurant Base (Hidden)'!$A$2:$Z$1048576,MATCH($C240,'Restaurant Base (Hidden)'!$C$2:$C$1048576,0),MATCH(AA$6,'Restaurant Base (Hidden)'!$A$1:$Z$1,0)),"")</f>
        <v>85,20 %</v>
      </c>
      <c r="AB240" s="1">
        <f>+IFERROR(INDEX('Restaurant Base (Hidden)'!$A$2:$Z$1048576,MATCH($C240,'Restaurant Base (Hidden)'!$C$2:$C$1048576,0),MATCH(AB$6,'Restaurant Base (Hidden)'!$A$1:$Z$1,0)),"")</f>
        <v>3</v>
      </c>
      <c r="AC240" s="20" t="str">
        <f>+IFERROR(INDEX('Restaurant Base (Hidden)'!$A$2:$Z$1048576,MATCH($C240,'Restaurant Base (Hidden)'!$C$2:$C$1048576,0),MATCH(AC$6,'Restaurant Base (Hidden)'!$A$1:$Z$1,0)),"")</f>
        <v/>
      </c>
      <c r="AD240" s="65" t="str">
        <f>+IFERROR(INDEX('Restaurant Base (Hidden)'!$A$2:$Z$1048576,MATCH($C240,'Restaurant Base (Hidden)'!$C$2:$C$1048576,0),MATCH(AD$6,'Restaurant Base (Hidden)'!$A$1:$Z$1,0)),"")</f>
        <v>72,20 %</v>
      </c>
      <c r="AE240" s="1">
        <f>+IFERROR(INDEX('Restaurant Base (Hidden)'!$A$2:$Z$1048576,MATCH($C240,'Restaurant Base (Hidden)'!$C$2:$C$1048576,0),MATCH(AE$6,'Restaurant Base (Hidden)'!$A$1:$Z$1,0)),"")</f>
        <v>2</v>
      </c>
      <c r="AF240" s="65" t="str">
        <f>+IFERROR(INDEX('Restaurant Base (Hidden)'!$A$2:$Z$1048576,MATCH($C240,'Restaurant Base (Hidden)'!$C$2:$C$1048576,0),MATCH(AF$6,'Restaurant Base (Hidden)'!$A$1:$Z$1,0)),"")</f>
        <v>90,70 %</v>
      </c>
      <c r="AG240" s="1">
        <f>+IFERROR(INDEX('Restaurant Base (Hidden)'!$A$2:$Z$1048576,MATCH($C240,'Restaurant Base (Hidden)'!$C$2:$C$1048576,0),MATCH(AG$6,'Restaurant Base (Hidden)'!$A$1:$Z$1,0)),"")</f>
        <v>3</v>
      </c>
    </row>
    <row r="241" spans="1:33" x14ac:dyDescent="0.4">
      <c r="A241" s="163" t="str">
        <f>IF('Restaurant Base (Hidden)'!A284=0,"", 'Restaurant Base (Hidden)'!A284)</f>
        <v>Arden Brookstone</v>
      </c>
      <c r="B241" s="163" t="str">
        <f>IF('Restaurant Base (Hidden)'!B284=0,"", 'Restaurant Base (Hidden)'!B284)</f>
        <v>Silverline Hospitality</v>
      </c>
      <c r="C241" s="163" t="str">
        <f>IF('Restaurant Base (Hidden)'!C284=0,"", 'Restaurant Base (Hidden)'!C284)</f>
        <v>Westmere Walk</v>
      </c>
      <c r="D241" s="104">
        <f t="shared" si="3"/>
        <v>233</v>
      </c>
      <c r="E241" s="105">
        <f>+IFERROR(INDEX('Restaurant Base (Hidden)'!$A$2:$Z$1048576,MATCH($C241,'Restaurant Base (Hidden)'!$C$2:$C$1048576,0),MATCH(E$6,'Restaurant Base (Hidden)'!$A$1:$Z$1,0)),"")</f>
        <v>2.92</v>
      </c>
      <c r="F241" s="2" t="str">
        <f>+IFERROR(INDEX('Restaurant Base (Hidden)'!$A$2:$Z$1048576,MATCH($C241,'Restaurant Base (Hidden)'!$C$2:$C$1048576,0),MATCH(F$6,'Restaurant Base (Hidden)'!$A$1:$Z$1,0)),"")</f>
        <v/>
      </c>
      <c r="G241" s="20" t="str">
        <f>+IFERROR(INDEX('Restaurant Base (Hidden)'!$A$2:$Z$1048576,MATCH($C241,'Restaurant Base (Hidden)'!$C$2:$C$1048576,0),MATCH(G$6,'Restaurant Base (Hidden)'!$A$1:$Z$1,0)),"")</f>
        <v>4,551</v>
      </c>
      <c r="H241" s="50">
        <f>+IFERROR(INDEX('Restaurant Base (Hidden)'!$A$2:$Z$1048576,MATCH($C241,'Restaurant Base (Hidden)'!$C$2:$C$1048576,0),MATCH(H$6,'Restaurant Base (Hidden)'!$A$1:$Z$1,0)),"")</f>
        <v>5</v>
      </c>
      <c r="I241" s="20" t="str">
        <f>+IFERROR(INDEX('Restaurant Base (Hidden)'!$A$2:$Z$1048576,MATCH($C241,'Restaurant Base (Hidden)'!$C$2:$C$1048576,0),MATCH(I$6,'Restaurant Base (Hidden)'!$A$1:$Z$1,0)),"")</f>
        <v>88,70 %</v>
      </c>
      <c r="J241" s="49">
        <f>+IFERROR(INDEX('Restaurant Base (Hidden)'!$A$2:$Z$1048576,MATCH($C241,'Restaurant Base (Hidden)'!$C$2:$C$1048576,0),MATCH(J$6,'Restaurant Base (Hidden)'!$A$1:$Z$1,0)),"")</f>
        <v>4</v>
      </c>
      <c r="K241" s="20" t="str">
        <f>+IFERROR(INDEX('Restaurant Base (Hidden)'!$A$2:$Z$1048576,MATCH($C241,'Restaurant Base (Hidden)'!$C$2:$C$1048576,0),MATCH(K$6,'Restaurant Base (Hidden)'!$A$1:$Z$1,0)),"")</f>
        <v>0,176</v>
      </c>
      <c r="L241" s="51">
        <f>+IFERROR(INDEX('Restaurant Base (Hidden)'!$A$2:$Z$1048576,MATCH($C241,'Restaurant Base (Hidden)'!$C$2:$C$1048576,0),MATCH(L$6,'Restaurant Base (Hidden)'!$A$1:$Z$1,0)),"")</f>
        <v>2</v>
      </c>
      <c r="M241" s="2" t="str">
        <f>+IFERROR(INDEX('Restaurant Base (Hidden)'!$A$2:$Z$1048576,MATCH($C241,'Restaurant Base (Hidden)'!$C$2:$C$1048576,0),MATCH(M$6,'Restaurant Base (Hidden)'!$A$1:$Z$1,0)),"")</f>
        <v/>
      </c>
      <c r="N241" s="234" t="str">
        <f>+IFERROR(INDEX('Restaurant Base (Hidden)'!$A$2:$Z$1048576,MATCH($C241,'Restaurant Base (Hidden)'!$C$2:$C$1048576,0),MATCH(N$6,'Restaurant Base (Hidden)'!$A$1:$Z$1,0)),"")</f>
        <v>55,60 %</v>
      </c>
      <c r="O241" s="1">
        <f>+IFERROR(INDEX('Restaurant Base (Hidden)'!$A$2:$Z$1048576,MATCH($C241,'Restaurant Base (Hidden)'!$C$2:$C$1048576,0),MATCH(O$6,'Restaurant Base (Hidden)'!$A$1:$Z$1,0)),"")</f>
        <v>1</v>
      </c>
      <c r="P241" s="2" t="str">
        <f>+IFERROR(INDEX('Restaurant Base (Hidden)'!$A$2:$Z$1048576,MATCH($C241,'Restaurant Base (Hidden)'!$C$2:$C$1048576,0),MATCH(P$6,'Restaurant Base (Hidden)'!$A$1:$Z$1,0)),"")</f>
        <v/>
      </c>
      <c r="Q241" s="234" t="str">
        <f>+IFERROR(INDEX('Restaurant Base (Hidden)'!$A$2:$Z$1048576,MATCH($C241,'Restaurant Base (Hidden)'!$C$2:$C$1048576,0),MATCH(Q$6,'Restaurant Base (Hidden)'!$A$1:$Z$1,0)),"")</f>
        <v>89,70 %</v>
      </c>
      <c r="R241" s="1">
        <f>+IFERROR(INDEX('Restaurant Base (Hidden)'!$A$2:$Z$1048576,MATCH($C241,'Restaurant Base (Hidden)'!$C$2:$C$1048576,0),MATCH(R$6,'Restaurant Base (Hidden)'!$A$1:$Z$1,0)),"")</f>
        <v>5</v>
      </c>
      <c r="S241" s="2" t="str">
        <f>+IFERROR(INDEX('Restaurant Base (Hidden)'!$A$2:$Z$1048576,MATCH($C241,'Restaurant Base (Hidden)'!$C$2:$C$1048576,0),MATCH(S$6,'Restaurant Base (Hidden)'!$A$1:$Z$1,0)),"")</f>
        <v/>
      </c>
      <c r="T241" s="62">
        <f>+IFERROR(INDEX('Restaurant Base (Hidden)'!$A$2:$Z$1048576,MATCH($C241,'Restaurant Base (Hidden)'!$C$2:$C$1048576,0),MATCH(T$6,'Restaurant Base (Hidden)'!$A$1:$Z$1,0)),"")</f>
        <v>63.9</v>
      </c>
      <c r="U241" s="1">
        <f>+IFERROR(INDEX('Restaurant Base (Hidden)'!$A$2:$Z$1048576,MATCH($C241,'Restaurant Base (Hidden)'!$C$2:$C$1048576,0),MATCH(U$6,'Restaurant Base (Hidden)'!$A$1:$Z$1,0)),"")</f>
        <v>3</v>
      </c>
      <c r="V241" s="2" t="str">
        <f>+IFERROR(INDEX('Restaurant Base (Hidden)'!$A$2:$Z$1048576,MATCH($C241,'Restaurant Base (Hidden)'!$C$2:$C$1048576,0),MATCH(V$6,'Restaurant Base (Hidden)'!$A$1:$Z$1,0)),"")</f>
        <v/>
      </c>
      <c r="W241" s="65" t="str">
        <f>+IFERROR(INDEX('Restaurant Base (Hidden)'!$A$2:$Z$1048576,MATCH($C241,'Restaurant Base (Hidden)'!$C$2:$C$1048576,0),MATCH(W$6,'Restaurant Base (Hidden)'!$A$1:$Z$1,0)),"")</f>
        <v>78,90 %</v>
      </c>
      <c r="X241" s="1">
        <f>+IFERROR(INDEX('Restaurant Base (Hidden)'!$A$2:$Z$1048576,MATCH($C241,'Restaurant Base (Hidden)'!$C$2:$C$1048576,0),MATCH(X$6,'Restaurant Base (Hidden)'!$A$1:$Z$1,0)),"")</f>
        <v>2</v>
      </c>
      <c r="Y241" s="65" t="str">
        <f>+IFERROR(INDEX('Restaurant Base (Hidden)'!$A$2:$Z$1048576,MATCH($C241,'Restaurant Base (Hidden)'!$C$2:$C$1048576,0),MATCH(Y$6,'Restaurant Base (Hidden)'!$A$1:$Z$1,0)),"")</f>
        <v>73,80 %</v>
      </c>
      <c r="Z241" s="106">
        <f>+IFERROR(INDEX('Restaurant Base (Hidden)'!$A$2:$Z$1048576,MATCH($C241,'Restaurant Base (Hidden)'!$C$2:$C$1048576,0),MATCH(Z$6,'Restaurant Base (Hidden)'!$A$1:$Z$1,0)),"")</f>
        <v>2</v>
      </c>
      <c r="AA241" s="65" t="str">
        <f>+IFERROR(INDEX('Restaurant Base (Hidden)'!$A$2:$Z$1048576,MATCH($C241,'Restaurant Base (Hidden)'!$C$2:$C$1048576,0),MATCH(AA$6,'Restaurant Base (Hidden)'!$A$1:$Z$1,0)),"")</f>
        <v>90,40 %</v>
      </c>
      <c r="AB241" s="1">
        <f>+IFERROR(INDEX('Restaurant Base (Hidden)'!$A$2:$Z$1048576,MATCH($C241,'Restaurant Base (Hidden)'!$C$2:$C$1048576,0),MATCH(AB$6,'Restaurant Base (Hidden)'!$A$1:$Z$1,0)),"")</f>
        <v>3</v>
      </c>
      <c r="AC241" s="20" t="str">
        <f>+IFERROR(INDEX('Restaurant Base (Hidden)'!$A$2:$Z$1048576,MATCH($C241,'Restaurant Base (Hidden)'!$C$2:$C$1048576,0),MATCH(AC$6,'Restaurant Base (Hidden)'!$A$1:$Z$1,0)),"")</f>
        <v/>
      </c>
      <c r="AD241" s="65" t="str">
        <f>+IFERROR(INDEX('Restaurant Base (Hidden)'!$A$2:$Z$1048576,MATCH($C241,'Restaurant Base (Hidden)'!$C$2:$C$1048576,0),MATCH(AD$6,'Restaurant Base (Hidden)'!$A$1:$Z$1,0)),"")</f>
        <v>82,20 %</v>
      </c>
      <c r="AE241" s="1">
        <f>+IFERROR(INDEX('Restaurant Base (Hidden)'!$A$2:$Z$1048576,MATCH($C241,'Restaurant Base (Hidden)'!$C$2:$C$1048576,0),MATCH(AE$6,'Restaurant Base (Hidden)'!$A$1:$Z$1,0)),"")</f>
        <v>3</v>
      </c>
      <c r="AF241" s="65" t="str">
        <f>+IFERROR(INDEX('Restaurant Base (Hidden)'!$A$2:$Z$1048576,MATCH($C241,'Restaurant Base (Hidden)'!$C$2:$C$1048576,0),MATCH(AF$6,'Restaurant Base (Hidden)'!$A$1:$Z$1,0)),"")</f>
        <v>69,80 %</v>
      </c>
      <c r="AG241" s="1">
        <f>+IFERROR(INDEX('Restaurant Base (Hidden)'!$A$2:$Z$1048576,MATCH($C241,'Restaurant Base (Hidden)'!$C$2:$C$1048576,0),MATCH(AG$6,'Restaurant Base (Hidden)'!$A$1:$Z$1,0)),"")</f>
        <v>1</v>
      </c>
    </row>
    <row r="242" spans="1:33" x14ac:dyDescent="0.4">
      <c r="A242" s="163" t="str">
        <f>IF('Restaurant Base (Hidden)'!A193=0,"", 'Restaurant Base (Hidden)'!A193)</f>
        <v>Riley Wellington</v>
      </c>
      <c r="B242" s="163" t="str">
        <f>IF('Restaurant Base (Hidden)'!B193=0,"", 'Restaurant Base (Hidden)'!B193)</f>
        <v>Brightstone Food Group</v>
      </c>
      <c r="C242" s="163" t="str">
        <f>IF('Restaurant Base (Hidden)'!C193=0,"", 'Restaurant Base (Hidden)'!C193)</f>
        <v>Fairview Harbor</v>
      </c>
      <c r="D242" s="104">
        <f t="shared" si="3"/>
        <v>236</v>
      </c>
      <c r="E242" s="105">
        <f>+IFERROR(INDEX('Restaurant Base (Hidden)'!$A$2:$Z$1048576,MATCH($C242,'Restaurant Base (Hidden)'!$C$2:$C$1048576,0),MATCH(E$6,'Restaurant Base (Hidden)'!$A$1:$Z$1,0)),"")</f>
        <v>2.91</v>
      </c>
      <c r="F242" s="2" t="str">
        <f>+IFERROR(INDEX('Restaurant Base (Hidden)'!$A$2:$Z$1048576,MATCH($C242,'Restaurant Base (Hidden)'!$C$2:$C$1048576,0),MATCH(F$6,'Restaurant Base (Hidden)'!$A$1:$Z$1,0)),"")</f>
        <v/>
      </c>
      <c r="G242" s="20" t="str">
        <f>+IFERROR(INDEX('Restaurant Base (Hidden)'!$A$2:$Z$1048576,MATCH($C242,'Restaurant Base (Hidden)'!$C$2:$C$1048576,0),MATCH(G$6,'Restaurant Base (Hidden)'!$A$1:$Z$1,0)),"")</f>
        <v>4,829</v>
      </c>
      <c r="H242" s="50">
        <f>+IFERROR(INDEX('Restaurant Base (Hidden)'!$A$2:$Z$1048576,MATCH($C242,'Restaurant Base (Hidden)'!$C$2:$C$1048576,0),MATCH(H$6,'Restaurant Base (Hidden)'!$A$1:$Z$1,0)),"")</f>
        <v>5</v>
      </c>
      <c r="I242" s="20" t="str">
        <f>+IFERROR(INDEX('Restaurant Base (Hidden)'!$A$2:$Z$1048576,MATCH($C242,'Restaurant Base (Hidden)'!$C$2:$C$1048576,0),MATCH(I$6,'Restaurant Base (Hidden)'!$A$1:$Z$1,0)),"")</f>
        <v>96,70 %</v>
      </c>
      <c r="J242" s="49">
        <f>+IFERROR(INDEX('Restaurant Base (Hidden)'!$A$2:$Z$1048576,MATCH($C242,'Restaurant Base (Hidden)'!$C$2:$C$1048576,0),MATCH(J$6,'Restaurant Base (Hidden)'!$A$1:$Z$1,0)),"")</f>
        <v>5</v>
      </c>
      <c r="K242" s="20" t="str">
        <f>+IFERROR(INDEX('Restaurant Base (Hidden)'!$A$2:$Z$1048576,MATCH($C242,'Restaurant Base (Hidden)'!$C$2:$C$1048576,0),MATCH(K$6,'Restaurant Base (Hidden)'!$A$1:$Z$1,0)),"")</f>
        <v>0,074</v>
      </c>
      <c r="L242" s="51">
        <f>+IFERROR(INDEX('Restaurant Base (Hidden)'!$A$2:$Z$1048576,MATCH($C242,'Restaurant Base (Hidden)'!$C$2:$C$1048576,0),MATCH(L$6,'Restaurant Base (Hidden)'!$A$1:$Z$1,0)),"")</f>
        <v>4</v>
      </c>
      <c r="M242" s="2" t="str">
        <f>+IFERROR(INDEX('Restaurant Base (Hidden)'!$A$2:$Z$1048576,MATCH($C242,'Restaurant Base (Hidden)'!$C$2:$C$1048576,0),MATCH(M$6,'Restaurant Base (Hidden)'!$A$1:$Z$1,0)),"")</f>
        <v/>
      </c>
      <c r="N242" s="234" t="str">
        <f>+IFERROR(INDEX('Restaurant Base (Hidden)'!$A$2:$Z$1048576,MATCH($C242,'Restaurant Base (Hidden)'!$C$2:$C$1048576,0),MATCH(N$6,'Restaurant Base (Hidden)'!$A$1:$Z$1,0)),"")</f>
        <v>60,30 %</v>
      </c>
      <c r="O242" s="1">
        <f>+IFERROR(INDEX('Restaurant Base (Hidden)'!$A$2:$Z$1048576,MATCH($C242,'Restaurant Base (Hidden)'!$C$2:$C$1048576,0),MATCH(O$6,'Restaurant Base (Hidden)'!$A$1:$Z$1,0)),"")</f>
        <v>2</v>
      </c>
      <c r="P242" s="2" t="str">
        <f>+IFERROR(INDEX('Restaurant Base (Hidden)'!$A$2:$Z$1048576,MATCH($C242,'Restaurant Base (Hidden)'!$C$2:$C$1048576,0),MATCH(P$6,'Restaurant Base (Hidden)'!$A$1:$Z$1,0)),"")</f>
        <v/>
      </c>
      <c r="Q242" s="234" t="str">
        <f>+IFERROR(INDEX('Restaurant Base (Hidden)'!$A$2:$Z$1048576,MATCH($C242,'Restaurant Base (Hidden)'!$C$2:$C$1048576,0),MATCH(Q$6,'Restaurant Base (Hidden)'!$A$1:$Z$1,0)),"")</f>
        <v>57,00 %</v>
      </c>
      <c r="R242" s="1">
        <f>+IFERROR(INDEX('Restaurant Base (Hidden)'!$A$2:$Z$1048576,MATCH($C242,'Restaurant Base (Hidden)'!$C$2:$C$1048576,0),MATCH(R$6,'Restaurant Base (Hidden)'!$A$1:$Z$1,0)),"")</f>
        <v>1</v>
      </c>
      <c r="S242" s="2" t="str">
        <f>+IFERROR(INDEX('Restaurant Base (Hidden)'!$A$2:$Z$1048576,MATCH($C242,'Restaurant Base (Hidden)'!$C$2:$C$1048576,0),MATCH(S$6,'Restaurant Base (Hidden)'!$A$1:$Z$1,0)),"")</f>
        <v/>
      </c>
      <c r="T242" s="62">
        <f>+IFERROR(INDEX('Restaurant Base (Hidden)'!$A$2:$Z$1048576,MATCH($C242,'Restaurant Base (Hidden)'!$C$2:$C$1048576,0),MATCH(T$6,'Restaurant Base (Hidden)'!$A$1:$Z$1,0)),"")</f>
        <v>65.7</v>
      </c>
      <c r="U242" s="1">
        <f>+IFERROR(INDEX('Restaurant Base (Hidden)'!$A$2:$Z$1048576,MATCH($C242,'Restaurant Base (Hidden)'!$C$2:$C$1048576,0),MATCH(U$6,'Restaurant Base (Hidden)'!$A$1:$Z$1,0)),"")</f>
        <v>4</v>
      </c>
      <c r="V242" s="2" t="str">
        <f>+IFERROR(INDEX('Restaurant Base (Hidden)'!$A$2:$Z$1048576,MATCH($C242,'Restaurant Base (Hidden)'!$C$2:$C$1048576,0),MATCH(V$6,'Restaurant Base (Hidden)'!$A$1:$Z$1,0)),"")</f>
        <v/>
      </c>
      <c r="W242" s="65" t="str">
        <f>+IFERROR(INDEX('Restaurant Base (Hidden)'!$A$2:$Z$1048576,MATCH($C242,'Restaurant Base (Hidden)'!$C$2:$C$1048576,0),MATCH(W$6,'Restaurant Base (Hidden)'!$A$1:$Z$1,0)),"")</f>
        <v>83,70 %</v>
      </c>
      <c r="X242" s="1">
        <f>+IFERROR(INDEX('Restaurant Base (Hidden)'!$A$2:$Z$1048576,MATCH($C242,'Restaurant Base (Hidden)'!$C$2:$C$1048576,0),MATCH(X$6,'Restaurant Base (Hidden)'!$A$1:$Z$1,0)),"")</f>
        <v>3</v>
      </c>
      <c r="Y242" s="65" t="str">
        <f>+IFERROR(INDEX('Restaurant Base (Hidden)'!$A$2:$Z$1048576,MATCH($C242,'Restaurant Base (Hidden)'!$C$2:$C$1048576,0),MATCH(Y$6,'Restaurant Base (Hidden)'!$A$1:$Z$1,0)),"")</f>
        <v>88,80 %</v>
      </c>
      <c r="Z242" s="106">
        <f>+IFERROR(INDEX('Restaurant Base (Hidden)'!$A$2:$Z$1048576,MATCH($C242,'Restaurant Base (Hidden)'!$C$2:$C$1048576,0),MATCH(Z$6,'Restaurant Base (Hidden)'!$A$1:$Z$1,0)),"")</f>
        <v>3</v>
      </c>
      <c r="AA242" s="65" t="str">
        <f>+IFERROR(INDEX('Restaurant Base (Hidden)'!$A$2:$Z$1048576,MATCH($C242,'Restaurant Base (Hidden)'!$C$2:$C$1048576,0),MATCH(AA$6,'Restaurant Base (Hidden)'!$A$1:$Z$1,0)),"")</f>
        <v>77,00 %</v>
      </c>
      <c r="AB242" s="1">
        <f>+IFERROR(INDEX('Restaurant Base (Hidden)'!$A$2:$Z$1048576,MATCH($C242,'Restaurant Base (Hidden)'!$C$2:$C$1048576,0),MATCH(AB$6,'Restaurant Base (Hidden)'!$A$1:$Z$1,0)),"")</f>
        <v>2</v>
      </c>
      <c r="AC242" s="20" t="str">
        <f>+IFERROR(INDEX('Restaurant Base (Hidden)'!$A$2:$Z$1048576,MATCH($C242,'Restaurant Base (Hidden)'!$C$2:$C$1048576,0),MATCH(AC$6,'Restaurant Base (Hidden)'!$A$1:$Z$1,0)),"")</f>
        <v/>
      </c>
      <c r="AD242" s="65" t="str">
        <f>+IFERROR(INDEX('Restaurant Base (Hidden)'!$A$2:$Z$1048576,MATCH($C242,'Restaurant Base (Hidden)'!$C$2:$C$1048576,0),MATCH(AD$6,'Restaurant Base (Hidden)'!$A$1:$Z$1,0)),"")</f>
        <v>64,80 %</v>
      </c>
      <c r="AE242" s="1">
        <f>+IFERROR(INDEX('Restaurant Base (Hidden)'!$A$2:$Z$1048576,MATCH($C242,'Restaurant Base (Hidden)'!$C$2:$C$1048576,0),MATCH(AE$6,'Restaurant Base (Hidden)'!$A$1:$Z$1,0)),"")</f>
        <v>1</v>
      </c>
      <c r="AF242" s="65" t="str">
        <f>+IFERROR(INDEX('Restaurant Base (Hidden)'!$A$2:$Z$1048576,MATCH($C242,'Restaurant Base (Hidden)'!$C$2:$C$1048576,0),MATCH(AF$6,'Restaurant Base (Hidden)'!$A$1:$Z$1,0)),"")</f>
        <v>88,90 %</v>
      </c>
      <c r="AG242" s="1">
        <f>+IFERROR(INDEX('Restaurant Base (Hidden)'!$A$2:$Z$1048576,MATCH($C242,'Restaurant Base (Hidden)'!$C$2:$C$1048576,0),MATCH(AG$6,'Restaurant Base (Hidden)'!$A$1:$Z$1,0)),"")</f>
        <v>3</v>
      </c>
    </row>
    <row r="243" spans="1:33" x14ac:dyDescent="0.4">
      <c r="A243" s="163" t="str">
        <f>IF('Restaurant Base (Hidden)'!A380=0,"", 'Restaurant Base (Hidden)'!A380)</f>
        <v>Blake Bellamy</v>
      </c>
      <c r="B243" s="163" t="str">
        <f>IF('Restaurant Base (Hidden)'!B380=0,"", 'Restaurant Base (Hidden)'!B380)</f>
        <v>Willowcrest Dining</v>
      </c>
      <c r="C243" s="163" t="str">
        <f>IF('Restaurant Base (Hidden)'!C380=0,"", 'Restaurant Base (Hidden)'!C380)</f>
        <v>Woodland Ridge</v>
      </c>
      <c r="D243" s="104">
        <f t="shared" si="3"/>
        <v>236</v>
      </c>
      <c r="E243" s="105">
        <f>+IFERROR(INDEX('Restaurant Base (Hidden)'!$A$2:$Z$1048576,MATCH($C243,'Restaurant Base (Hidden)'!$C$2:$C$1048576,0),MATCH(E$6,'Restaurant Base (Hidden)'!$A$1:$Z$1,0)),"")</f>
        <v>2.91</v>
      </c>
      <c r="F243" s="2" t="str">
        <f>+IFERROR(INDEX('Restaurant Base (Hidden)'!$A$2:$Z$1048576,MATCH($C243,'Restaurant Base (Hidden)'!$C$2:$C$1048576,0),MATCH(F$6,'Restaurant Base (Hidden)'!$A$1:$Z$1,0)),"")</f>
        <v/>
      </c>
      <c r="G243" s="20" t="str">
        <f>+IFERROR(INDEX('Restaurant Base (Hidden)'!$A$2:$Z$1048576,MATCH($C243,'Restaurant Base (Hidden)'!$C$2:$C$1048576,0),MATCH(G$6,'Restaurant Base (Hidden)'!$A$1:$Z$1,0)),"")</f>
        <v>4,702</v>
      </c>
      <c r="H243" s="50">
        <f>+IFERROR(INDEX('Restaurant Base (Hidden)'!$A$2:$Z$1048576,MATCH($C243,'Restaurant Base (Hidden)'!$C$2:$C$1048576,0),MATCH(H$6,'Restaurant Base (Hidden)'!$A$1:$Z$1,0)),"")</f>
        <v>5</v>
      </c>
      <c r="I243" s="20" t="str">
        <f>+IFERROR(INDEX('Restaurant Base (Hidden)'!$A$2:$Z$1048576,MATCH($C243,'Restaurant Base (Hidden)'!$C$2:$C$1048576,0),MATCH(I$6,'Restaurant Base (Hidden)'!$A$1:$Z$1,0)),"")</f>
        <v>67,80 %</v>
      </c>
      <c r="J243" s="49">
        <f>+IFERROR(INDEX('Restaurant Base (Hidden)'!$A$2:$Z$1048576,MATCH($C243,'Restaurant Base (Hidden)'!$C$2:$C$1048576,0),MATCH(J$6,'Restaurant Base (Hidden)'!$A$1:$Z$1,0)),"")</f>
        <v>1</v>
      </c>
      <c r="K243" s="20" t="str">
        <f>+IFERROR(INDEX('Restaurant Base (Hidden)'!$A$2:$Z$1048576,MATCH($C243,'Restaurant Base (Hidden)'!$C$2:$C$1048576,0),MATCH(K$6,'Restaurant Base (Hidden)'!$A$1:$Z$1,0)),"")</f>
        <v>0,050</v>
      </c>
      <c r="L243" s="51">
        <f>+IFERROR(INDEX('Restaurant Base (Hidden)'!$A$2:$Z$1048576,MATCH($C243,'Restaurant Base (Hidden)'!$C$2:$C$1048576,0),MATCH(L$6,'Restaurant Base (Hidden)'!$A$1:$Z$1,0)),"")</f>
        <v>5</v>
      </c>
      <c r="M243" s="2" t="str">
        <f>+IFERROR(INDEX('Restaurant Base (Hidden)'!$A$2:$Z$1048576,MATCH($C243,'Restaurant Base (Hidden)'!$C$2:$C$1048576,0),MATCH(M$6,'Restaurant Base (Hidden)'!$A$1:$Z$1,0)),"")</f>
        <v/>
      </c>
      <c r="N243" s="234" t="str">
        <f>+IFERROR(INDEX('Restaurant Base (Hidden)'!$A$2:$Z$1048576,MATCH($C243,'Restaurant Base (Hidden)'!$C$2:$C$1048576,0),MATCH(N$6,'Restaurant Base (Hidden)'!$A$1:$Z$1,0)),"")</f>
        <v>69,00 %</v>
      </c>
      <c r="O243" s="1">
        <f>+IFERROR(INDEX('Restaurant Base (Hidden)'!$A$2:$Z$1048576,MATCH($C243,'Restaurant Base (Hidden)'!$C$2:$C$1048576,0),MATCH(O$6,'Restaurant Base (Hidden)'!$A$1:$Z$1,0)),"")</f>
        <v>4</v>
      </c>
      <c r="P243" s="2" t="str">
        <f>+IFERROR(INDEX('Restaurant Base (Hidden)'!$A$2:$Z$1048576,MATCH($C243,'Restaurant Base (Hidden)'!$C$2:$C$1048576,0),MATCH(P$6,'Restaurant Base (Hidden)'!$A$1:$Z$1,0)),"")</f>
        <v/>
      </c>
      <c r="Q243" s="234" t="str">
        <f>+IFERROR(INDEX('Restaurant Base (Hidden)'!$A$2:$Z$1048576,MATCH($C243,'Restaurant Base (Hidden)'!$C$2:$C$1048576,0),MATCH(Q$6,'Restaurant Base (Hidden)'!$A$1:$Z$1,0)),"")</f>
        <v>77,90 %</v>
      </c>
      <c r="R243" s="1">
        <f>+IFERROR(INDEX('Restaurant Base (Hidden)'!$A$2:$Z$1048576,MATCH($C243,'Restaurant Base (Hidden)'!$C$2:$C$1048576,0),MATCH(R$6,'Restaurant Base (Hidden)'!$A$1:$Z$1,0)),"")</f>
        <v>5</v>
      </c>
      <c r="S243" s="2" t="str">
        <f>+IFERROR(INDEX('Restaurant Base (Hidden)'!$A$2:$Z$1048576,MATCH($C243,'Restaurant Base (Hidden)'!$C$2:$C$1048576,0),MATCH(S$6,'Restaurant Base (Hidden)'!$A$1:$Z$1,0)),"")</f>
        <v/>
      </c>
      <c r="T243" s="62">
        <f>+IFERROR(INDEX('Restaurant Base (Hidden)'!$A$2:$Z$1048576,MATCH($C243,'Restaurant Base (Hidden)'!$C$2:$C$1048576,0),MATCH(T$6,'Restaurant Base (Hidden)'!$A$1:$Z$1,0)),"")</f>
        <v>52.8</v>
      </c>
      <c r="U243" s="1">
        <f>+IFERROR(INDEX('Restaurant Base (Hidden)'!$A$2:$Z$1048576,MATCH($C243,'Restaurant Base (Hidden)'!$C$2:$C$1048576,0),MATCH(U$6,'Restaurant Base (Hidden)'!$A$1:$Z$1,0)),"")</f>
        <v>1</v>
      </c>
      <c r="V243" s="2" t="str">
        <f>+IFERROR(INDEX('Restaurant Base (Hidden)'!$A$2:$Z$1048576,MATCH($C243,'Restaurant Base (Hidden)'!$C$2:$C$1048576,0),MATCH(V$6,'Restaurant Base (Hidden)'!$A$1:$Z$1,0)),"")</f>
        <v/>
      </c>
      <c r="W243" s="65" t="str">
        <f>+IFERROR(INDEX('Restaurant Base (Hidden)'!$A$2:$Z$1048576,MATCH($C243,'Restaurant Base (Hidden)'!$C$2:$C$1048576,0),MATCH(W$6,'Restaurant Base (Hidden)'!$A$1:$Z$1,0)),"")</f>
        <v>71,50 %</v>
      </c>
      <c r="X243" s="1">
        <f>+IFERROR(INDEX('Restaurant Base (Hidden)'!$A$2:$Z$1048576,MATCH($C243,'Restaurant Base (Hidden)'!$C$2:$C$1048576,0),MATCH(X$6,'Restaurant Base (Hidden)'!$A$1:$Z$1,0)),"")</f>
        <v>2</v>
      </c>
      <c r="Y243" s="65" t="str">
        <f>+IFERROR(INDEX('Restaurant Base (Hidden)'!$A$2:$Z$1048576,MATCH($C243,'Restaurant Base (Hidden)'!$C$2:$C$1048576,0),MATCH(Y$6,'Restaurant Base (Hidden)'!$A$1:$Z$1,0)),"")</f>
        <v>76,90 %</v>
      </c>
      <c r="Z243" s="106">
        <f>+IFERROR(INDEX('Restaurant Base (Hidden)'!$A$2:$Z$1048576,MATCH($C243,'Restaurant Base (Hidden)'!$C$2:$C$1048576,0),MATCH(Z$6,'Restaurant Base (Hidden)'!$A$1:$Z$1,0)),"")</f>
        <v>2</v>
      </c>
      <c r="AA243" s="65" t="str">
        <f>+IFERROR(INDEX('Restaurant Base (Hidden)'!$A$2:$Z$1048576,MATCH($C243,'Restaurant Base (Hidden)'!$C$2:$C$1048576,0),MATCH(AA$6,'Restaurant Base (Hidden)'!$A$1:$Z$1,0)),"")</f>
        <v>55,50 %</v>
      </c>
      <c r="AB243" s="1">
        <f>+IFERROR(INDEX('Restaurant Base (Hidden)'!$A$2:$Z$1048576,MATCH($C243,'Restaurant Base (Hidden)'!$C$2:$C$1048576,0),MATCH(AB$6,'Restaurant Base (Hidden)'!$A$1:$Z$1,0)),"")</f>
        <v>1</v>
      </c>
      <c r="AC243" s="20" t="str">
        <f>+IFERROR(INDEX('Restaurant Base (Hidden)'!$A$2:$Z$1048576,MATCH($C243,'Restaurant Base (Hidden)'!$C$2:$C$1048576,0),MATCH(AC$6,'Restaurant Base (Hidden)'!$A$1:$Z$1,0)),"")</f>
        <v/>
      </c>
      <c r="AD243" s="65" t="str">
        <f>+IFERROR(INDEX('Restaurant Base (Hidden)'!$A$2:$Z$1048576,MATCH($C243,'Restaurant Base (Hidden)'!$C$2:$C$1048576,0),MATCH(AD$6,'Restaurant Base (Hidden)'!$A$1:$Z$1,0)),"")</f>
        <v>89,00 %</v>
      </c>
      <c r="AE243" s="1">
        <f>+IFERROR(INDEX('Restaurant Base (Hidden)'!$A$2:$Z$1048576,MATCH($C243,'Restaurant Base (Hidden)'!$C$2:$C$1048576,0),MATCH(AE$6,'Restaurant Base (Hidden)'!$A$1:$Z$1,0)),"")</f>
        <v>4</v>
      </c>
      <c r="AF243" s="65" t="str">
        <f>+IFERROR(INDEX('Restaurant Base (Hidden)'!$A$2:$Z$1048576,MATCH($C243,'Restaurant Base (Hidden)'!$C$2:$C$1048576,0),MATCH(AF$6,'Restaurant Base (Hidden)'!$A$1:$Z$1,0)),"")</f>
        <v>71,50 %</v>
      </c>
      <c r="AG243" s="1">
        <f>+IFERROR(INDEX('Restaurant Base (Hidden)'!$A$2:$Z$1048576,MATCH($C243,'Restaurant Base (Hidden)'!$C$2:$C$1048576,0),MATCH(AG$6,'Restaurant Base (Hidden)'!$A$1:$Z$1,0)),"")</f>
        <v>1</v>
      </c>
    </row>
    <row r="244" spans="1:33" x14ac:dyDescent="0.4">
      <c r="A244" s="163" t="str">
        <f>IF('Restaurant Base (Hidden)'!A389=0,"", 'Restaurant Base (Hidden)'!A389)</f>
        <v>Jordan Oakley</v>
      </c>
      <c r="B244" s="163" t="str">
        <f>IF('Restaurant Base (Hidden)'!B389=0,"", 'Restaurant Base (Hidden)'!B389)</f>
        <v>Westfield Food Group</v>
      </c>
      <c r="C244" s="163" t="str">
        <f>IF('Restaurant Base (Hidden)'!C389=0,"", 'Restaurant Base (Hidden)'!C389)</f>
        <v>Oakridge Place</v>
      </c>
      <c r="D244" s="104">
        <f t="shared" si="3"/>
        <v>236</v>
      </c>
      <c r="E244" s="105">
        <f>+IFERROR(INDEX('Restaurant Base (Hidden)'!$A$2:$Z$1048576,MATCH($C244,'Restaurant Base (Hidden)'!$C$2:$C$1048576,0),MATCH(E$6,'Restaurant Base (Hidden)'!$A$1:$Z$1,0)),"")</f>
        <v>2.91</v>
      </c>
      <c r="F244" s="2" t="str">
        <f>+IFERROR(INDEX('Restaurant Base (Hidden)'!$A$2:$Z$1048576,MATCH($C244,'Restaurant Base (Hidden)'!$C$2:$C$1048576,0),MATCH(F$6,'Restaurant Base (Hidden)'!$A$1:$Z$1,0)),"")</f>
        <v/>
      </c>
      <c r="G244" s="20" t="str">
        <f>+IFERROR(INDEX('Restaurant Base (Hidden)'!$A$2:$Z$1048576,MATCH($C244,'Restaurant Base (Hidden)'!$C$2:$C$1048576,0),MATCH(G$6,'Restaurant Base (Hidden)'!$A$1:$Z$1,0)),"")</f>
        <v>4,509</v>
      </c>
      <c r="H244" s="50">
        <f>+IFERROR(INDEX('Restaurant Base (Hidden)'!$A$2:$Z$1048576,MATCH($C244,'Restaurant Base (Hidden)'!$C$2:$C$1048576,0),MATCH(H$6,'Restaurant Base (Hidden)'!$A$1:$Z$1,0)),"")</f>
        <v>5</v>
      </c>
      <c r="I244" s="20" t="str">
        <f>+IFERROR(INDEX('Restaurant Base (Hidden)'!$A$2:$Z$1048576,MATCH($C244,'Restaurant Base (Hidden)'!$C$2:$C$1048576,0),MATCH(I$6,'Restaurant Base (Hidden)'!$A$1:$Z$1,0)),"")</f>
        <v>55,80 %</v>
      </c>
      <c r="J244" s="49">
        <f>+IFERROR(INDEX('Restaurant Base (Hidden)'!$A$2:$Z$1048576,MATCH($C244,'Restaurant Base (Hidden)'!$C$2:$C$1048576,0),MATCH(J$6,'Restaurant Base (Hidden)'!$A$1:$Z$1,0)),"")</f>
        <v>1</v>
      </c>
      <c r="K244" s="20" t="str">
        <f>+IFERROR(INDEX('Restaurant Base (Hidden)'!$A$2:$Z$1048576,MATCH($C244,'Restaurant Base (Hidden)'!$C$2:$C$1048576,0),MATCH(K$6,'Restaurant Base (Hidden)'!$A$1:$Z$1,0)),"")</f>
        <v>0,100</v>
      </c>
      <c r="L244" s="51">
        <f>+IFERROR(INDEX('Restaurant Base (Hidden)'!$A$2:$Z$1048576,MATCH($C244,'Restaurant Base (Hidden)'!$C$2:$C$1048576,0),MATCH(L$6,'Restaurant Base (Hidden)'!$A$1:$Z$1,0)),"")</f>
        <v>4</v>
      </c>
      <c r="M244" s="2" t="str">
        <f>+IFERROR(INDEX('Restaurant Base (Hidden)'!$A$2:$Z$1048576,MATCH($C244,'Restaurant Base (Hidden)'!$C$2:$C$1048576,0),MATCH(M$6,'Restaurant Base (Hidden)'!$A$1:$Z$1,0)),"")</f>
        <v/>
      </c>
      <c r="N244" s="234" t="str">
        <f>+IFERROR(INDEX('Restaurant Base (Hidden)'!$A$2:$Z$1048576,MATCH($C244,'Restaurant Base (Hidden)'!$C$2:$C$1048576,0),MATCH(N$6,'Restaurant Base (Hidden)'!$A$1:$Z$1,0)),"")</f>
        <v>68,00 %</v>
      </c>
      <c r="O244" s="1">
        <f>+IFERROR(INDEX('Restaurant Base (Hidden)'!$A$2:$Z$1048576,MATCH($C244,'Restaurant Base (Hidden)'!$C$2:$C$1048576,0),MATCH(O$6,'Restaurant Base (Hidden)'!$A$1:$Z$1,0)),"")</f>
        <v>4</v>
      </c>
      <c r="P244" s="2" t="str">
        <f>+IFERROR(INDEX('Restaurant Base (Hidden)'!$A$2:$Z$1048576,MATCH($C244,'Restaurant Base (Hidden)'!$C$2:$C$1048576,0),MATCH(P$6,'Restaurant Base (Hidden)'!$A$1:$Z$1,0)),"")</f>
        <v/>
      </c>
      <c r="Q244" s="234" t="str">
        <f>+IFERROR(INDEX('Restaurant Base (Hidden)'!$A$2:$Z$1048576,MATCH($C244,'Restaurant Base (Hidden)'!$C$2:$C$1048576,0),MATCH(Q$6,'Restaurant Base (Hidden)'!$A$1:$Z$1,0)),"")</f>
        <v>71,20 %</v>
      </c>
      <c r="R244" s="1">
        <f>+IFERROR(INDEX('Restaurant Base (Hidden)'!$A$2:$Z$1048576,MATCH($C244,'Restaurant Base (Hidden)'!$C$2:$C$1048576,0),MATCH(R$6,'Restaurant Base (Hidden)'!$A$1:$Z$1,0)),"")</f>
        <v>4</v>
      </c>
      <c r="S244" s="2" t="str">
        <f>+IFERROR(INDEX('Restaurant Base (Hidden)'!$A$2:$Z$1048576,MATCH($C244,'Restaurant Base (Hidden)'!$C$2:$C$1048576,0),MATCH(S$6,'Restaurant Base (Hidden)'!$A$1:$Z$1,0)),"")</f>
        <v/>
      </c>
      <c r="T244" s="62">
        <f>+IFERROR(INDEX('Restaurant Base (Hidden)'!$A$2:$Z$1048576,MATCH($C244,'Restaurant Base (Hidden)'!$C$2:$C$1048576,0),MATCH(T$6,'Restaurant Base (Hidden)'!$A$1:$Z$1,0)),"")</f>
        <v>63.9</v>
      </c>
      <c r="U244" s="1">
        <f>+IFERROR(INDEX('Restaurant Base (Hidden)'!$A$2:$Z$1048576,MATCH($C244,'Restaurant Base (Hidden)'!$C$2:$C$1048576,0),MATCH(U$6,'Restaurant Base (Hidden)'!$A$1:$Z$1,0)),"")</f>
        <v>3</v>
      </c>
      <c r="V244" s="2" t="str">
        <f>+IFERROR(INDEX('Restaurant Base (Hidden)'!$A$2:$Z$1048576,MATCH($C244,'Restaurant Base (Hidden)'!$C$2:$C$1048576,0),MATCH(V$6,'Restaurant Base (Hidden)'!$A$1:$Z$1,0)),"")</f>
        <v/>
      </c>
      <c r="W244" s="65" t="str">
        <f>+IFERROR(INDEX('Restaurant Base (Hidden)'!$A$2:$Z$1048576,MATCH($C244,'Restaurant Base (Hidden)'!$C$2:$C$1048576,0),MATCH(W$6,'Restaurant Base (Hidden)'!$A$1:$Z$1,0)),"")</f>
        <v>77,90 %</v>
      </c>
      <c r="X244" s="1">
        <f>+IFERROR(INDEX('Restaurant Base (Hidden)'!$A$2:$Z$1048576,MATCH($C244,'Restaurant Base (Hidden)'!$C$2:$C$1048576,0),MATCH(X$6,'Restaurant Base (Hidden)'!$A$1:$Z$1,0)),"")</f>
        <v>2</v>
      </c>
      <c r="Y244" s="65" t="str">
        <f>+IFERROR(INDEX('Restaurant Base (Hidden)'!$A$2:$Z$1048576,MATCH($C244,'Restaurant Base (Hidden)'!$C$2:$C$1048576,0),MATCH(Y$6,'Restaurant Base (Hidden)'!$A$1:$Z$1,0)),"")</f>
        <v>75,30 %</v>
      </c>
      <c r="Z244" s="106">
        <f>+IFERROR(INDEX('Restaurant Base (Hidden)'!$A$2:$Z$1048576,MATCH($C244,'Restaurant Base (Hidden)'!$C$2:$C$1048576,0),MATCH(Z$6,'Restaurant Base (Hidden)'!$A$1:$Z$1,0)),"")</f>
        <v>2</v>
      </c>
      <c r="AA244" s="65" t="str">
        <f>+IFERROR(INDEX('Restaurant Base (Hidden)'!$A$2:$Z$1048576,MATCH($C244,'Restaurant Base (Hidden)'!$C$2:$C$1048576,0),MATCH(AA$6,'Restaurant Base (Hidden)'!$A$1:$Z$1,0)),"")</f>
        <v>68,80 %</v>
      </c>
      <c r="AB244" s="1">
        <f>+IFERROR(INDEX('Restaurant Base (Hidden)'!$A$2:$Z$1048576,MATCH($C244,'Restaurant Base (Hidden)'!$C$2:$C$1048576,0),MATCH(AB$6,'Restaurant Base (Hidden)'!$A$1:$Z$1,0)),"")</f>
        <v>2</v>
      </c>
      <c r="AC244" s="20" t="str">
        <f>+IFERROR(INDEX('Restaurant Base (Hidden)'!$A$2:$Z$1048576,MATCH($C244,'Restaurant Base (Hidden)'!$C$2:$C$1048576,0),MATCH(AC$6,'Restaurant Base (Hidden)'!$A$1:$Z$1,0)),"")</f>
        <v/>
      </c>
      <c r="AD244" s="65" t="str">
        <f>+IFERROR(INDEX('Restaurant Base (Hidden)'!$A$2:$Z$1048576,MATCH($C244,'Restaurant Base (Hidden)'!$C$2:$C$1048576,0),MATCH(AD$6,'Restaurant Base (Hidden)'!$A$1:$Z$1,0)),"")</f>
        <v>81,30 %</v>
      </c>
      <c r="AE244" s="1">
        <f>+IFERROR(INDEX('Restaurant Base (Hidden)'!$A$2:$Z$1048576,MATCH($C244,'Restaurant Base (Hidden)'!$C$2:$C$1048576,0),MATCH(AE$6,'Restaurant Base (Hidden)'!$A$1:$Z$1,0)),"")</f>
        <v>2</v>
      </c>
      <c r="AF244" s="65" t="str">
        <f>+IFERROR(INDEX('Restaurant Base (Hidden)'!$A$2:$Z$1048576,MATCH($C244,'Restaurant Base (Hidden)'!$C$2:$C$1048576,0),MATCH(AF$6,'Restaurant Base (Hidden)'!$A$1:$Z$1,0)),"")</f>
        <v>75,80 %</v>
      </c>
      <c r="AG244" s="1">
        <f>+IFERROR(INDEX('Restaurant Base (Hidden)'!$A$2:$Z$1048576,MATCH($C244,'Restaurant Base (Hidden)'!$C$2:$C$1048576,0),MATCH(AG$6,'Restaurant Base (Hidden)'!$A$1:$Z$1,0)),"")</f>
        <v>2</v>
      </c>
    </row>
    <row r="245" spans="1:33" x14ac:dyDescent="0.4">
      <c r="A245" s="163" t="str">
        <f>IF('Restaurant Base (Hidden)'!A149=0,"", 'Restaurant Base (Hidden)'!A149)</f>
        <v>Casey Briarwood</v>
      </c>
      <c r="B245" s="163" t="str">
        <f>IF('Restaurant Base (Hidden)'!B149=0,"", 'Restaurant Base (Hidden)'!B149)</f>
        <v>Westfield Food Group</v>
      </c>
      <c r="C245" s="163" t="str">
        <f>IF('Restaurant Base (Hidden)'!C149=0,"", 'Restaurant Base (Hidden)'!C149)</f>
        <v>Crystal Quay</v>
      </c>
      <c r="D245" s="104">
        <f t="shared" si="3"/>
        <v>239</v>
      </c>
      <c r="E245" s="105">
        <f>+IFERROR(INDEX('Restaurant Base (Hidden)'!$A$2:$Z$1048576,MATCH($C245,'Restaurant Base (Hidden)'!$C$2:$C$1048576,0),MATCH(E$6,'Restaurant Base (Hidden)'!$A$1:$Z$1,0)),"")</f>
        <v>2.9</v>
      </c>
      <c r="F245" s="2" t="str">
        <f>+IFERROR(INDEX('Restaurant Base (Hidden)'!$A$2:$Z$1048576,MATCH($C245,'Restaurant Base (Hidden)'!$C$2:$C$1048576,0),MATCH(F$6,'Restaurant Base (Hidden)'!$A$1:$Z$1,0)),"")</f>
        <v/>
      </c>
      <c r="G245" s="20" t="str">
        <f>+IFERROR(INDEX('Restaurant Base (Hidden)'!$A$2:$Z$1048576,MATCH($C245,'Restaurant Base (Hidden)'!$C$2:$C$1048576,0),MATCH(G$6,'Restaurant Base (Hidden)'!$A$1:$Z$1,0)),"")</f>
        <v>4,055</v>
      </c>
      <c r="H245" s="50">
        <f>+IFERROR(INDEX('Restaurant Base (Hidden)'!$A$2:$Z$1048576,MATCH($C245,'Restaurant Base (Hidden)'!$C$2:$C$1048576,0),MATCH(H$6,'Restaurant Base (Hidden)'!$A$1:$Z$1,0)),"")</f>
        <v>2</v>
      </c>
      <c r="I245" s="20" t="str">
        <f>+IFERROR(INDEX('Restaurant Base (Hidden)'!$A$2:$Z$1048576,MATCH($C245,'Restaurant Base (Hidden)'!$C$2:$C$1048576,0),MATCH(I$6,'Restaurant Base (Hidden)'!$A$1:$Z$1,0)),"")</f>
        <v>79,30 %</v>
      </c>
      <c r="J245" s="49">
        <f>+IFERROR(INDEX('Restaurant Base (Hidden)'!$A$2:$Z$1048576,MATCH($C245,'Restaurant Base (Hidden)'!$C$2:$C$1048576,0),MATCH(J$6,'Restaurant Base (Hidden)'!$A$1:$Z$1,0)),"")</f>
        <v>2</v>
      </c>
      <c r="K245" s="20" t="str">
        <f>+IFERROR(INDEX('Restaurant Base (Hidden)'!$A$2:$Z$1048576,MATCH($C245,'Restaurant Base (Hidden)'!$C$2:$C$1048576,0),MATCH(K$6,'Restaurant Base (Hidden)'!$A$1:$Z$1,0)),"")</f>
        <v>0,159</v>
      </c>
      <c r="L245" s="51">
        <f>+IFERROR(INDEX('Restaurant Base (Hidden)'!$A$2:$Z$1048576,MATCH($C245,'Restaurant Base (Hidden)'!$C$2:$C$1048576,0),MATCH(L$6,'Restaurant Base (Hidden)'!$A$1:$Z$1,0)),"")</f>
        <v>2</v>
      </c>
      <c r="M245" s="2" t="str">
        <f>+IFERROR(INDEX('Restaurant Base (Hidden)'!$A$2:$Z$1048576,MATCH($C245,'Restaurant Base (Hidden)'!$C$2:$C$1048576,0),MATCH(M$6,'Restaurant Base (Hidden)'!$A$1:$Z$1,0)),"")</f>
        <v/>
      </c>
      <c r="N245" s="234" t="str">
        <f>+IFERROR(INDEX('Restaurant Base (Hidden)'!$A$2:$Z$1048576,MATCH($C245,'Restaurant Base (Hidden)'!$C$2:$C$1048576,0),MATCH(N$6,'Restaurant Base (Hidden)'!$A$1:$Z$1,0)),"")</f>
        <v>77,60 %</v>
      </c>
      <c r="O245" s="1">
        <f>+IFERROR(INDEX('Restaurant Base (Hidden)'!$A$2:$Z$1048576,MATCH($C245,'Restaurant Base (Hidden)'!$C$2:$C$1048576,0),MATCH(O$6,'Restaurant Base (Hidden)'!$A$1:$Z$1,0)),"")</f>
        <v>5</v>
      </c>
      <c r="P245" s="2" t="str">
        <f>+IFERROR(INDEX('Restaurant Base (Hidden)'!$A$2:$Z$1048576,MATCH($C245,'Restaurant Base (Hidden)'!$C$2:$C$1048576,0),MATCH(P$6,'Restaurant Base (Hidden)'!$A$1:$Z$1,0)),"")</f>
        <v/>
      </c>
      <c r="Q245" s="234" t="str">
        <f>+IFERROR(INDEX('Restaurant Base (Hidden)'!$A$2:$Z$1048576,MATCH($C245,'Restaurant Base (Hidden)'!$C$2:$C$1048576,0),MATCH(Q$6,'Restaurant Base (Hidden)'!$A$1:$Z$1,0)),"")</f>
        <v>58,50 %</v>
      </c>
      <c r="R245" s="1">
        <f>+IFERROR(INDEX('Restaurant Base (Hidden)'!$A$2:$Z$1048576,MATCH($C245,'Restaurant Base (Hidden)'!$C$2:$C$1048576,0),MATCH(R$6,'Restaurant Base (Hidden)'!$A$1:$Z$1,0)),"")</f>
        <v>1</v>
      </c>
      <c r="S245" s="2" t="str">
        <f>+IFERROR(INDEX('Restaurant Base (Hidden)'!$A$2:$Z$1048576,MATCH($C245,'Restaurant Base (Hidden)'!$C$2:$C$1048576,0),MATCH(S$6,'Restaurant Base (Hidden)'!$A$1:$Z$1,0)),"")</f>
        <v/>
      </c>
      <c r="T245" s="62">
        <f>+IFERROR(INDEX('Restaurant Base (Hidden)'!$A$2:$Z$1048576,MATCH($C245,'Restaurant Base (Hidden)'!$C$2:$C$1048576,0),MATCH(T$6,'Restaurant Base (Hidden)'!$A$1:$Z$1,0)),"")</f>
        <v>75.400000000000006</v>
      </c>
      <c r="U245" s="1">
        <f>+IFERROR(INDEX('Restaurant Base (Hidden)'!$A$2:$Z$1048576,MATCH($C245,'Restaurant Base (Hidden)'!$C$2:$C$1048576,0),MATCH(U$6,'Restaurant Base (Hidden)'!$A$1:$Z$1,0)),"")</f>
        <v>5</v>
      </c>
      <c r="V245" s="2" t="str">
        <f>+IFERROR(INDEX('Restaurant Base (Hidden)'!$A$2:$Z$1048576,MATCH($C245,'Restaurant Base (Hidden)'!$C$2:$C$1048576,0),MATCH(V$6,'Restaurant Base (Hidden)'!$A$1:$Z$1,0)),"")</f>
        <v/>
      </c>
      <c r="W245" s="65" t="str">
        <f>+IFERROR(INDEX('Restaurant Base (Hidden)'!$A$2:$Z$1048576,MATCH($C245,'Restaurant Base (Hidden)'!$C$2:$C$1048576,0),MATCH(W$6,'Restaurant Base (Hidden)'!$A$1:$Z$1,0)),"")</f>
        <v>61,90 %</v>
      </c>
      <c r="X245" s="1">
        <f>+IFERROR(INDEX('Restaurant Base (Hidden)'!$A$2:$Z$1048576,MATCH($C245,'Restaurant Base (Hidden)'!$C$2:$C$1048576,0),MATCH(X$6,'Restaurant Base (Hidden)'!$A$1:$Z$1,0)),"")</f>
        <v>2</v>
      </c>
      <c r="Y245" s="65" t="str">
        <f>+IFERROR(INDEX('Restaurant Base (Hidden)'!$A$2:$Z$1048576,MATCH($C245,'Restaurant Base (Hidden)'!$C$2:$C$1048576,0),MATCH(Y$6,'Restaurant Base (Hidden)'!$A$1:$Z$1,0)),"")</f>
        <v>99,00 %</v>
      </c>
      <c r="Z245" s="106">
        <f>+IFERROR(INDEX('Restaurant Base (Hidden)'!$A$2:$Z$1048576,MATCH($C245,'Restaurant Base (Hidden)'!$C$2:$C$1048576,0),MATCH(Z$6,'Restaurant Base (Hidden)'!$A$1:$Z$1,0)),"")</f>
        <v>5</v>
      </c>
      <c r="AA245" s="65" t="str">
        <f>+IFERROR(INDEX('Restaurant Base (Hidden)'!$A$2:$Z$1048576,MATCH($C245,'Restaurant Base (Hidden)'!$C$2:$C$1048576,0),MATCH(AA$6,'Restaurant Base (Hidden)'!$A$1:$Z$1,0)),"")</f>
        <v>93,70 %</v>
      </c>
      <c r="AB245" s="1">
        <f>+IFERROR(INDEX('Restaurant Base (Hidden)'!$A$2:$Z$1048576,MATCH($C245,'Restaurant Base (Hidden)'!$C$2:$C$1048576,0),MATCH(AB$6,'Restaurant Base (Hidden)'!$A$1:$Z$1,0)),"")</f>
        <v>3</v>
      </c>
      <c r="AC245" s="20" t="str">
        <f>+IFERROR(INDEX('Restaurant Base (Hidden)'!$A$2:$Z$1048576,MATCH($C245,'Restaurant Base (Hidden)'!$C$2:$C$1048576,0),MATCH(AC$6,'Restaurant Base (Hidden)'!$A$1:$Z$1,0)),"")</f>
        <v/>
      </c>
      <c r="AD245" s="65" t="str">
        <f>+IFERROR(INDEX('Restaurant Base (Hidden)'!$A$2:$Z$1048576,MATCH($C245,'Restaurant Base (Hidden)'!$C$2:$C$1048576,0),MATCH(AD$6,'Restaurant Base (Hidden)'!$A$1:$Z$1,0)),"")</f>
        <v>93,40 %</v>
      </c>
      <c r="AE245" s="1">
        <f>+IFERROR(INDEX('Restaurant Base (Hidden)'!$A$2:$Z$1048576,MATCH($C245,'Restaurant Base (Hidden)'!$C$2:$C$1048576,0),MATCH(AE$6,'Restaurant Base (Hidden)'!$A$1:$Z$1,0)),"")</f>
        <v>4</v>
      </c>
      <c r="AF245" s="65" t="str">
        <f>+IFERROR(INDEX('Restaurant Base (Hidden)'!$A$2:$Z$1048576,MATCH($C245,'Restaurant Base (Hidden)'!$C$2:$C$1048576,0),MATCH(AF$6,'Restaurant Base (Hidden)'!$A$1:$Z$1,0)),"")</f>
        <v>70,40 %</v>
      </c>
      <c r="AG245" s="1">
        <f>+IFERROR(INDEX('Restaurant Base (Hidden)'!$A$2:$Z$1048576,MATCH($C245,'Restaurant Base (Hidden)'!$C$2:$C$1048576,0),MATCH(AG$6,'Restaurant Base (Hidden)'!$A$1:$Z$1,0)),"")</f>
        <v>1</v>
      </c>
    </row>
    <row r="246" spans="1:33" x14ac:dyDescent="0.4">
      <c r="A246" s="163" t="str">
        <f>IF('Restaurant Base (Hidden)'!A296=0,"", 'Restaurant Base (Hidden)'!A296)</f>
        <v>Drew Fairbourne</v>
      </c>
      <c r="B246" s="163" t="str">
        <f>IF('Restaurant Base (Hidden)'!B296=0,"", 'Restaurant Base (Hidden)'!B296)</f>
        <v>Redwood Food Partners</v>
      </c>
      <c r="C246" s="163" t="str">
        <f>IF('Restaurant Base (Hidden)'!C296=0,"", 'Restaurant Base (Hidden)'!C296)</f>
        <v>Brightmoor Boulevard</v>
      </c>
      <c r="D246" s="104">
        <f t="shared" si="3"/>
        <v>239</v>
      </c>
      <c r="E246" s="105">
        <f>+IFERROR(INDEX('Restaurant Base (Hidden)'!$A$2:$Z$1048576,MATCH($C246,'Restaurant Base (Hidden)'!$C$2:$C$1048576,0),MATCH(E$6,'Restaurant Base (Hidden)'!$A$1:$Z$1,0)),"")</f>
        <v>2.9</v>
      </c>
      <c r="F246" s="2" t="str">
        <f>+IFERROR(INDEX('Restaurant Base (Hidden)'!$A$2:$Z$1048576,MATCH($C246,'Restaurant Base (Hidden)'!$C$2:$C$1048576,0),MATCH(F$6,'Restaurant Base (Hidden)'!$A$1:$Z$1,0)),"")</f>
        <v/>
      </c>
      <c r="G246" s="20" t="str">
        <f>+IFERROR(INDEX('Restaurant Base (Hidden)'!$A$2:$Z$1048576,MATCH($C246,'Restaurant Base (Hidden)'!$C$2:$C$1048576,0),MATCH(G$6,'Restaurant Base (Hidden)'!$A$1:$Z$1,0)),"")</f>
        <v>4,571</v>
      </c>
      <c r="H246" s="50">
        <f>+IFERROR(INDEX('Restaurant Base (Hidden)'!$A$2:$Z$1048576,MATCH($C246,'Restaurant Base (Hidden)'!$C$2:$C$1048576,0),MATCH(H$6,'Restaurant Base (Hidden)'!$A$1:$Z$1,0)),"")</f>
        <v>5</v>
      </c>
      <c r="I246" s="20" t="str">
        <f>+IFERROR(INDEX('Restaurant Base (Hidden)'!$A$2:$Z$1048576,MATCH($C246,'Restaurant Base (Hidden)'!$C$2:$C$1048576,0),MATCH(I$6,'Restaurant Base (Hidden)'!$A$1:$Z$1,0)),"")</f>
        <v>93,10 %</v>
      </c>
      <c r="J246" s="49">
        <f>+IFERROR(INDEX('Restaurant Base (Hidden)'!$A$2:$Z$1048576,MATCH($C246,'Restaurant Base (Hidden)'!$C$2:$C$1048576,0),MATCH(J$6,'Restaurant Base (Hidden)'!$A$1:$Z$1,0)),"")</f>
        <v>4</v>
      </c>
      <c r="K246" s="20" t="str">
        <f>+IFERROR(INDEX('Restaurant Base (Hidden)'!$A$2:$Z$1048576,MATCH($C246,'Restaurant Base (Hidden)'!$C$2:$C$1048576,0),MATCH(K$6,'Restaurant Base (Hidden)'!$A$1:$Z$1,0)),"")</f>
        <v>0,139</v>
      </c>
      <c r="L246" s="51">
        <f>+IFERROR(INDEX('Restaurant Base (Hidden)'!$A$2:$Z$1048576,MATCH($C246,'Restaurant Base (Hidden)'!$C$2:$C$1048576,0),MATCH(L$6,'Restaurant Base (Hidden)'!$A$1:$Z$1,0)),"")</f>
        <v>2</v>
      </c>
      <c r="M246" s="2" t="str">
        <f>+IFERROR(INDEX('Restaurant Base (Hidden)'!$A$2:$Z$1048576,MATCH($C246,'Restaurant Base (Hidden)'!$C$2:$C$1048576,0),MATCH(M$6,'Restaurant Base (Hidden)'!$A$1:$Z$1,0)),"")</f>
        <v/>
      </c>
      <c r="N246" s="234" t="str">
        <f>+IFERROR(INDEX('Restaurant Base (Hidden)'!$A$2:$Z$1048576,MATCH($C246,'Restaurant Base (Hidden)'!$C$2:$C$1048576,0),MATCH(N$6,'Restaurant Base (Hidden)'!$A$1:$Z$1,0)),"")</f>
        <v>68,70 %</v>
      </c>
      <c r="O246" s="1">
        <f>+IFERROR(INDEX('Restaurant Base (Hidden)'!$A$2:$Z$1048576,MATCH($C246,'Restaurant Base (Hidden)'!$C$2:$C$1048576,0),MATCH(O$6,'Restaurant Base (Hidden)'!$A$1:$Z$1,0)),"")</f>
        <v>4</v>
      </c>
      <c r="P246" s="2" t="str">
        <f>+IFERROR(INDEX('Restaurant Base (Hidden)'!$A$2:$Z$1048576,MATCH($C246,'Restaurant Base (Hidden)'!$C$2:$C$1048576,0),MATCH(P$6,'Restaurant Base (Hidden)'!$A$1:$Z$1,0)),"")</f>
        <v/>
      </c>
      <c r="Q246" s="234" t="str">
        <f>+IFERROR(INDEX('Restaurant Base (Hidden)'!$A$2:$Z$1048576,MATCH($C246,'Restaurant Base (Hidden)'!$C$2:$C$1048576,0),MATCH(Q$6,'Restaurant Base (Hidden)'!$A$1:$Z$1,0)),"")</f>
        <v>55,60 %</v>
      </c>
      <c r="R246" s="1">
        <f>+IFERROR(INDEX('Restaurant Base (Hidden)'!$A$2:$Z$1048576,MATCH($C246,'Restaurant Base (Hidden)'!$C$2:$C$1048576,0),MATCH(R$6,'Restaurant Base (Hidden)'!$A$1:$Z$1,0)),"")</f>
        <v>1</v>
      </c>
      <c r="S246" s="2" t="str">
        <f>+IFERROR(INDEX('Restaurant Base (Hidden)'!$A$2:$Z$1048576,MATCH($C246,'Restaurant Base (Hidden)'!$C$2:$C$1048576,0),MATCH(S$6,'Restaurant Base (Hidden)'!$A$1:$Z$1,0)),"")</f>
        <v/>
      </c>
      <c r="T246" s="62">
        <f>+IFERROR(INDEX('Restaurant Base (Hidden)'!$A$2:$Z$1048576,MATCH($C246,'Restaurant Base (Hidden)'!$C$2:$C$1048576,0),MATCH(T$6,'Restaurant Base (Hidden)'!$A$1:$Z$1,0)),"")</f>
        <v>77.2</v>
      </c>
      <c r="U246" s="1">
        <f>+IFERROR(INDEX('Restaurant Base (Hidden)'!$A$2:$Z$1048576,MATCH($C246,'Restaurant Base (Hidden)'!$C$2:$C$1048576,0),MATCH(U$6,'Restaurant Base (Hidden)'!$A$1:$Z$1,0)),"")</f>
        <v>5</v>
      </c>
      <c r="V246" s="2" t="str">
        <f>+IFERROR(INDEX('Restaurant Base (Hidden)'!$A$2:$Z$1048576,MATCH($C246,'Restaurant Base (Hidden)'!$C$2:$C$1048576,0),MATCH(V$6,'Restaurant Base (Hidden)'!$A$1:$Z$1,0)),"")</f>
        <v/>
      </c>
      <c r="W246" s="65" t="str">
        <f>+IFERROR(INDEX('Restaurant Base (Hidden)'!$A$2:$Z$1048576,MATCH($C246,'Restaurant Base (Hidden)'!$C$2:$C$1048576,0),MATCH(W$6,'Restaurant Base (Hidden)'!$A$1:$Z$1,0)),"")</f>
        <v>81,20 %</v>
      </c>
      <c r="X246" s="1">
        <f>+IFERROR(INDEX('Restaurant Base (Hidden)'!$A$2:$Z$1048576,MATCH($C246,'Restaurant Base (Hidden)'!$C$2:$C$1048576,0),MATCH(X$6,'Restaurant Base (Hidden)'!$A$1:$Z$1,0)),"")</f>
        <v>3</v>
      </c>
      <c r="Y246" s="65" t="str">
        <f>+IFERROR(INDEX('Restaurant Base (Hidden)'!$A$2:$Z$1048576,MATCH($C246,'Restaurant Base (Hidden)'!$C$2:$C$1048576,0),MATCH(Y$6,'Restaurant Base (Hidden)'!$A$1:$Z$1,0)),"")</f>
        <v>81,90 %</v>
      </c>
      <c r="Z246" s="106">
        <f>+IFERROR(INDEX('Restaurant Base (Hidden)'!$A$2:$Z$1048576,MATCH($C246,'Restaurant Base (Hidden)'!$C$2:$C$1048576,0),MATCH(Z$6,'Restaurant Base (Hidden)'!$A$1:$Z$1,0)),"")</f>
        <v>2</v>
      </c>
      <c r="AA246" s="65" t="str">
        <f>+IFERROR(INDEX('Restaurant Base (Hidden)'!$A$2:$Z$1048576,MATCH($C246,'Restaurant Base (Hidden)'!$C$2:$C$1048576,0),MATCH(AA$6,'Restaurant Base (Hidden)'!$A$1:$Z$1,0)),"")</f>
        <v>84,30 %</v>
      </c>
      <c r="AB246" s="1">
        <f>+IFERROR(INDEX('Restaurant Base (Hidden)'!$A$2:$Z$1048576,MATCH($C246,'Restaurant Base (Hidden)'!$C$2:$C$1048576,0),MATCH(AB$6,'Restaurant Base (Hidden)'!$A$1:$Z$1,0)),"")</f>
        <v>2</v>
      </c>
      <c r="AC246" s="20" t="str">
        <f>+IFERROR(INDEX('Restaurant Base (Hidden)'!$A$2:$Z$1048576,MATCH($C246,'Restaurant Base (Hidden)'!$C$2:$C$1048576,0),MATCH(AC$6,'Restaurant Base (Hidden)'!$A$1:$Z$1,0)),"")</f>
        <v/>
      </c>
      <c r="AD246" s="65" t="str">
        <f>+IFERROR(INDEX('Restaurant Base (Hidden)'!$A$2:$Z$1048576,MATCH($C246,'Restaurant Base (Hidden)'!$C$2:$C$1048576,0),MATCH(AD$6,'Restaurant Base (Hidden)'!$A$1:$Z$1,0)),"")</f>
        <v>72,60 %</v>
      </c>
      <c r="AE246" s="1">
        <f>+IFERROR(INDEX('Restaurant Base (Hidden)'!$A$2:$Z$1048576,MATCH($C246,'Restaurant Base (Hidden)'!$C$2:$C$1048576,0),MATCH(AE$6,'Restaurant Base (Hidden)'!$A$1:$Z$1,0)),"")</f>
        <v>2</v>
      </c>
      <c r="AF246" s="65" t="str">
        <f>+IFERROR(INDEX('Restaurant Base (Hidden)'!$A$2:$Z$1048576,MATCH($C246,'Restaurant Base (Hidden)'!$C$2:$C$1048576,0),MATCH(AF$6,'Restaurant Base (Hidden)'!$A$1:$Z$1,0)),"")</f>
        <v>57,00 %</v>
      </c>
      <c r="AG246" s="1">
        <f>+IFERROR(INDEX('Restaurant Base (Hidden)'!$A$2:$Z$1048576,MATCH($C246,'Restaurant Base (Hidden)'!$C$2:$C$1048576,0),MATCH(AG$6,'Restaurant Base (Hidden)'!$A$1:$Z$1,0)),"")</f>
        <v>1</v>
      </c>
    </row>
    <row r="247" spans="1:33" x14ac:dyDescent="0.4">
      <c r="A247" s="163" t="str">
        <f>IF('Restaurant Base (Hidden)'!A328=0,"", 'Restaurant Base (Hidden)'!A328)</f>
        <v>Harper Langford</v>
      </c>
      <c r="B247" s="163" t="str">
        <f>IF('Restaurant Base (Hidden)'!B328=0,"", 'Restaurant Base (Hidden)'!B328)</f>
        <v>Cedarstone Hospitality</v>
      </c>
      <c r="C247" s="163" t="str">
        <f>IF('Restaurant Base (Hidden)'!C328=0,"", 'Restaurant Base (Hidden)'!C328)</f>
        <v>Crestfield Lodge</v>
      </c>
      <c r="D247" s="104">
        <f t="shared" si="3"/>
        <v>239</v>
      </c>
      <c r="E247" s="105">
        <f>+IFERROR(INDEX('Restaurant Base (Hidden)'!$A$2:$Z$1048576,MATCH($C247,'Restaurant Base (Hidden)'!$C$2:$C$1048576,0),MATCH(E$6,'Restaurant Base (Hidden)'!$A$1:$Z$1,0)),"")</f>
        <v>2.9</v>
      </c>
      <c r="F247" s="2" t="str">
        <f>+IFERROR(INDEX('Restaurant Base (Hidden)'!$A$2:$Z$1048576,MATCH($C247,'Restaurant Base (Hidden)'!$C$2:$C$1048576,0),MATCH(F$6,'Restaurant Base (Hidden)'!$A$1:$Z$1,0)),"")</f>
        <v/>
      </c>
      <c r="G247" s="20" t="str">
        <f>+IFERROR(INDEX('Restaurant Base (Hidden)'!$A$2:$Z$1048576,MATCH($C247,'Restaurant Base (Hidden)'!$C$2:$C$1048576,0),MATCH(G$6,'Restaurant Base (Hidden)'!$A$1:$Z$1,0)),"")</f>
        <v>4,671</v>
      </c>
      <c r="H247" s="50">
        <f>+IFERROR(INDEX('Restaurant Base (Hidden)'!$A$2:$Z$1048576,MATCH($C247,'Restaurant Base (Hidden)'!$C$2:$C$1048576,0),MATCH(H$6,'Restaurant Base (Hidden)'!$A$1:$Z$1,0)),"")</f>
        <v>5</v>
      </c>
      <c r="I247" s="20" t="str">
        <f>+IFERROR(INDEX('Restaurant Base (Hidden)'!$A$2:$Z$1048576,MATCH($C247,'Restaurant Base (Hidden)'!$C$2:$C$1048576,0),MATCH(I$6,'Restaurant Base (Hidden)'!$A$1:$Z$1,0)),"")</f>
        <v>96,90 %</v>
      </c>
      <c r="J247" s="49">
        <f>+IFERROR(INDEX('Restaurant Base (Hidden)'!$A$2:$Z$1048576,MATCH($C247,'Restaurant Base (Hidden)'!$C$2:$C$1048576,0),MATCH(J$6,'Restaurant Base (Hidden)'!$A$1:$Z$1,0)),"")</f>
        <v>5</v>
      </c>
      <c r="K247" s="20" t="str">
        <f>+IFERROR(INDEX('Restaurant Base (Hidden)'!$A$2:$Z$1048576,MATCH($C247,'Restaurant Base (Hidden)'!$C$2:$C$1048576,0),MATCH(K$6,'Restaurant Base (Hidden)'!$A$1:$Z$1,0)),"")</f>
        <v>0,097</v>
      </c>
      <c r="L247" s="51">
        <f>+IFERROR(INDEX('Restaurant Base (Hidden)'!$A$2:$Z$1048576,MATCH($C247,'Restaurant Base (Hidden)'!$C$2:$C$1048576,0),MATCH(L$6,'Restaurant Base (Hidden)'!$A$1:$Z$1,0)),"")</f>
        <v>4</v>
      </c>
      <c r="M247" s="2" t="str">
        <f>+IFERROR(INDEX('Restaurant Base (Hidden)'!$A$2:$Z$1048576,MATCH($C247,'Restaurant Base (Hidden)'!$C$2:$C$1048576,0),MATCH(M$6,'Restaurant Base (Hidden)'!$A$1:$Z$1,0)),"")</f>
        <v/>
      </c>
      <c r="N247" s="234" t="str">
        <f>+IFERROR(INDEX('Restaurant Base (Hidden)'!$A$2:$Z$1048576,MATCH($C247,'Restaurant Base (Hidden)'!$C$2:$C$1048576,0),MATCH(N$6,'Restaurant Base (Hidden)'!$A$1:$Z$1,0)),"")</f>
        <v>61,90 %</v>
      </c>
      <c r="O247" s="1">
        <f>+IFERROR(INDEX('Restaurant Base (Hidden)'!$A$2:$Z$1048576,MATCH($C247,'Restaurant Base (Hidden)'!$C$2:$C$1048576,0),MATCH(O$6,'Restaurant Base (Hidden)'!$A$1:$Z$1,0)),"")</f>
        <v>2</v>
      </c>
      <c r="P247" s="2" t="str">
        <f>+IFERROR(INDEX('Restaurant Base (Hidden)'!$A$2:$Z$1048576,MATCH($C247,'Restaurant Base (Hidden)'!$C$2:$C$1048576,0),MATCH(P$6,'Restaurant Base (Hidden)'!$A$1:$Z$1,0)),"")</f>
        <v/>
      </c>
      <c r="Q247" s="234" t="str">
        <f>+IFERROR(INDEX('Restaurant Base (Hidden)'!$A$2:$Z$1048576,MATCH($C247,'Restaurant Base (Hidden)'!$C$2:$C$1048576,0),MATCH(Q$6,'Restaurant Base (Hidden)'!$A$1:$Z$1,0)),"")</f>
        <v>57,50 %</v>
      </c>
      <c r="R247" s="1">
        <f>+IFERROR(INDEX('Restaurant Base (Hidden)'!$A$2:$Z$1048576,MATCH($C247,'Restaurant Base (Hidden)'!$C$2:$C$1048576,0),MATCH(R$6,'Restaurant Base (Hidden)'!$A$1:$Z$1,0)),"")</f>
        <v>1</v>
      </c>
      <c r="S247" s="2" t="str">
        <f>+IFERROR(INDEX('Restaurant Base (Hidden)'!$A$2:$Z$1048576,MATCH($C247,'Restaurant Base (Hidden)'!$C$2:$C$1048576,0),MATCH(S$6,'Restaurant Base (Hidden)'!$A$1:$Z$1,0)),"")</f>
        <v/>
      </c>
      <c r="T247" s="62">
        <f>+IFERROR(INDEX('Restaurant Base (Hidden)'!$A$2:$Z$1048576,MATCH($C247,'Restaurant Base (Hidden)'!$C$2:$C$1048576,0),MATCH(T$6,'Restaurant Base (Hidden)'!$A$1:$Z$1,0)),"")</f>
        <v>62.5</v>
      </c>
      <c r="U247" s="1">
        <f>+IFERROR(INDEX('Restaurant Base (Hidden)'!$A$2:$Z$1048576,MATCH($C247,'Restaurant Base (Hidden)'!$C$2:$C$1048576,0),MATCH(U$6,'Restaurant Base (Hidden)'!$A$1:$Z$1,0)),"")</f>
        <v>3</v>
      </c>
      <c r="V247" s="2" t="str">
        <f>+IFERROR(INDEX('Restaurant Base (Hidden)'!$A$2:$Z$1048576,MATCH($C247,'Restaurant Base (Hidden)'!$C$2:$C$1048576,0),MATCH(V$6,'Restaurant Base (Hidden)'!$A$1:$Z$1,0)),"")</f>
        <v/>
      </c>
      <c r="W247" s="65" t="str">
        <f>+IFERROR(INDEX('Restaurant Base (Hidden)'!$A$2:$Z$1048576,MATCH($C247,'Restaurant Base (Hidden)'!$C$2:$C$1048576,0),MATCH(W$6,'Restaurant Base (Hidden)'!$A$1:$Z$1,0)),"")</f>
        <v>82,10 %</v>
      </c>
      <c r="X247" s="1">
        <f>+IFERROR(INDEX('Restaurant Base (Hidden)'!$A$2:$Z$1048576,MATCH($C247,'Restaurant Base (Hidden)'!$C$2:$C$1048576,0),MATCH(X$6,'Restaurant Base (Hidden)'!$A$1:$Z$1,0)),"")</f>
        <v>3</v>
      </c>
      <c r="Y247" s="65" t="str">
        <f>+IFERROR(INDEX('Restaurant Base (Hidden)'!$A$2:$Z$1048576,MATCH($C247,'Restaurant Base (Hidden)'!$C$2:$C$1048576,0),MATCH(Y$6,'Restaurant Base (Hidden)'!$A$1:$Z$1,0)),"")</f>
        <v>92,80 %</v>
      </c>
      <c r="Z247" s="106">
        <f>+IFERROR(INDEX('Restaurant Base (Hidden)'!$A$2:$Z$1048576,MATCH($C247,'Restaurant Base (Hidden)'!$C$2:$C$1048576,0),MATCH(Z$6,'Restaurant Base (Hidden)'!$A$1:$Z$1,0)),"")</f>
        <v>3</v>
      </c>
      <c r="AA247" s="65" t="str">
        <f>+IFERROR(INDEX('Restaurant Base (Hidden)'!$A$2:$Z$1048576,MATCH($C247,'Restaurant Base (Hidden)'!$C$2:$C$1048576,0),MATCH(AA$6,'Restaurant Base (Hidden)'!$A$1:$Z$1,0)),"")</f>
        <v>97,70 %</v>
      </c>
      <c r="AB247" s="1">
        <f>+IFERROR(INDEX('Restaurant Base (Hidden)'!$A$2:$Z$1048576,MATCH($C247,'Restaurant Base (Hidden)'!$C$2:$C$1048576,0),MATCH(AB$6,'Restaurant Base (Hidden)'!$A$1:$Z$1,0)),"")</f>
        <v>4</v>
      </c>
      <c r="AC247" s="20" t="str">
        <f>+IFERROR(INDEX('Restaurant Base (Hidden)'!$A$2:$Z$1048576,MATCH($C247,'Restaurant Base (Hidden)'!$C$2:$C$1048576,0),MATCH(AC$6,'Restaurant Base (Hidden)'!$A$1:$Z$1,0)),"")</f>
        <v/>
      </c>
      <c r="AD247" s="65" t="str">
        <f>+IFERROR(INDEX('Restaurant Base (Hidden)'!$A$2:$Z$1048576,MATCH($C247,'Restaurant Base (Hidden)'!$C$2:$C$1048576,0),MATCH(AD$6,'Restaurant Base (Hidden)'!$A$1:$Z$1,0)),"")</f>
        <v>88,20 %</v>
      </c>
      <c r="AE247" s="1">
        <f>+IFERROR(INDEX('Restaurant Base (Hidden)'!$A$2:$Z$1048576,MATCH($C247,'Restaurant Base (Hidden)'!$C$2:$C$1048576,0),MATCH(AE$6,'Restaurant Base (Hidden)'!$A$1:$Z$1,0)),"")</f>
        <v>3</v>
      </c>
      <c r="AF247" s="65" t="str">
        <f>+IFERROR(INDEX('Restaurant Base (Hidden)'!$A$2:$Z$1048576,MATCH($C247,'Restaurant Base (Hidden)'!$C$2:$C$1048576,0),MATCH(AF$6,'Restaurant Base (Hidden)'!$A$1:$Z$1,0)),"")</f>
        <v>58,10 %</v>
      </c>
      <c r="AG247" s="1">
        <f>+IFERROR(INDEX('Restaurant Base (Hidden)'!$A$2:$Z$1048576,MATCH($C247,'Restaurant Base (Hidden)'!$C$2:$C$1048576,0),MATCH(AG$6,'Restaurant Base (Hidden)'!$A$1:$Z$1,0)),"")</f>
        <v>1</v>
      </c>
    </row>
    <row r="248" spans="1:33" x14ac:dyDescent="0.4">
      <c r="A248" s="163" t="str">
        <f>IF('Restaurant Base (Hidden)'!A15=0,"", 'Restaurant Base (Hidden)'!A15)</f>
        <v>Morgan Rivington</v>
      </c>
      <c r="B248" s="163" t="str">
        <f>IF('Restaurant Base (Hidden)'!B15=0,"", 'Restaurant Base (Hidden)'!B15)</f>
        <v>Clearview Dining Group</v>
      </c>
      <c r="C248" s="163" t="str">
        <f>IF('Restaurant Base (Hidden)'!C15=0,"", 'Restaurant Base (Hidden)'!C15)</f>
        <v>Crestfield Crescent</v>
      </c>
      <c r="D248" s="104">
        <f t="shared" si="3"/>
        <v>242</v>
      </c>
      <c r="E248" s="105">
        <f>+IFERROR(INDEX('Restaurant Base (Hidden)'!$A$2:$Z$1048576,MATCH($C248,'Restaurant Base (Hidden)'!$C$2:$C$1048576,0),MATCH(E$6,'Restaurant Base (Hidden)'!$A$1:$Z$1,0)),"")</f>
        <v>2.89</v>
      </c>
      <c r="F248" s="64" t="str">
        <f>+IFERROR(INDEX('Restaurant Base (Hidden)'!$A$2:$Z$1048576,MATCH($C248,'Restaurant Base (Hidden)'!$C$2:$C$1048576,0),MATCH(F$6,'Restaurant Base (Hidden)'!$A$1:$Z$1,0)),"")</f>
        <v/>
      </c>
      <c r="G248" s="20" t="str">
        <f>+IFERROR(INDEX('Restaurant Base (Hidden)'!$A$2:$Z$1048576,MATCH($C248,'Restaurant Base (Hidden)'!$C$2:$C$1048576,0),MATCH(G$6,'Restaurant Base (Hidden)'!$A$1:$Z$1,0)),"")</f>
        <v>4,535</v>
      </c>
      <c r="H248" s="50">
        <f>+IFERROR(INDEX('Restaurant Base (Hidden)'!$A$2:$Z$1048576,MATCH($C248,'Restaurant Base (Hidden)'!$C$2:$C$1048576,0),MATCH(H$6,'Restaurant Base (Hidden)'!$A$1:$Z$1,0)),"")</f>
        <v>5</v>
      </c>
      <c r="I248" s="20" t="str">
        <f>+IFERROR(INDEX('Restaurant Base (Hidden)'!$A$2:$Z$1048576,MATCH($C248,'Restaurant Base (Hidden)'!$C$2:$C$1048576,0),MATCH(I$6,'Restaurant Base (Hidden)'!$A$1:$Z$1,0)),"")</f>
        <v>94,90 %</v>
      </c>
      <c r="J248" s="49">
        <f>+IFERROR(INDEX('Restaurant Base (Hidden)'!$A$2:$Z$1048576,MATCH($C248,'Restaurant Base (Hidden)'!$C$2:$C$1048576,0),MATCH(J$6,'Restaurant Base (Hidden)'!$A$1:$Z$1,0)),"")</f>
        <v>5</v>
      </c>
      <c r="K248" s="20" t="str">
        <f>+IFERROR(INDEX('Restaurant Base (Hidden)'!$A$2:$Z$1048576,MATCH($C248,'Restaurant Base (Hidden)'!$C$2:$C$1048576,0),MATCH(K$6,'Restaurant Base (Hidden)'!$A$1:$Z$1,0)),"")</f>
        <v>0,158</v>
      </c>
      <c r="L248" s="51">
        <f>+IFERROR(INDEX('Restaurant Base (Hidden)'!$A$2:$Z$1048576,MATCH($C248,'Restaurant Base (Hidden)'!$C$2:$C$1048576,0),MATCH(L$6,'Restaurant Base (Hidden)'!$A$1:$Z$1,0)),"")</f>
        <v>2</v>
      </c>
      <c r="M248" s="2" t="str">
        <f>+IFERROR(INDEX('Restaurant Base (Hidden)'!$A$2:$Z$1048576,MATCH($C248,'Restaurant Base (Hidden)'!$C$2:$C$1048576,0),MATCH(M$6,'Restaurant Base (Hidden)'!$A$1:$Z$1,0)),"")</f>
        <v/>
      </c>
      <c r="N248" s="234" t="str">
        <f>+IFERROR(INDEX('Restaurant Base (Hidden)'!$A$2:$Z$1048576,MATCH($C248,'Restaurant Base (Hidden)'!$C$2:$C$1048576,0),MATCH(N$6,'Restaurant Base (Hidden)'!$A$1:$Z$1,0)),"")</f>
        <v>98,60 %</v>
      </c>
      <c r="O248" s="1">
        <f>+IFERROR(INDEX('Restaurant Base (Hidden)'!$A$2:$Z$1048576,MATCH($C248,'Restaurant Base (Hidden)'!$C$2:$C$1048576,0),MATCH(O$6,'Restaurant Base (Hidden)'!$A$1:$Z$1,0)),"")</f>
        <v>5</v>
      </c>
      <c r="P248" s="2" t="str">
        <f>+IFERROR(INDEX('Restaurant Base (Hidden)'!$A$2:$Z$1048576,MATCH($C248,'Restaurant Base (Hidden)'!$C$2:$C$1048576,0),MATCH(P$6,'Restaurant Base (Hidden)'!$A$1:$Z$1,0)),"")</f>
        <v/>
      </c>
      <c r="Q248" s="234" t="str">
        <f>+IFERROR(INDEX('Restaurant Base (Hidden)'!$A$2:$Z$1048576,MATCH($C248,'Restaurant Base (Hidden)'!$C$2:$C$1048576,0),MATCH(Q$6,'Restaurant Base (Hidden)'!$A$1:$Z$1,0)),"")</f>
        <v>57,40 %</v>
      </c>
      <c r="R248" s="1">
        <f>+IFERROR(INDEX('Restaurant Base (Hidden)'!$A$2:$Z$1048576,MATCH($C248,'Restaurant Base (Hidden)'!$C$2:$C$1048576,0),MATCH(R$6,'Restaurant Base (Hidden)'!$A$1:$Z$1,0)),"")</f>
        <v>1</v>
      </c>
      <c r="S248" s="2" t="str">
        <f>+IFERROR(INDEX('Restaurant Base (Hidden)'!$A$2:$Z$1048576,MATCH($C248,'Restaurant Base (Hidden)'!$C$2:$C$1048576,0),MATCH(S$6,'Restaurant Base (Hidden)'!$A$1:$Z$1,0)),"")</f>
        <v/>
      </c>
      <c r="T248" s="62">
        <f>+IFERROR(INDEX('Restaurant Base (Hidden)'!$A$2:$Z$1048576,MATCH($C248,'Restaurant Base (Hidden)'!$C$2:$C$1048576,0),MATCH(T$6,'Restaurant Base (Hidden)'!$A$1:$Z$1,0)),"")</f>
        <v>59.3</v>
      </c>
      <c r="U248" s="1">
        <f>+IFERROR(INDEX('Restaurant Base (Hidden)'!$A$2:$Z$1048576,MATCH($C248,'Restaurant Base (Hidden)'!$C$2:$C$1048576,0),MATCH(U$6,'Restaurant Base (Hidden)'!$A$1:$Z$1,0)),"")</f>
        <v>2</v>
      </c>
      <c r="V248" s="2" t="str">
        <f>+IFERROR(INDEX('Restaurant Base (Hidden)'!$A$2:$Z$1048576,MATCH($C248,'Restaurant Base (Hidden)'!$C$2:$C$1048576,0),MATCH(V$6,'Restaurant Base (Hidden)'!$A$1:$Z$1,0)),"")</f>
        <v/>
      </c>
      <c r="W248" s="65" t="str">
        <f>+IFERROR(INDEX('Restaurant Base (Hidden)'!$A$2:$Z$1048576,MATCH($C248,'Restaurant Base (Hidden)'!$C$2:$C$1048576,0),MATCH(W$6,'Restaurant Base (Hidden)'!$A$1:$Z$1,0)),"")</f>
        <v>70,70 %</v>
      </c>
      <c r="X248" s="1">
        <f>+IFERROR(INDEX('Restaurant Base (Hidden)'!$A$2:$Z$1048576,MATCH($C248,'Restaurant Base (Hidden)'!$C$2:$C$1048576,0),MATCH(X$6,'Restaurant Base (Hidden)'!$A$1:$Z$1,0)),"")</f>
        <v>2</v>
      </c>
      <c r="Y248" s="65" t="str">
        <f>+IFERROR(INDEX('Restaurant Base (Hidden)'!$A$2:$Z$1048576,MATCH($C248,'Restaurant Base (Hidden)'!$C$2:$C$1048576,0),MATCH(Y$6,'Restaurant Base (Hidden)'!$A$1:$Z$1,0)),"")</f>
        <v>95,50 %</v>
      </c>
      <c r="Z248" s="106">
        <f>+IFERROR(INDEX('Restaurant Base (Hidden)'!$A$2:$Z$1048576,MATCH($C248,'Restaurant Base (Hidden)'!$C$2:$C$1048576,0),MATCH(Z$6,'Restaurant Base (Hidden)'!$A$1:$Z$1,0)),"")</f>
        <v>4</v>
      </c>
      <c r="AA248" s="65" t="str">
        <f>+IFERROR(INDEX('Restaurant Base (Hidden)'!$A$2:$Z$1048576,MATCH($C248,'Restaurant Base (Hidden)'!$C$2:$C$1048576,0),MATCH(AA$6,'Restaurant Base (Hidden)'!$A$1:$Z$1,0)),"")</f>
        <v>63,40 %</v>
      </c>
      <c r="AB248" s="1">
        <f>+IFERROR(INDEX('Restaurant Base (Hidden)'!$A$2:$Z$1048576,MATCH($C248,'Restaurant Base (Hidden)'!$C$2:$C$1048576,0),MATCH(AB$6,'Restaurant Base (Hidden)'!$A$1:$Z$1,0)),"")</f>
        <v>2</v>
      </c>
      <c r="AC248" s="20" t="str">
        <f>+IFERROR(INDEX('Restaurant Base (Hidden)'!$A$2:$Z$1048576,MATCH($C248,'Restaurant Base (Hidden)'!$C$2:$C$1048576,0),MATCH(AC$6,'Restaurant Base (Hidden)'!$A$1:$Z$1,0)),"")</f>
        <v/>
      </c>
      <c r="AD248" s="65" t="str">
        <f>+IFERROR(INDEX('Restaurant Base (Hidden)'!$A$2:$Z$1048576,MATCH($C248,'Restaurant Base (Hidden)'!$C$2:$C$1048576,0),MATCH(AD$6,'Restaurant Base (Hidden)'!$A$1:$Z$1,0)),"")</f>
        <v>56,10 %</v>
      </c>
      <c r="AE248" s="1">
        <f>+IFERROR(INDEX('Restaurant Base (Hidden)'!$A$2:$Z$1048576,MATCH($C248,'Restaurant Base (Hidden)'!$C$2:$C$1048576,0),MATCH(AE$6,'Restaurant Base (Hidden)'!$A$1:$Z$1,0)),"")</f>
        <v>1</v>
      </c>
      <c r="AF248" s="65" t="str">
        <f>+IFERROR(INDEX('Restaurant Base (Hidden)'!$A$2:$Z$1048576,MATCH($C248,'Restaurant Base (Hidden)'!$C$2:$C$1048576,0),MATCH(AF$6,'Restaurant Base (Hidden)'!$A$1:$Z$1,0)),"")</f>
        <v>78,40 %</v>
      </c>
      <c r="AG248" s="1">
        <f>+IFERROR(INDEX('Restaurant Base (Hidden)'!$A$2:$Z$1048576,MATCH($C248,'Restaurant Base (Hidden)'!$C$2:$C$1048576,0),MATCH(AG$6,'Restaurant Base (Hidden)'!$A$1:$Z$1,0)),"")</f>
        <v>2</v>
      </c>
    </row>
    <row r="249" spans="1:33" x14ac:dyDescent="0.4">
      <c r="A249" s="163" t="str">
        <f>IF('Restaurant Base (Hidden)'!A31=0,"", 'Restaurant Base (Hidden)'!A31)</f>
        <v>Avery Ashford</v>
      </c>
      <c r="B249" s="163" t="str">
        <f>IF('Restaurant Base (Hidden)'!B31=0,"", 'Restaurant Base (Hidden)'!B31)</f>
        <v>Rosebridge Hospitality</v>
      </c>
      <c r="C249" s="163" t="str">
        <f>IF('Restaurant Base (Hidden)'!C31=0,"", 'Restaurant Base (Hidden)'!C31)</f>
        <v>Bright Plaza</v>
      </c>
      <c r="D249" s="104">
        <f t="shared" si="3"/>
        <v>242</v>
      </c>
      <c r="E249" s="105">
        <f>+IFERROR(INDEX('Restaurant Base (Hidden)'!$A$2:$Z$1048576,MATCH($C249,'Restaurant Base (Hidden)'!$C$2:$C$1048576,0),MATCH(E$6,'Restaurant Base (Hidden)'!$A$1:$Z$1,0)),"")</f>
        <v>2.89</v>
      </c>
      <c r="F249" s="64" t="str">
        <f>+IFERROR(INDEX('Restaurant Base (Hidden)'!$A$2:$Z$1048576,MATCH($C249,'Restaurant Base (Hidden)'!$C$2:$C$1048576,0),MATCH(F$6,'Restaurant Base (Hidden)'!$A$1:$Z$1,0)),"")</f>
        <v/>
      </c>
      <c r="G249" s="20" t="str">
        <f>+IFERROR(INDEX('Restaurant Base (Hidden)'!$A$2:$Z$1048576,MATCH($C249,'Restaurant Base (Hidden)'!$C$2:$C$1048576,0),MATCH(G$6,'Restaurant Base (Hidden)'!$A$1:$Z$1,0)),"")</f>
        <v>4,488</v>
      </c>
      <c r="H249" s="50">
        <f>+IFERROR(INDEX('Restaurant Base (Hidden)'!$A$2:$Z$1048576,MATCH($C249,'Restaurant Base (Hidden)'!$C$2:$C$1048576,0),MATCH(H$6,'Restaurant Base (Hidden)'!$A$1:$Z$1,0)),"")</f>
        <v>4</v>
      </c>
      <c r="I249" s="20" t="str">
        <f>+IFERROR(INDEX('Restaurant Base (Hidden)'!$A$2:$Z$1048576,MATCH($C249,'Restaurant Base (Hidden)'!$C$2:$C$1048576,0),MATCH(I$6,'Restaurant Base (Hidden)'!$A$1:$Z$1,0)),"")</f>
        <v>94,00 %</v>
      </c>
      <c r="J249" s="49">
        <f>+IFERROR(INDEX('Restaurant Base (Hidden)'!$A$2:$Z$1048576,MATCH($C249,'Restaurant Base (Hidden)'!$C$2:$C$1048576,0),MATCH(J$6,'Restaurant Base (Hidden)'!$A$1:$Z$1,0)),"")</f>
        <v>5</v>
      </c>
      <c r="K249" s="20" t="str">
        <f>+IFERROR(INDEX('Restaurant Base (Hidden)'!$A$2:$Z$1048576,MATCH($C249,'Restaurant Base (Hidden)'!$C$2:$C$1048576,0),MATCH(K$6,'Restaurant Base (Hidden)'!$A$1:$Z$1,0)),"")</f>
        <v>0,090</v>
      </c>
      <c r="L249" s="51">
        <f>+IFERROR(INDEX('Restaurant Base (Hidden)'!$A$2:$Z$1048576,MATCH($C249,'Restaurant Base (Hidden)'!$C$2:$C$1048576,0),MATCH(L$6,'Restaurant Base (Hidden)'!$A$1:$Z$1,0)),"")</f>
        <v>4</v>
      </c>
      <c r="M249" s="2" t="str">
        <f>+IFERROR(INDEX('Restaurant Base (Hidden)'!$A$2:$Z$1048576,MATCH($C249,'Restaurant Base (Hidden)'!$C$2:$C$1048576,0),MATCH(M$6,'Restaurant Base (Hidden)'!$A$1:$Z$1,0)),"")</f>
        <v/>
      </c>
      <c r="N249" s="234" t="str">
        <f>+IFERROR(INDEX('Restaurant Base (Hidden)'!$A$2:$Z$1048576,MATCH($C249,'Restaurant Base (Hidden)'!$C$2:$C$1048576,0),MATCH(N$6,'Restaurant Base (Hidden)'!$A$1:$Z$1,0)),"")</f>
        <v>61,70 %</v>
      </c>
      <c r="O249" s="1">
        <f>+IFERROR(INDEX('Restaurant Base (Hidden)'!$A$2:$Z$1048576,MATCH($C249,'Restaurant Base (Hidden)'!$C$2:$C$1048576,0),MATCH(O$6,'Restaurant Base (Hidden)'!$A$1:$Z$1,0)),"")</f>
        <v>2</v>
      </c>
      <c r="P249" s="2" t="str">
        <f>+IFERROR(INDEX('Restaurant Base (Hidden)'!$A$2:$Z$1048576,MATCH($C249,'Restaurant Base (Hidden)'!$C$2:$C$1048576,0),MATCH(P$6,'Restaurant Base (Hidden)'!$A$1:$Z$1,0)),"")</f>
        <v/>
      </c>
      <c r="Q249" s="234" t="str">
        <f>+IFERROR(INDEX('Restaurant Base (Hidden)'!$A$2:$Z$1048576,MATCH($C249,'Restaurant Base (Hidden)'!$C$2:$C$1048576,0),MATCH(Q$6,'Restaurant Base (Hidden)'!$A$1:$Z$1,0)),"")</f>
        <v>70,90 %</v>
      </c>
      <c r="R249" s="1">
        <f>+IFERROR(INDEX('Restaurant Base (Hidden)'!$A$2:$Z$1048576,MATCH($C249,'Restaurant Base (Hidden)'!$C$2:$C$1048576,0),MATCH(R$6,'Restaurant Base (Hidden)'!$A$1:$Z$1,0)),"")</f>
        <v>4</v>
      </c>
      <c r="S249" s="2" t="str">
        <f>+IFERROR(INDEX('Restaurant Base (Hidden)'!$A$2:$Z$1048576,MATCH($C249,'Restaurant Base (Hidden)'!$C$2:$C$1048576,0),MATCH(S$6,'Restaurant Base (Hidden)'!$A$1:$Z$1,0)),"")</f>
        <v/>
      </c>
      <c r="T249" s="62">
        <f>+IFERROR(INDEX('Restaurant Base (Hidden)'!$A$2:$Z$1048576,MATCH($C249,'Restaurant Base (Hidden)'!$C$2:$C$1048576,0),MATCH(T$6,'Restaurant Base (Hidden)'!$A$1:$Z$1,0)),"")</f>
        <v>63.2</v>
      </c>
      <c r="U249" s="1">
        <f>+IFERROR(INDEX('Restaurant Base (Hidden)'!$A$2:$Z$1048576,MATCH($C249,'Restaurant Base (Hidden)'!$C$2:$C$1048576,0),MATCH(U$6,'Restaurant Base (Hidden)'!$A$1:$Z$1,0)),"")</f>
        <v>3</v>
      </c>
      <c r="V249" s="2" t="str">
        <f>+IFERROR(INDEX('Restaurant Base (Hidden)'!$A$2:$Z$1048576,MATCH($C249,'Restaurant Base (Hidden)'!$C$2:$C$1048576,0),MATCH(V$6,'Restaurant Base (Hidden)'!$A$1:$Z$1,0)),"")</f>
        <v/>
      </c>
      <c r="W249" s="65" t="str">
        <f>+IFERROR(INDEX('Restaurant Base (Hidden)'!$A$2:$Z$1048576,MATCH($C249,'Restaurant Base (Hidden)'!$C$2:$C$1048576,0),MATCH(W$6,'Restaurant Base (Hidden)'!$A$1:$Z$1,0)),"")</f>
        <v>74,30 %</v>
      </c>
      <c r="X249" s="1">
        <f>+IFERROR(INDEX('Restaurant Base (Hidden)'!$A$2:$Z$1048576,MATCH($C249,'Restaurant Base (Hidden)'!$C$2:$C$1048576,0),MATCH(X$6,'Restaurant Base (Hidden)'!$A$1:$Z$1,0)),"")</f>
        <v>2</v>
      </c>
      <c r="Y249" s="65" t="str">
        <f>+IFERROR(INDEX('Restaurant Base (Hidden)'!$A$2:$Z$1048576,MATCH($C249,'Restaurant Base (Hidden)'!$C$2:$C$1048576,0),MATCH(Y$6,'Restaurant Base (Hidden)'!$A$1:$Z$1,0)),"")</f>
        <v>90,80 %</v>
      </c>
      <c r="Z249" s="106">
        <f>+IFERROR(INDEX('Restaurant Base (Hidden)'!$A$2:$Z$1048576,MATCH($C249,'Restaurant Base (Hidden)'!$C$2:$C$1048576,0),MATCH(Z$6,'Restaurant Base (Hidden)'!$A$1:$Z$1,0)),"")</f>
        <v>3</v>
      </c>
      <c r="AA249" s="65" t="str">
        <f>+IFERROR(INDEX('Restaurant Base (Hidden)'!$A$2:$Z$1048576,MATCH($C249,'Restaurant Base (Hidden)'!$C$2:$C$1048576,0),MATCH(AA$6,'Restaurant Base (Hidden)'!$A$1:$Z$1,0)),"")</f>
        <v>71,80 %</v>
      </c>
      <c r="AB249" s="1">
        <f>+IFERROR(INDEX('Restaurant Base (Hidden)'!$A$2:$Z$1048576,MATCH($C249,'Restaurant Base (Hidden)'!$C$2:$C$1048576,0),MATCH(AB$6,'Restaurant Base (Hidden)'!$A$1:$Z$1,0)),"")</f>
        <v>2</v>
      </c>
      <c r="AC249" s="20" t="str">
        <f>+IFERROR(INDEX('Restaurant Base (Hidden)'!$A$2:$Z$1048576,MATCH($C249,'Restaurant Base (Hidden)'!$C$2:$C$1048576,0),MATCH(AC$6,'Restaurant Base (Hidden)'!$A$1:$Z$1,0)),"")</f>
        <v/>
      </c>
      <c r="AD249" s="65" t="str">
        <f>+IFERROR(INDEX('Restaurant Base (Hidden)'!$A$2:$Z$1048576,MATCH($C249,'Restaurant Base (Hidden)'!$C$2:$C$1048576,0),MATCH(AD$6,'Restaurant Base (Hidden)'!$A$1:$Z$1,0)),"")</f>
        <v>61,90 %</v>
      </c>
      <c r="AE249" s="1">
        <f>+IFERROR(INDEX('Restaurant Base (Hidden)'!$A$2:$Z$1048576,MATCH($C249,'Restaurant Base (Hidden)'!$C$2:$C$1048576,0),MATCH(AE$6,'Restaurant Base (Hidden)'!$A$1:$Z$1,0)),"")</f>
        <v>1</v>
      </c>
      <c r="AF249" s="65" t="str">
        <f>+IFERROR(INDEX('Restaurant Base (Hidden)'!$A$2:$Z$1048576,MATCH($C249,'Restaurant Base (Hidden)'!$C$2:$C$1048576,0),MATCH(AF$6,'Restaurant Base (Hidden)'!$A$1:$Z$1,0)),"")</f>
        <v>66,80 %</v>
      </c>
      <c r="AG249" s="1">
        <f>+IFERROR(INDEX('Restaurant Base (Hidden)'!$A$2:$Z$1048576,MATCH($C249,'Restaurant Base (Hidden)'!$C$2:$C$1048576,0),MATCH(AG$6,'Restaurant Base (Hidden)'!$A$1:$Z$1,0)),"")</f>
        <v>1</v>
      </c>
    </row>
    <row r="250" spans="1:33" x14ac:dyDescent="0.4">
      <c r="A250" s="163" t="str">
        <f>IF('Restaurant Base (Hidden)'!A90=0,"", 'Restaurant Base (Hidden)'!A90)</f>
        <v>Blake Bellamy</v>
      </c>
      <c r="B250" s="163" t="str">
        <f>IF('Restaurant Base (Hidden)'!B90=0,"", 'Restaurant Base (Hidden)'!B90)</f>
        <v>Evercrest Restaurants</v>
      </c>
      <c r="C250" s="163" t="str">
        <f>IF('Restaurant Base (Hidden)'!C90=0,"", 'Restaurant Base (Hidden)'!C90)</f>
        <v>Rosewood Meadows</v>
      </c>
      <c r="D250" s="104">
        <f t="shared" si="3"/>
        <v>242</v>
      </c>
      <c r="E250" s="105">
        <f>+IFERROR(INDEX('Restaurant Base (Hidden)'!$A$2:$Z$1048576,MATCH($C250,'Restaurant Base (Hidden)'!$C$2:$C$1048576,0),MATCH(E$6,'Restaurant Base (Hidden)'!$A$1:$Z$1,0)),"")</f>
        <v>2.89</v>
      </c>
      <c r="F250" s="2" t="str">
        <f>+IFERROR(INDEX('Restaurant Base (Hidden)'!$A$2:$Z$1048576,MATCH($C250,'Restaurant Base (Hidden)'!$C$2:$C$1048576,0),MATCH(F$6,'Restaurant Base (Hidden)'!$A$1:$Z$1,0)),"")</f>
        <v/>
      </c>
      <c r="G250" s="20" t="str">
        <f>+IFERROR(INDEX('Restaurant Base (Hidden)'!$A$2:$Z$1048576,MATCH($C250,'Restaurant Base (Hidden)'!$C$2:$C$1048576,0),MATCH(G$6,'Restaurant Base (Hidden)'!$A$1:$Z$1,0)),"")</f>
        <v>4,381</v>
      </c>
      <c r="H250" s="50">
        <f>+IFERROR(INDEX('Restaurant Base (Hidden)'!$A$2:$Z$1048576,MATCH($C250,'Restaurant Base (Hidden)'!$C$2:$C$1048576,0),MATCH(H$6,'Restaurant Base (Hidden)'!$A$1:$Z$1,0)),"")</f>
        <v>4</v>
      </c>
      <c r="I250" s="20" t="str">
        <f>+IFERROR(INDEX('Restaurant Base (Hidden)'!$A$2:$Z$1048576,MATCH($C250,'Restaurant Base (Hidden)'!$C$2:$C$1048576,0),MATCH(I$6,'Restaurant Base (Hidden)'!$A$1:$Z$1,0)),"")</f>
        <v>87,80 %</v>
      </c>
      <c r="J250" s="49">
        <f>+IFERROR(INDEX('Restaurant Base (Hidden)'!$A$2:$Z$1048576,MATCH($C250,'Restaurant Base (Hidden)'!$C$2:$C$1048576,0),MATCH(J$6,'Restaurant Base (Hidden)'!$A$1:$Z$1,0)),"")</f>
        <v>3</v>
      </c>
      <c r="K250" s="20" t="str">
        <f>+IFERROR(INDEX('Restaurant Base (Hidden)'!$A$2:$Z$1048576,MATCH($C250,'Restaurant Base (Hidden)'!$C$2:$C$1048576,0),MATCH(K$6,'Restaurant Base (Hidden)'!$A$1:$Z$1,0)),"")</f>
        <v>0,080</v>
      </c>
      <c r="L250" s="51">
        <f>+IFERROR(INDEX('Restaurant Base (Hidden)'!$A$2:$Z$1048576,MATCH($C250,'Restaurant Base (Hidden)'!$C$2:$C$1048576,0),MATCH(L$6,'Restaurant Base (Hidden)'!$A$1:$Z$1,0)),"")</f>
        <v>4</v>
      </c>
      <c r="M250" s="2" t="str">
        <f>+IFERROR(INDEX('Restaurant Base (Hidden)'!$A$2:$Z$1048576,MATCH($C250,'Restaurant Base (Hidden)'!$C$2:$C$1048576,0),MATCH(M$6,'Restaurant Base (Hidden)'!$A$1:$Z$1,0)),"")</f>
        <v/>
      </c>
      <c r="N250" s="234" t="str">
        <f>+IFERROR(INDEX('Restaurant Base (Hidden)'!$A$2:$Z$1048576,MATCH($C250,'Restaurant Base (Hidden)'!$C$2:$C$1048576,0),MATCH(N$6,'Restaurant Base (Hidden)'!$A$1:$Z$1,0)),"")</f>
        <v>71,80 %</v>
      </c>
      <c r="O250" s="1">
        <f>+IFERROR(INDEX('Restaurant Base (Hidden)'!$A$2:$Z$1048576,MATCH($C250,'Restaurant Base (Hidden)'!$C$2:$C$1048576,0),MATCH(O$6,'Restaurant Base (Hidden)'!$A$1:$Z$1,0)),"")</f>
        <v>4</v>
      </c>
      <c r="P250" s="2" t="str">
        <f>+IFERROR(INDEX('Restaurant Base (Hidden)'!$A$2:$Z$1048576,MATCH($C250,'Restaurant Base (Hidden)'!$C$2:$C$1048576,0),MATCH(P$6,'Restaurant Base (Hidden)'!$A$1:$Z$1,0)),"")</f>
        <v/>
      </c>
      <c r="Q250" s="234" t="str">
        <f>+IFERROR(INDEX('Restaurant Base (Hidden)'!$A$2:$Z$1048576,MATCH($C250,'Restaurant Base (Hidden)'!$C$2:$C$1048576,0),MATCH(Q$6,'Restaurant Base (Hidden)'!$A$1:$Z$1,0)),"")</f>
        <v>82,60 %</v>
      </c>
      <c r="R250" s="1">
        <f>+IFERROR(INDEX('Restaurant Base (Hidden)'!$A$2:$Z$1048576,MATCH($C250,'Restaurant Base (Hidden)'!$C$2:$C$1048576,0),MATCH(R$6,'Restaurant Base (Hidden)'!$A$1:$Z$1,0)),"")</f>
        <v>5</v>
      </c>
      <c r="S250" s="2" t="str">
        <f>+IFERROR(INDEX('Restaurant Base (Hidden)'!$A$2:$Z$1048576,MATCH($C250,'Restaurant Base (Hidden)'!$C$2:$C$1048576,0),MATCH(S$6,'Restaurant Base (Hidden)'!$A$1:$Z$1,0)),"")</f>
        <v/>
      </c>
      <c r="T250" s="62">
        <f>+IFERROR(INDEX('Restaurant Base (Hidden)'!$A$2:$Z$1048576,MATCH($C250,'Restaurant Base (Hidden)'!$C$2:$C$1048576,0),MATCH(T$6,'Restaurant Base (Hidden)'!$A$1:$Z$1,0)),"")</f>
        <v>52.3</v>
      </c>
      <c r="U250" s="1">
        <f>+IFERROR(INDEX('Restaurant Base (Hidden)'!$A$2:$Z$1048576,MATCH($C250,'Restaurant Base (Hidden)'!$C$2:$C$1048576,0),MATCH(U$6,'Restaurant Base (Hidden)'!$A$1:$Z$1,0)),"")</f>
        <v>1</v>
      </c>
      <c r="V250" s="2" t="str">
        <f>+IFERROR(INDEX('Restaurant Base (Hidden)'!$A$2:$Z$1048576,MATCH($C250,'Restaurant Base (Hidden)'!$C$2:$C$1048576,0),MATCH(V$6,'Restaurant Base (Hidden)'!$A$1:$Z$1,0)),"")</f>
        <v/>
      </c>
      <c r="W250" s="65" t="str">
        <f>+IFERROR(INDEX('Restaurant Base (Hidden)'!$A$2:$Z$1048576,MATCH($C250,'Restaurant Base (Hidden)'!$C$2:$C$1048576,0),MATCH(W$6,'Restaurant Base (Hidden)'!$A$1:$Z$1,0)),"")</f>
        <v>69,10 %</v>
      </c>
      <c r="X250" s="1">
        <f>+IFERROR(INDEX('Restaurant Base (Hidden)'!$A$2:$Z$1048576,MATCH($C250,'Restaurant Base (Hidden)'!$C$2:$C$1048576,0),MATCH(X$6,'Restaurant Base (Hidden)'!$A$1:$Z$1,0)),"")</f>
        <v>2</v>
      </c>
      <c r="Y250" s="65" t="str">
        <f>+IFERROR(INDEX('Restaurant Base (Hidden)'!$A$2:$Z$1048576,MATCH($C250,'Restaurant Base (Hidden)'!$C$2:$C$1048576,0),MATCH(Y$6,'Restaurant Base (Hidden)'!$A$1:$Z$1,0)),"")</f>
        <v>65,60 %</v>
      </c>
      <c r="Z250" s="106">
        <f>+IFERROR(INDEX('Restaurant Base (Hidden)'!$A$2:$Z$1048576,MATCH($C250,'Restaurant Base (Hidden)'!$C$2:$C$1048576,0),MATCH(Z$6,'Restaurant Base (Hidden)'!$A$1:$Z$1,0)),"")</f>
        <v>2</v>
      </c>
      <c r="AA250" s="65" t="str">
        <f>+IFERROR(INDEX('Restaurant Base (Hidden)'!$A$2:$Z$1048576,MATCH($C250,'Restaurant Base (Hidden)'!$C$2:$C$1048576,0),MATCH(AA$6,'Restaurant Base (Hidden)'!$A$1:$Z$1,0)),"")</f>
        <v>83,10 %</v>
      </c>
      <c r="AB250" s="1">
        <f>+IFERROR(INDEX('Restaurant Base (Hidden)'!$A$2:$Z$1048576,MATCH($C250,'Restaurant Base (Hidden)'!$C$2:$C$1048576,0),MATCH(AB$6,'Restaurant Base (Hidden)'!$A$1:$Z$1,0)),"")</f>
        <v>2</v>
      </c>
      <c r="AC250" s="20" t="str">
        <f>+IFERROR(INDEX('Restaurant Base (Hidden)'!$A$2:$Z$1048576,MATCH($C250,'Restaurant Base (Hidden)'!$C$2:$C$1048576,0),MATCH(AC$6,'Restaurant Base (Hidden)'!$A$1:$Z$1,0)),"")</f>
        <v/>
      </c>
      <c r="AD250" s="65" t="str">
        <f>+IFERROR(INDEX('Restaurant Base (Hidden)'!$A$2:$Z$1048576,MATCH($C250,'Restaurant Base (Hidden)'!$C$2:$C$1048576,0),MATCH(AD$6,'Restaurant Base (Hidden)'!$A$1:$Z$1,0)),"")</f>
        <v>79,20 %</v>
      </c>
      <c r="AE250" s="1">
        <f>+IFERROR(INDEX('Restaurant Base (Hidden)'!$A$2:$Z$1048576,MATCH($C250,'Restaurant Base (Hidden)'!$C$2:$C$1048576,0),MATCH(AE$6,'Restaurant Base (Hidden)'!$A$1:$Z$1,0)),"")</f>
        <v>2</v>
      </c>
      <c r="AF250" s="65" t="str">
        <f>+IFERROR(INDEX('Restaurant Base (Hidden)'!$A$2:$Z$1048576,MATCH($C250,'Restaurant Base (Hidden)'!$C$2:$C$1048576,0),MATCH(AF$6,'Restaurant Base (Hidden)'!$A$1:$Z$1,0)),"")</f>
        <v>57,80 %</v>
      </c>
      <c r="AG250" s="1">
        <f>+IFERROR(INDEX('Restaurant Base (Hidden)'!$A$2:$Z$1048576,MATCH($C250,'Restaurant Base (Hidden)'!$C$2:$C$1048576,0),MATCH(AG$6,'Restaurant Base (Hidden)'!$A$1:$Z$1,0)),"")</f>
        <v>1</v>
      </c>
    </row>
    <row r="251" spans="1:33" x14ac:dyDescent="0.4">
      <c r="A251" s="163" t="str">
        <f>IF('Restaurant Base (Hidden)'!A151=0,"", 'Restaurant Base (Hidden)'!A151)</f>
        <v>Drew Fairbourne</v>
      </c>
      <c r="B251" s="163" t="str">
        <f>IF('Restaurant Base (Hidden)'!B151=0,"", 'Restaurant Base (Hidden)'!B151)</f>
        <v>Rosebridge Hospitality</v>
      </c>
      <c r="C251" s="163" t="str">
        <f>IF('Restaurant Base (Hidden)'!C151=0,"", 'Restaurant Base (Hidden)'!C151)</f>
        <v>Willow Gate</v>
      </c>
      <c r="D251" s="104">
        <f t="shared" si="3"/>
        <v>242</v>
      </c>
      <c r="E251" s="105">
        <f>+IFERROR(INDEX('Restaurant Base (Hidden)'!$A$2:$Z$1048576,MATCH($C251,'Restaurant Base (Hidden)'!$C$2:$C$1048576,0),MATCH(E$6,'Restaurant Base (Hidden)'!$A$1:$Z$1,0)),"")</f>
        <v>2.89</v>
      </c>
      <c r="F251" s="2" t="str">
        <f>+IFERROR(INDEX('Restaurant Base (Hidden)'!$A$2:$Z$1048576,MATCH($C251,'Restaurant Base (Hidden)'!$C$2:$C$1048576,0),MATCH(F$6,'Restaurant Base (Hidden)'!$A$1:$Z$1,0)),"")</f>
        <v/>
      </c>
      <c r="G251" s="20" t="str">
        <f>+IFERROR(INDEX('Restaurant Base (Hidden)'!$A$2:$Z$1048576,MATCH($C251,'Restaurant Base (Hidden)'!$C$2:$C$1048576,0),MATCH(G$6,'Restaurant Base (Hidden)'!$A$1:$Z$1,0)),"")</f>
        <v>4,265</v>
      </c>
      <c r="H251" s="50">
        <f>+IFERROR(INDEX('Restaurant Base (Hidden)'!$A$2:$Z$1048576,MATCH($C251,'Restaurant Base (Hidden)'!$C$2:$C$1048576,0),MATCH(H$6,'Restaurant Base (Hidden)'!$A$1:$Z$1,0)),"")</f>
        <v>3</v>
      </c>
      <c r="I251" s="20" t="str">
        <f>+IFERROR(INDEX('Restaurant Base (Hidden)'!$A$2:$Z$1048576,MATCH($C251,'Restaurant Base (Hidden)'!$C$2:$C$1048576,0),MATCH(I$6,'Restaurant Base (Hidden)'!$A$1:$Z$1,0)),"")</f>
        <v>73,30 %</v>
      </c>
      <c r="J251" s="49">
        <f>+IFERROR(INDEX('Restaurant Base (Hidden)'!$A$2:$Z$1048576,MATCH($C251,'Restaurant Base (Hidden)'!$C$2:$C$1048576,0),MATCH(J$6,'Restaurant Base (Hidden)'!$A$1:$Z$1,0)),"")</f>
        <v>1</v>
      </c>
      <c r="K251" s="20" t="str">
        <f>+IFERROR(INDEX('Restaurant Base (Hidden)'!$A$2:$Z$1048576,MATCH($C251,'Restaurant Base (Hidden)'!$C$2:$C$1048576,0),MATCH(K$6,'Restaurant Base (Hidden)'!$A$1:$Z$1,0)),"")</f>
        <v>0,132</v>
      </c>
      <c r="L251" s="51">
        <f>+IFERROR(INDEX('Restaurant Base (Hidden)'!$A$2:$Z$1048576,MATCH($C251,'Restaurant Base (Hidden)'!$C$2:$C$1048576,0),MATCH(L$6,'Restaurant Base (Hidden)'!$A$1:$Z$1,0)),"")</f>
        <v>2</v>
      </c>
      <c r="M251" s="2" t="str">
        <f>+IFERROR(INDEX('Restaurant Base (Hidden)'!$A$2:$Z$1048576,MATCH($C251,'Restaurant Base (Hidden)'!$C$2:$C$1048576,0),MATCH(M$6,'Restaurant Base (Hidden)'!$A$1:$Z$1,0)),"")</f>
        <v/>
      </c>
      <c r="N251" s="234" t="str">
        <f>+IFERROR(INDEX('Restaurant Base (Hidden)'!$A$2:$Z$1048576,MATCH($C251,'Restaurant Base (Hidden)'!$C$2:$C$1048576,0),MATCH(N$6,'Restaurant Base (Hidden)'!$A$1:$Z$1,0)),"")</f>
        <v>98,40 %</v>
      </c>
      <c r="O251" s="1">
        <f>+IFERROR(INDEX('Restaurant Base (Hidden)'!$A$2:$Z$1048576,MATCH($C251,'Restaurant Base (Hidden)'!$C$2:$C$1048576,0),MATCH(O$6,'Restaurant Base (Hidden)'!$A$1:$Z$1,0)),"")</f>
        <v>5</v>
      </c>
      <c r="P251" s="2" t="str">
        <f>+IFERROR(INDEX('Restaurant Base (Hidden)'!$A$2:$Z$1048576,MATCH($C251,'Restaurant Base (Hidden)'!$C$2:$C$1048576,0),MATCH(P$6,'Restaurant Base (Hidden)'!$A$1:$Z$1,0)),"")</f>
        <v/>
      </c>
      <c r="Q251" s="234" t="str">
        <f>+IFERROR(INDEX('Restaurant Base (Hidden)'!$A$2:$Z$1048576,MATCH($C251,'Restaurant Base (Hidden)'!$C$2:$C$1048576,0),MATCH(Q$6,'Restaurant Base (Hidden)'!$A$1:$Z$1,0)),"")</f>
        <v>90,40 %</v>
      </c>
      <c r="R251" s="1">
        <f>+IFERROR(INDEX('Restaurant Base (Hidden)'!$A$2:$Z$1048576,MATCH($C251,'Restaurant Base (Hidden)'!$C$2:$C$1048576,0),MATCH(R$6,'Restaurant Base (Hidden)'!$A$1:$Z$1,0)),"")</f>
        <v>5</v>
      </c>
      <c r="S251" s="2" t="str">
        <f>+IFERROR(INDEX('Restaurant Base (Hidden)'!$A$2:$Z$1048576,MATCH($C251,'Restaurant Base (Hidden)'!$C$2:$C$1048576,0),MATCH(S$6,'Restaurant Base (Hidden)'!$A$1:$Z$1,0)),"")</f>
        <v/>
      </c>
      <c r="T251" s="62">
        <f>+IFERROR(INDEX('Restaurant Base (Hidden)'!$A$2:$Z$1048576,MATCH($C251,'Restaurant Base (Hidden)'!$C$2:$C$1048576,0),MATCH(T$6,'Restaurant Base (Hidden)'!$A$1:$Z$1,0)),"")</f>
        <v>64.599999999999994</v>
      </c>
      <c r="U251" s="1">
        <f>+IFERROR(INDEX('Restaurant Base (Hidden)'!$A$2:$Z$1048576,MATCH($C251,'Restaurant Base (Hidden)'!$C$2:$C$1048576,0),MATCH(U$6,'Restaurant Base (Hidden)'!$A$1:$Z$1,0)),"")</f>
        <v>4</v>
      </c>
      <c r="V251" s="2" t="str">
        <f>+IFERROR(INDEX('Restaurant Base (Hidden)'!$A$2:$Z$1048576,MATCH($C251,'Restaurant Base (Hidden)'!$C$2:$C$1048576,0),MATCH(V$6,'Restaurant Base (Hidden)'!$A$1:$Z$1,0)),"")</f>
        <v/>
      </c>
      <c r="W251" s="65" t="str">
        <f>+IFERROR(INDEX('Restaurant Base (Hidden)'!$A$2:$Z$1048576,MATCH($C251,'Restaurant Base (Hidden)'!$C$2:$C$1048576,0),MATCH(W$6,'Restaurant Base (Hidden)'!$A$1:$Z$1,0)),"")</f>
        <v>58,10 %</v>
      </c>
      <c r="X251" s="1">
        <f>+IFERROR(INDEX('Restaurant Base (Hidden)'!$A$2:$Z$1048576,MATCH($C251,'Restaurant Base (Hidden)'!$C$2:$C$1048576,0),MATCH(X$6,'Restaurant Base (Hidden)'!$A$1:$Z$1,0)),"")</f>
        <v>1</v>
      </c>
      <c r="Y251" s="65" t="str">
        <f>+IFERROR(INDEX('Restaurant Base (Hidden)'!$A$2:$Z$1048576,MATCH($C251,'Restaurant Base (Hidden)'!$C$2:$C$1048576,0),MATCH(Y$6,'Restaurant Base (Hidden)'!$A$1:$Z$1,0)),"")</f>
        <v>87,90 %</v>
      </c>
      <c r="Z251" s="106">
        <f>+IFERROR(INDEX('Restaurant Base (Hidden)'!$A$2:$Z$1048576,MATCH($C251,'Restaurant Base (Hidden)'!$C$2:$C$1048576,0),MATCH(Z$6,'Restaurant Base (Hidden)'!$A$1:$Z$1,0)),"")</f>
        <v>3</v>
      </c>
      <c r="AA251" s="65" t="str">
        <f>+IFERROR(INDEX('Restaurant Base (Hidden)'!$A$2:$Z$1048576,MATCH($C251,'Restaurant Base (Hidden)'!$C$2:$C$1048576,0),MATCH(AA$6,'Restaurant Base (Hidden)'!$A$1:$Z$1,0)),"")</f>
        <v>95,30 %</v>
      </c>
      <c r="AB251" s="1">
        <f>+IFERROR(INDEX('Restaurant Base (Hidden)'!$A$2:$Z$1048576,MATCH($C251,'Restaurant Base (Hidden)'!$C$2:$C$1048576,0),MATCH(AB$6,'Restaurant Base (Hidden)'!$A$1:$Z$1,0)),"")</f>
        <v>3</v>
      </c>
      <c r="AC251" s="20" t="str">
        <f>+IFERROR(INDEX('Restaurant Base (Hidden)'!$A$2:$Z$1048576,MATCH($C251,'Restaurant Base (Hidden)'!$C$2:$C$1048576,0),MATCH(AC$6,'Restaurant Base (Hidden)'!$A$1:$Z$1,0)),"")</f>
        <v/>
      </c>
      <c r="AD251" s="65" t="str">
        <f>+IFERROR(INDEX('Restaurant Base (Hidden)'!$A$2:$Z$1048576,MATCH($C251,'Restaurant Base (Hidden)'!$C$2:$C$1048576,0),MATCH(AD$6,'Restaurant Base (Hidden)'!$A$1:$Z$1,0)),"")</f>
        <v>70,20 %</v>
      </c>
      <c r="AE251" s="1">
        <f>+IFERROR(INDEX('Restaurant Base (Hidden)'!$A$2:$Z$1048576,MATCH($C251,'Restaurant Base (Hidden)'!$C$2:$C$1048576,0),MATCH(AE$6,'Restaurant Base (Hidden)'!$A$1:$Z$1,0)),"")</f>
        <v>1</v>
      </c>
      <c r="AF251" s="65" t="str">
        <f>+IFERROR(INDEX('Restaurant Base (Hidden)'!$A$2:$Z$1048576,MATCH($C251,'Restaurant Base (Hidden)'!$C$2:$C$1048576,0),MATCH(AF$6,'Restaurant Base (Hidden)'!$A$1:$Z$1,0)),"")</f>
        <v>58,30 %</v>
      </c>
      <c r="AG251" s="1">
        <f>+IFERROR(INDEX('Restaurant Base (Hidden)'!$A$2:$Z$1048576,MATCH($C251,'Restaurant Base (Hidden)'!$C$2:$C$1048576,0),MATCH(AG$6,'Restaurant Base (Hidden)'!$A$1:$Z$1,0)),"")</f>
        <v>1</v>
      </c>
    </row>
    <row r="252" spans="1:33" x14ac:dyDescent="0.4">
      <c r="A252" s="163" t="str">
        <f>IF('Restaurant Base (Hidden)'!A180=0,"", 'Restaurant Base (Hidden)'!A180)</f>
        <v>Drew Fairbourne</v>
      </c>
      <c r="B252" s="163" t="str">
        <f>IF('Restaurant Base (Hidden)'!B180=0,"", 'Restaurant Base (Hidden)'!B180)</f>
        <v>Willowcrest Dining</v>
      </c>
      <c r="C252" s="163" t="str">
        <f>IF('Restaurant Base (Hidden)'!C180=0,"", 'Restaurant Base (Hidden)'!C180)</f>
        <v>Hilltop Harbor</v>
      </c>
      <c r="D252" s="104">
        <f t="shared" si="3"/>
        <v>242</v>
      </c>
      <c r="E252" s="105">
        <f>+IFERROR(INDEX('Restaurant Base (Hidden)'!$A$2:$Z$1048576,MATCH($C252,'Restaurant Base (Hidden)'!$C$2:$C$1048576,0),MATCH(E$6,'Restaurant Base (Hidden)'!$A$1:$Z$1,0)),"")</f>
        <v>2.89</v>
      </c>
      <c r="F252" s="2" t="str">
        <f>+IFERROR(INDEX('Restaurant Base (Hidden)'!$A$2:$Z$1048576,MATCH($C252,'Restaurant Base (Hidden)'!$C$2:$C$1048576,0),MATCH(F$6,'Restaurant Base (Hidden)'!$A$1:$Z$1,0)),"")</f>
        <v/>
      </c>
      <c r="G252" s="20" t="str">
        <f>+IFERROR(INDEX('Restaurant Base (Hidden)'!$A$2:$Z$1048576,MATCH($C252,'Restaurant Base (Hidden)'!$C$2:$C$1048576,0),MATCH(G$6,'Restaurant Base (Hidden)'!$A$1:$Z$1,0)),"")</f>
        <v>4,803</v>
      </c>
      <c r="H252" s="50">
        <f>+IFERROR(INDEX('Restaurant Base (Hidden)'!$A$2:$Z$1048576,MATCH($C252,'Restaurant Base (Hidden)'!$C$2:$C$1048576,0),MATCH(H$6,'Restaurant Base (Hidden)'!$A$1:$Z$1,0)),"")</f>
        <v>5</v>
      </c>
      <c r="I252" s="20" t="str">
        <f>+IFERROR(INDEX('Restaurant Base (Hidden)'!$A$2:$Z$1048576,MATCH($C252,'Restaurant Base (Hidden)'!$C$2:$C$1048576,0),MATCH(I$6,'Restaurant Base (Hidden)'!$A$1:$Z$1,0)),"")</f>
        <v>61,10 %</v>
      </c>
      <c r="J252" s="49">
        <f>+IFERROR(INDEX('Restaurant Base (Hidden)'!$A$2:$Z$1048576,MATCH($C252,'Restaurant Base (Hidden)'!$C$2:$C$1048576,0),MATCH(J$6,'Restaurant Base (Hidden)'!$A$1:$Z$1,0)),"")</f>
        <v>1</v>
      </c>
      <c r="K252" s="20" t="str">
        <f>+IFERROR(INDEX('Restaurant Base (Hidden)'!$A$2:$Z$1048576,MATCH($C252,'Restaurant Base (Hidden)'!$C$2:$C$1048576,0),MATCH(K$6,'Restaurant Base (Hidden)'!$A$1:$Z$1,0)),"")</f>
        <v>0,168</v>
      </c>
      <c r="L252" s="51">
        <f>+IFERROR(INDEX('Restaurant Base (Hidden)'!$A$2:$Z$1048576,MATCH($C252,'Restaurant Base (Hidden)'!$C$2:$C$1048576,0),MATCH(L$6,'Restaurant Base (Hidden)'!$A$1:$Z$1,0)),"")</f>
        <v>2</v>
      </c>
      <c r="M252" s="2" t="str">
        <f>+IFERROR(INDEX('Restaurant Base (Hidden)'!$A$2:$Z$1048576,MATCH($C252,'Restaurant Base (Hidden)'!$C$2:$C$1048576,0),MATCH(M$6,'Restaurant Base (Hidden)'!$A$1:$Z$1,0)),"")</f>
        <v/>
      </c>
      <c r="N252" s="234" t="str">
        <f>+IFERROR(INDEX('Restaurant Base (Hidden)'!$A$2:$Z$1048576,MATCH($C252,'Restaurant Base (Hidden)'!$C$2:$C$1048576,0),MATCH(N$6,'Restaurant Base (Hidden)'!$A$1:$Z$1,0)),"")</f>
        <v>77,50 %</v>
      </c>
      <c r="O252" s="1">
        <f>+IFERROR(INDEX('Restaurant Base (Hidden)'!$A$2:$Z$1048576,MATCH($C252,'Restaurant Base (Hidden)'!$C$2:$C$1048576,0),MATCH(O$6,'Restaurant Base (Hidden)'!$A$1:$Z$1,0)),"")</f>
        <v>5</v>
      </c>
      <c r="P252" s="2" t="str">
        <f>+IFERROR(INDEX('Restaurant Base (Hidden)'!$A$2:$Z$1048576,MATCH($C252,'Restaurant Base (Hidden)'!$C$2:$C$1048576,0),MATCH(P$6,'Restaurant Base (Hidden)'!$A$1:$Z$1,0)),"")</f>
        <v/>
      </c>
      <c r="Q252" s="234" t="str">
        <f>+IFERROR(INDEX('Restaurant Base (Hidden)'!$A$2:$Z$1048576,MATCH($C252,'Restaurant Base (Hidden)'!$C$2:$C$1048576,0),MATCH(Q$6,'Restaurant Base (Hidden)'!$A$1:$Z$1,0)),"")</f>
        <v>66,70 %</v>
      </c>
      <c r="R252" s="1">
        <f>+IFERROR(INDEX('Restaurant Base (Hidden)'!$A$2:$Z$1048576,MATCH($C252,'Restaurant Base (Hidden)'!$C$2:$C$1048576,0),MATCH(R$6,'Restaurant Base (Hidden)'!$A$1:$Z$1,0)),"")</f>
        <v>3</v>
      </c>
      <c r="S252" s="2" t="str">
        <f>+IFERROR(INDEX('Restaurant Base (Hidden)'!$A$2:$Z$1048576,MATCH($C252,'Restaurant Base (Hidden)'!$C$2:$C$1048576,0),MATCH(S$6,'Restaurant Base (Hidden)'!$A$1:$Z$1,0)),"")</f>
        <v/>
      </c>
      <c r="T252" s="62">
        <f>+IFERROR(INDEX('Restaurant Base (Hidden)'!$A$2:$Z$1048576,MATCH($C252,'Restaurant Base (Hidden)'!$C$2:$C$1048576,0),MATCH(T$6,'Restaurant Base (Hidden)'!$A$1:$Z$1,0)),"")</f>
        <v>62.2</v>
      </c>
      <c r="U252" s="1">
        <f>+IFERROR(INDEX('Restaurant Base (Hidden)'!$A$2:$Z$1048576,MATCH($C252,'Restaurant Base (Hidden)'!$C$2:$C$1048576,0),MATCH(U$6,'Restaurant Base (Hidden)'!$A$1:$Z$1,0)),"")</f>
        <v>3</v>
      </c>
      <c r="V252" s="2" t="str">
        <f>+IFERROR(INDEX('Restaurant Base (Hidden)'!$A$2:$Z$1048576,MATCH($C252,'Restaurant Base (Hidden)'!$C$2:$C$1048576,0),MATCH(V$6,'Restaurant Base (Hidden)'!$A$1:$Z$1,0)),"")</f>
        <v/>
      </c>
      <c r="W252" s="65" t="str">
        <f>+IFERROR(INDEX('Restaurant Base (Hidden)'!$A$2:$Z$1048576,MATCH($C252,'Restaurant Base (Hidden)'!$C$2:$C$1048576,0),MATCH(W$6,'Restaurant Base (Hidden)'!$A$1:$Z$1,0)),"")</f>
        <v>63,90 %</v>
      </c>
      <c r="X252" s="1">
        <f>+IFERROR(INDEX('Restaurant Base (Hidden)'!$A$2:$Z$1048576,MATCH($C252,'Restaurant Base (Hidden)'!$C$2:$C$1048576,0),MATCH(X$6,'Restaurant Base (Hidden)'!$A$1:$Z$1,0)),"")</f>
        <v>2</v>
      </c>
      <c r="Y252" s="65" t="str">
        <f>+IFERROR(INDEX('Restaurant Base (Hidden)'!$A$2:$Z$1048576,MATCH($C252,'Restaurant Base (Hidden)'!$C$2:$C$1048576,0),MATCH(Y$6,'Restaurant Base (Hidden)'!$A$1:$Z$1,0)),"")</f>
        <v>85,50 %</v>
      </c>
      <c r="Z252" s="106">
        <f>+IFERROR(INDEX('Restaurant Base (Hidden)'!$A$2:$Z$1048576,MATCH($C252,'Restaurant Base (Hidden)'!$C$2:$C$1048576,0),MATCH(Z$6,'Restaurant Base (Hidden)'!$A$1:$Z$1,0)),"")</f>
        <v>3</v>
      </c>
      <c r="AA252" s="65" t="str">
        <f>+IFERROR(INDEX('Restaurant Base (Hidden)'!$A$2:$Z$1048576,MATCH($C252,'Restaurant Base (Hidden)'!$C$2:$C$1048576,0),MATCH(AA$6,'Restaurant Base (Hidden)'!$A$1:$Z$1,0)),"")</f>
        <v>95,60 %</v>
      </c>
      <c r="AB252" s="1">
        <f>+IFERROR(INDEX('Restaurant Base (Hidden)'!$A$2:$Z$1048576,MATCH($C252,'Restaurant Base (Hidden)'!$C$2:$C$1048576,0),MATCH(AB$6,'Restaurant Base (Hidden)'!$A$1:$Z$1,0)),"")</f>
        <v>3</v>
      </c>
      <c r="AC252" s="20" t="str">
        <f>+IFERROR(INDEX('Restaurant Base (Hidden)'!$A$2:$Z$1048576,MATCH($C252,'Restaurant Base (Hidden)'!$C$2:$C$1048576,0),MATCH(AC$6,'Restaurant Base (Hidden)'!$A$1:$Z$1,0)),"")</f>
        <v/>
      </c>
      <c r="AD252" s="65" t="str">
        <f>+IFERROR(INDEX('Restaurant Base (Hidden)'!$A$2:$Z$1048576,MATCH($C252,'Restaurant Base (Hidden)'!$C$2:$C$1048576,0),MATCH(AD$6,'Restaurant Base (Hidden)'!$A$1:$Z$1,0)),"")</f>
        <v>85,50 %</v>
      </c>
      <c r="AE252" s="1">
        <f>+IFERROR(INDEX('Restaurant Base (Hidden)'!$A$2:$Z$1048576,MATCH($C252,'Restaurant Base (Hidden)'!$C$2:$C$1048576,0),MATCH(AE$6,'Restaurant Base (Hidden)'!$A$1:$Z$1,0)),"")</f>
        <v>3</v>
      </c>
      <c r="AF252" s="65" t="str">
        <f>+IFERROR(INDEX('Restaurant Base (Hidden)'!$A$2:$Z$1048576,MATCH($C252,'Restaurant Base (Hidden)'!$C$2:$C$1048576,0),MATCH(AF$6,'Restaurant Base (Hidden)'!$A$1:$Z$1,0)),"")</f>
        <v>59,70 %</v>
      </c>
      <c r="AG252" s="1">
        <f>+IFERROR(INDEX('Restaurant Base (Hidden)'!$A$2:$Z$1048576,MATCH($C252,'Restaurant Base (Hidden)'!$C$2:$C$1048576,0),MATCH(AG$6,'Restaurant Base (Hidden)'!$A$1:$Z$1,0)),"")</f>
        <v>1</v>
      </c>
    </row>
    <row r="253" spans="1:33" x14ac:dyDescent="0.4">
      <c r="A253" s="163" t="str">
        <f>IF('Restaurant Base (Hidden)'!A386=0,"", 'Restaurant Base (Hidden)'!A386)</f>
        <v>Harper Langford</v>
      </c>
      <c r="B253" s="163" t="str">
        <f>IF('Restaurant Base (Hidden)'!B386=0,"", 'Restaurant Base (Hidden)'!B386)</f>
        <v>Highland Crest Restaurants</v>
      </c>
      <c r="C253" s="163" t="str">
        <f>IF('Restaurant Base (Hidden)'!C386=0,"", 'Restaurant Base (Hidden)'!C386)</f>
        <v>Pine Plaza</v>
      </c>
      <c r="D253" s="104">
        <f t="shared" si="3"/>
        <v>242</v>
      </c>
      <c r="E253" s="105">
        <f>+IFERROR(INDEX('Restaurant Base (Hidden)'!$A$2:$Z$1048576,MATCH($C253,'Restaurant Base (Hidden)'!$C$2:$C$1048576,0),MATCH(E$6,'Restaurant Base (Hidden)'!$A$1:$Z$1,0)),"")</f>
        <v>2.89</v>
      </c>
      <c r="F253" s="2" t="str">
        <f>+IFERROR(INDEX('Restaurant Base (Hidden)'!$A$2:$Z$1048576,MATCH($C253,'Restaurant Base (Hidden)'!$C$2:$C$1048576,0),MATCH(F$6,'Restaurant Base (Hidden)'!$A$1:$Z$1,0)),"")</f>
        <v/>
      </c>
      <c r="G253" s="20" t="str">
        <f>+IFERROR(INDEX('Restaurant Base (Hidden)'!$A$2:$Z$1048576,MATCH($C253,'Restaurant Base (Hidden)'!$C$2:$C$1048576,0),MATCH(G$6,'Restaurant Base (Hidden)'!$A$1:$Z$1,0)),"")</f>
        <v>4,364</v>
      </c>
      <c r="H253" s="50">
        <f>+IFERROR(INDEX('Restaurant Base (Hidden)'!$A$2:$Z$1048576,MATCH($C253,'Restaurant Base (Hidden)'!$C$2:$C$1048576,0),MATCH(H$6,'Restaurant Base (Hidden)'!$A$1:$Z$1,0)),"")</f>
        <v>4</v>
      </c>
      <c r="I253" s="20" t="str">
        <f>+IFERROR(INDEX('Restaurant Base (Hidden)'!$A$2:$Z$1048576,MATCH($C253,'Restaurant Base (Hidden)'!$C$2:$C$1048576,0),MATCH(I$6,'Restaurant Base (Hidden)'!$A$1:$Z$1,0)),"")</f>
        <v>74,80 %</v>
      </c>
      <c r="J253" s="49">
        <f>+IFERROR(INDEX('Restaurant Base (Hidden)'!$A$2:$Z$1048576,MATCH($C253,'Restaurant Base (Hidden)'!$C$2:$C$1048576,0),MATCH(J$6,'Restaurant Base (Hidden)'!$A$1:$Z$1,0)),"")</f>
        <v>1</v>
      </c>
      <c r="K253" s="20" t="str">
        <f>+IFERROR(INDEX('Restaurant Base (Hidden)'!$A$2:$Z$1048576,MATCH($C253,'Restaurant Base (Hidden)'!$C$2:$C$1048576,0),MATCH(K$6,'Restaurant Base (Hidden)'!$A$1:$Z$1,0)),"")</f>
        <v>0,073</v>
      </c>
      <c r="L253" s="51">
        <f>+IFERROR(INDEX('Restaurant Base (Hidden)'!$A$2:$Z$1048576,MATCH($C253,'Restaurant Base (Hidden)'!$C$2:$C$1048576,0),MATCH(L$6,'Restaurant Base (Hidden)'!$A$1:$Z$1,0)),"")</f>
        <v>4</v>
      </c>
      <c r="M253" s="2" t="str">
        <f>+IFERROR(INDEX('Restaurant Base (Hidden)'!$A$2:$Z$1048576,MATCH($C253,'Restaurant Base (Hidden)'!$C$2:$C$1048576,0),MATCH(M$6,'Restaurant Base (Hidden)'!$A$1:$Z$1,0)),"")</f>
        <v/>
      </c>
      <c r="N253" s="234" t="str">
        <f>+IFERROR(INDEX('Restaurant Base (Hidden)'!$A$2:$Z$1048576,MATCH($C253,'Restaurant Base (Hidden)'!$C$2:$C$1048576,0),MATCH(N$6,'Restaurant Base (Hidden)'!$A$1:$Z$1,0)),"")</f>
        <v>57,20 %</v>
      </c>
      <c r="O253" s="1">
        <f>+IFERROR(INDEX('Restaurant Base (Hidden)'!$A$2:$Z$1048576,MATCH($C253,'Restaurant Base (Hidden)'!$C$2:$C$1048576,0),MATCH(O$6,'Restaurant Base (Hidden)'!$A$1:$Z$1,0)),"")</f>
        <v>1</v>
      </c>
      <c r="P253" s="2" t="str">
        <f>+IFERROR(INDEX('Restaurant Base (Hidden)'!$A$2:$Z$1048576,MATCH($C253,'Restaurant Base (Hidden)'!$C$2:$C$1048576,0),MATCH(P$6,'Restaurant Base (Hidden)'!$A$1:$Z$1,0)),"")</f>
        <v/>
      </c>
      <c r="Q253" s="234" t="str">
        <f>+IFERROR(INDEX('Restaurant Base (Hidden)'!$A$2:$Z$1048576,MATCH($C253,'Restaurant Base (Hidden)'!$C$2:$C$1048576,0),MATCH(Q$6,'Restaurant Base (Hidden)'!$A$1:$Z$1,0)),"")</f>
        <v>79,70 %</v>
      </c>
      <c r="R253" s="1">
        <f>+IFERROR(INDEX('Restaurant Base (Hidden)'!$A$2:$Z$1048576,MATCH($C253,'Restaurant Base (Hidden)'!$C$2:$C$1048576,0),MATCH(R$6,'Restaurant Base (Hidden)'!$A$1:$Z$1,0)),"")</f>
        <v>5</v>
      </c>
      <c r="S253" s="2" t="str">
        <f>+IFERROR(INDEX('Restaurant Base (Hidden)'!$A$2:$Z$1048576,MATCH($C253,'Restaurant Base (Hidden)'!$C$2:$C$1048576,0),MATCH(S$6,'Restaurant Base (Hidden)'!$A$1:$Z$1,0)),"")</f>
        <v/>
      </c>
      <c r="T253" s="62">
        <f>+IFERROR(INDEX('Restaurant Base (Hidden)'!$A$2:$Z$1048576,MATCH($C253,'Restaurant Base (Hidden)'!$C$2:$C$1048576,0),MATCH(T$6,'Restaurant Base (Hidden)'!$A$1:$Z$1,0)),"")</f>
        <v>63.1</v>
      </c>
      <c r="U253" s="1">
        <f>+IFERROR(INDEX('Restaurant Base (Hidden)'!$A$2:$Z$1048576,MATCH($C253,'Restaurant Base (Hidden)'!$C$2:$C$1048576,0),MATCH(U$6,'Restaurant Base (Hidden)'!$A$1:$Z$1,0)),"")</f>
        <v>3</v>
      </c>
      <c r="V253" s="2" t="str">
        <f>+IFERROR(INDEX('Restaurant Base (Hidden)'!$A$2:$Z$1048576,MATCH($C253,'Restaurant Base (Hidden)'!$C$2:$C$1048576,0),MATCH(V$6,'Restaurant Base (Hidden)'!$A$1:$Z$1,0)),"")</f>
        <v/>
      </c>
      <c r="W253" s="65" t="str">
        <f>+IFERROR(INDEX('Restaurant Base (Hidden)'!$A$2:$Z$1048576,MATCH($C253,'Restaurant Base (Hidden)'!$C$2:$C$1048576,0),MATCH(W$6,'Restaurant Base (Hidden)'!$A$1:$Z$1,0)),"")</f>
        <v>59,10 %</v>
      </c>
      <c r="X253" s="1">
        <f>+IFERROR(INDEX('Restaurant Base (Hidden)'!$A$2:$Z$1048576,MATCH($C253,'Restaurant Base (Hidden)'!$C$2:$C$1048576,0),MATCH(X$6,'Restaurant Base (Hidden)'!$A$1:$Z$1,0)),"")</f>
        <v>1</v>
      </c>
      <c r="Y253" s="65" t="str">
        <f>+IFERROR(INDEX('Restaurant Base (Hidden)'!$A$2:$Z$1048576,MATCH($C253,'Restaurant Base (Hidden)'!$C$2:$C$1048576,0),MATCH(Y$6,'Restaurant Base (Hidden)'!$A$1:$Z$1,0)),"")</f>
        <v>74,50 %</v>
      </c>
      <c r="Z253" s="106">
        <f>+IFERROR(INDEX('Restaurant Base (Hidden)'!$A$2:$Z$1048576,MATCH($C253,'Restaurant Base (Hidden)'!$C$2:$C$1048576,0),MATCH(Z$6,'Restaurant Base (Hidden)'!$A$1:$Z$1,0)),"")</f>
        <v>2</v>
      </c>
      <c r="AA253" s="65" t="str">
        <f>+IFERROR(INDEX('Restaurant Base (Hidden)'!$A$2:$Z$1048576,MATCH($C253,'Restaurant Base (Hidden)'!$C$2:$C$1048576,0),MATCH(AA$6,'Restaurant Base (Hidden)'!$A$1:$Z$1,0)),"")</f>
        <v>75,40 %</v>
      </c>
      <c r="AB253" s="1">
        <f>+IFERROR(INDEX('Restaurant Base (Hidden)'!$A$2:$Z$1048576,MATCH($C253,'Restaurant Base (Hidden)'!$C$2:$C$1048576,0),MATCH(AB$6,'Restaurant Base (Hidden)'!$A$1:$Z$1,0)),"")</f>
        <v>2</v>
      </c>
      <c r="AC253" s="20" t="str">
        <f>+IFERROR(INDEX('Restaurant Base (Hidden)'!$A$2:$Z$1048576,MATCH($C253,'Restaurant Base (Hidden)'!$C$2:$C$1048576,0),MATCH(AC$6,'Restaurant Base (Hidden)'!$A$1:$Z$1,0)),"")</f>
        <v/>
      </c>
      <c r="AD253" s="65" t="str">
        <f>+IFERROR(INDEX('Restaurant Base (Hidden)'!$A$2:$Z$1048576,MATCH($C253,'Restaurant Base (Hidden)'!$C$2:$C$1048576,0),MATCH(AD$6,'Restaurant Base (Hidden)'!$A$1:$Z$1,0)),"")</f>
        <v>83,60 %</v>
      </c>
      <c r="AE253" s="1">
        <f>+IFERROR(INDEX('Restaurant Base (Hidden)'!$A$2:$Z$1048576,MATCH($C253,'Restaurant Base (Hidden)'!$C$2:$C$1048576,0),MATCH(AE$6,'Restaurant Base (Hidden)'!$A$1:$Z$1,0)),"")</f>
        <v>3</v>
      </c>
      <c r="AF253" s="65" t="str">
        <f>+IFERROR(INDEX('Restaurant Base (Hidden)'!$A$2:$Z$1048576,MATCH($C253,'Restaurant Base (Hidden)'!$C$2:$C$1048576,0),MATCH(AF$6,'Restaurant Base (Hidden)'!$A$1:$Z$1,0)),"")</f>
        <v>98,30 %</v>
      </c>
      <c r="AG253" s="1">
        <f>+IFERROR(INDEX('Restaurant Base (Hidden)'!$A$2:$Z$1048576,MATCH($C253,'Restaurant Base (Hidden)'!$C$2:$C$1048576,0),MATCH(AG$6,'Restaurant Base (Hidden)'!$A$1:$Z$1,0)),"")</f>
        <v>5</v>
      </c>
    </row>
    <row r="254" spans="1:33" x14ac:dyDescent="0.4">
      <c r="A254" s="163" t="str">
        <f>IF('Restaurant Base (Hidden)'!A138=0,"", 'Restaurant Base (Hidden)'!A138)</f>
        <v>Taylor Hartwell</v>
      </c>
      <c r="B254" s="163" t="str">
        <f>IF('Restaurant Base (Hidden)'!B138=0,"", 'Restaurant Base (Hidden)'!B138)</f>
        <v>Crownfield Hospitality</v>
      </c>
      <c r="C254" s="163" t="str">
        <f>IF('Restaurant Base (Hidden)'!C138=0,"", 'Restaurant Base (Hidden)'!C138)</f>
        <v>Brook Pines</v>
      </c>
      <c r="D254" s="104">
        <f t="shared" si="3"/>
        <v>248</v>
      </c>
      <c r="E254" s="105">
        <f>+IFERROR(INDEX('Restaurant Base (Hidden)'!$A$2:$Z$1048576,MATCH($C254,'Restaurant Base (Hidden)'!$C$2:$C$1048576,0),MATCH(E$6,'Restaurant Base (Hidden)'!$A$1:$Z$1,0)),"")</f>
        <v>2.88</v>
      </c>
      <c r="F254" s="2" t="str">
        <f>+IFERROR(INDEX('Restaurant Base (Hidden)'!$A$2:$Z$1048576,MATCH($C254,'Restaurant Base (Hidden)'!$C$2:$C$1048576,0),MATCH(F$6,'Restaurant Base (Hidden)'!$A$1:$Z$1,0)),"")</f>
        <v/>
      </c>
      <c r="G254" s="20" t="str">
        <f>+IFERROR(INDEX('Restaurant Base (Hidden)'!$A$2:$Z$1048576,MATCH($C254,'Restaurant Base (Hidden)'!$C$2:$C$1048576,0),MATCH(G$6,'Restaurant Base (Hidden)'!$A$1:$Z$1,0)),"")</f>
        <v>4,757</v>
      </c>
      <c r="H254" s="50">
        <f>+IFERROR(INDEX('Restaurant Base (Hidden)'!$A$2:$Z$1048576,MATCH($C254,'Restaurant Base (Hidden)'!$C$2:$C$1048576,0),MATCH(H$6,'Restaurant Base (Hidden)'!$A$1:$Z$1,0)),"")</f>
        <v>5</v>
      </c>
      <c r="I254" s="20" t="str">
        <f>+IFERROR(INDEX('Restaurant Base (Hidden)'!$A$2:$Z$1048576,MATCH($C254,'Restaurant Base (Hidden)'!$C$2:$C$1048576,0),MATCH(I$6,'Restaurant Base (Hidden)'!$A$1:$Z$1,0)),"")</f>
        <v>57,50 %</v>
      </c>
      <c r="J254" s="49">
        <f>+IFERROR(INDEX('Restaurant Base (Hidden)'!$A$2:$Z$1048576,MATCH($C254,'Restaurant Base (Hidden)'!$C$2:$C$1048576,0),MATCH(J$6,'Restaurant Base (Hidden)'!$A$1:$Z$1,0)),"")</f>
        <v>1</v>
      </c>
      <c r="K254" s="20" t="str">
        <f>+IFERROR(INDEX('Restaurant Base (Hidden)'!$A$2:$Z$1048576,MATCH($C254,'Restaurant Base (Hidden)'!$C$2:$C$1048576,0),MATCH(K$6,'Restaurant Base (Hidden)'!$A$1:$Z$1,0)),"")</f>
        <v>0,178</v>
      </c>
      <c r="L254" s="51">
        <f>+IFERROR(INDEX('Restaurant Base (Hidden)'!$A$2:$Z$1048576,MATCH($C254,'Restaurant Base (Hidden)'!$C$2:$C$1048576,0),MATCH(L$6,'Restaurant Base (Hidden)'!$A$1:$Z$1,0)),"")</f>
        <v>2</v>
      </c>
      <c r="M254" s="2" t="str">
        <f>+IFERROR(INDEX('Restaurant Base (Hidden)'!$A$2:$Z$1048576,MATCH($C254,'Restaurant Base (Hidden)'!$C$2:$C$1048576,0),MATCH(M$6,'Restaurant Base (Hidden)'!$A$1:$Z$1,0)),"")</f>
        <v/>
      </c>
      <c r="N254" s="234" t="str">
        <f>+IFERROR(INDEX('Restaurant Base (Hidden)'!$A$2:$Z$1048576,MATCH($C254,'Restaurant Base (Hidden)'!$C$2:$C$1048576,0),MATCH(N$6,'Restaurant Base (Hidden)'!$A$1:$Z$1,0)),"")</f>
        <v>57,80 %</v>
      </c>
      <c r="O254" s="1">
        <f>+IFERROR(INDEX('Restaurant Base (Hidden)'!$A$2:$Z$1048576,MATCH($C254,'Restaurant Base (Hidden)'!$C$2:$C$1048576,0),MATCH(O$6,'Restaurant Base (Hidden)'!$A$1:$Z$1,0)),"")</f>
        <v>1</v>
      </c>
      <c r="P254" s="2" t="str">
        <f>+IFERROR(INDEX('Restaurant Base (Hidden)'!$A$2:$Z$1048576,MATCH($C254,'Restaurant Base (Hidden)'!$C$2:$C$1048576,0),MATCH(P$6,'Restaurant Base (Hidden)'!$A$1:$Z$1,0)),"")</f>
        <v/>
      </c>
      <c r="Q254" s="234" t="str">
        <f>+IFERROR(INDEX('Restaurant Base (Hidden)'!$A$2:$Z$1048576,MATCH($C254,'Restaurant Base (Hidden)'!$C$2:$C$1048576,0),MATCH(Q$6,'Restaurant Base (Hidden)'!$A$1:$Z$1,0)),"")</f>
        <v>69,50 %</v>
      </c>
      <c r="R254" s="1">
        <f>+IFERROR(INDEX('Restaurant Base (Hidden)'!$A$2:$Z$1048576,MATCH($C254,'Restaurant Base (Hidden)'!$C$2:$C$1048576,0),MATCH(R$6,'Restaurant Base (Hidden)'!$A$1:$Z$1,0)),"")</f>
        <v>4</v>
      </c>
      <c r="S254" s="2" t="str">
        <f>+IFERROR(INDEX('Restaurant Base (Hidden)'!$A$2:$Z$1048576,MATCH($C254,'Restaurant Base (Hidden)'!$C$2:$C$1048576,0),MATCH(S$6,'Restaurant Base (Hidden)'!$A$1:$Z$1,0)),"")</f>
        <v/>
      </c>
      <c r="T254" s="62">
        <f>+IFERROR(INDEX('Restaurant Base (Hidden)'!$A$2:$Z$1048576,MATCH($C254,'Restaurant Base (Hidden)'!$C$2:$C$1048576,0),MATCH(T$6,'Restaurant Base (Hidden)'!$A$1:$Z$1,0)),"")</f>
        <v>69.099999999999994</v>
      </c>
      <c r="U254" s="1">
        <f>+IFERROR(INDEX('Restaurant Base (Hidden)'!$A$2:$Z$1048576,MATCH($C254,'Restaurant Base (Hidden)'!$C$2:$C$1048576,0),MATCH(U$6,'Restaurant Base (Hidden)'!$A$1:$Z$1,0)),"")</f>
        <v>5</v>
      </c>
      <c r="V254" s="2" t="str">
        <f>+IFERROR(INDEX('Restaurant Base (Hidden)'!$A$2:$Z$1048576,MATCH($C254,'Restaurant Base (Hidden)'!$C$2:$C$1048576,0),MATCH(V$6,'Restaurant Base (Hidden)'!$A$1:$Z$1,0)),"")</f>
        <v/>
      </c>
      <c r="W254" s="65" t="str">
        <f>+IFERROR(INDEX('Restaurant Base (Hidden)'!$A$2:$Z$1048576,MATCH($C254,'Restaurant Base (Hidden)'!$C$2:$C$1048576,0),MATCH(W$6,'Restaurant Base (Hidden)'!$A$1:$Z$1,0)),"")</f>
        <v>99,30 %</v>
      </c>
      <c r="X254" s="1">
        <f>+IFERROR(INDEX('Restaurant Base (Hidden)'!$A$2:$Z$1048576,MATCH($C254,'Restaurant Base (Hidden)'!$C$2:$C$1048576,0),MATCH(X$6,'Restaurant Base (Hidden)'!$A$1:$Z$1,0)),"")</f>
        <v>5</v>
      </c>
      <c r="Y254" s="65" t="str">
        <f>+IFERROR(INDEX('Restaurant Base (Hidden)'!$A$2:$Z$1048576,MATCH($C254,'Restaurant Base (Hidden)'!$C$2:$C$1048576,0),MATCH(Y$6,'Restaurant Base (Hidden)'!$A$1:$Z$1,0)),"")</f>
        <v>70,40 %</v>
      </c>
      <c r="Z254" s="106">
        <f>+IFERROR(INDEX('Restaurant Base (Hidden)'!$A$2:$Z$1048576,MATCH($C254,'Restaurant Base (Hidden)'!$C$2:$C$1048576,0),MATCH(Z$6,'Restaurant Base (Hidden)'!$A$1:$Z$1,0)),"")</f>
        <v>2</v>
      </c>
      <c r="AA254" s="65" t="str">
        <f>+IFERROR(INDEX('Restaurant Base (Hidden)'!$A$2:$Z$1048576,MATCH($C254,'Restaurant Base (Hidden)'!$C$2:$C$1048576,0),MATCH(AA$6,'Restaurant Base (Hidden)'!$A$1:$Z$1,0)),"")</f>
        <v>94,50 %</v>
      </c>
      <c r="AB254" s="1">
        <f>+IFERROR(INDEX('Restaurant Base (Hidden)'!$A$2:$Z$1048576,MATCH($C254,'Restaurant Base (Hidden)'!$C$2:$C$1048576,0),MATCH(AB$6,'Restaurant Base (Hidden)'!$A$1:$Z$1,0)),"")</f>
        <v>3</v>
      </c>
      <c r="AC254" s="20" t="str">
        <f>+IFERROR(INDEX('Restaurant Base (Hidden)'!$A$2:$Z$1048576,MATCH($C254,'Restaurant Base (Hidden)'!$C$2:$C$1048576,0),MATCH(AC$6,'Restaurant Base (Hidden)'!$A$1:$Z$1,0)),"")</f>
        <v/>
      </c>
      <c r="AD254" s="65" t="str">
        <f>+IFERROR(INDEX('Restaurant Base (Hidden)'!$A$2:$Z$1048576,MATCH($C254,'Restaurant Base (Hidden)'!$C$2:$C$1048576,0),MATCH(AD$6,'Restaurant Base (Hidden)'!$A$1:$Z$1,0)),"")</f>
        <v>94,50 %</v>
      </c>
      <c r="AE254" s="1">
        <f>+IFERROR(INDEX('Restaurant Base (Hidden)'!$A$2:$Z$1048576,MATCH($C254,'Restaurant Base (Hidden)'!$C$2:$C$1048576,0),MATCH(AE$6,'Restaurant Base (Hidden)'!$A$1:$Z$1,0)),"")</f>
        <v>4</v>
      </c>
      <c r="AF254" s="65" t="str">
        <f>+IFERROR(INDEX('Restaurant Base (Hidden)'!$A$2:$Z$1048576,MATCH($C254,'Restaurant Base (Hidden)'!$C$2:$C$1048576,0),MATCH(AF$6,'Restaurant Base (Hidden)'!$A$1:$Z$1,0)),"")</f>
        <v>70,20 %</v>
      </c>
      <c r="AG254" s="1">
        <f>+IFERROR(INDEX('Restaurant Base (Hidden)'!$A$2:$Z$1048576,MATCH($C254,'Restaurant Base (Hidden)'!$C$2:$C$1048576,0),MATCH(AG$6,'Restaurant Base (Hidden)'!$A$1:$Z$1,0)),"")</f>
        <v>1</v>
      </c>
    </row>
    <row r="255" spans="1:33" x14ac:dyDescent="0.4">
      <c r="A255" s="163" t="str">
        <f>IF('Restaurant Base (Hidden)'!A206=0,"", 'Restaurant Base (Hidden)'!A206)</f>
        <v>Blake Bellamy</v>
      </c>
      <c r="B255" s="163" t="str">
        <f>IF('Restaurant Base (Hidden)'!B206=0,"", 'Restaurant Base (Hidden)'!B206)</f>
        <v>Westhaven Foods</v>
      </c>
      <c r="C255" s="163" t="str">
        <f>IF('Restaurant Base (Hidden)'!C206=0,"", 'Restaurant Base (Hidden)'!C206)</f>
        <v>Meadow Junction</v>
      </c>
      <c r="D255" s="104">
        <f t="shared" si="3"/>
        <v>248</v>
      </c>
      <c r="E255" s="105">
        <f>+IFERROR(INDEX('Restaurant Base (Hidden)'!$A$2:$Z$1048576,MATCH($C255,'Restaurant Base (Hidden)'!$C$2:$C$1048576,0),MATCH(E$6,'Restaurant Base (Hidden)'!$A$1:$Z$1,0)),"")</f>
        <v>2.88</v>
      </c>
      <c r="F255" s="2" t="str">
        <f>+IFERROR(INDEX('Restaurant Base (Hidden)'!$A$2:$Z$1048576,MATCH($C255,'Restaurant Base (Hidden)'!$C$2:$C$1048576,0),MATCH(F$6,'Restaurant Base (Hidden)'!$A$1:$Z$1,0)),"")</f>
        <v/>
      </c>
      <c r="G255" s="20" t="str">
        <f>+IFERROR(INDEX('Restaurant Base (Hidden)'!$A$2:$Z$1048576,MATCH($C255,'Restaurant Base (Hidden)'!$C$2:$C$1048576,0),MATCH(G$6,'Restaurant Base (Hidden)'!$A$1:$Z$1,0)),"")</f>
        <v>4,637</v>
      </c>
      <c r="H255" s="50">
        <f>+IFERROR(INDEX('Restaurant Base (Hidden)'!$A$2:$Z$1048576,MATCH($C255,'Restaurant Base (Hidden)'!$C$2:$C$1048576,0),MATCH(H$6,'Restaurant Base (Hidden)'!$A$1:$Z$1,0)),"")</f>
        <v>5</v>
      </c>
      <c r="I255" s="20" t="str">
        <f>+IFERROR(INDEX('Restaurant Base (Hidden)'!$A$2:$Z$1048576,MATCH($C255,'Restaurant Base (Hidden)'!$C$2:$C$1048576,0),MATCH(I$6,'Restaurant Base (Hidden)'!$A$1:$Z$1,0)),"")</f>
        <v>65,40 %</v>
      </c>
      <c r="J255" s="49">
        <f>+IFERROR(INDEX('Restaurant Base (Hidden)'!$A$2:$Z$1048576,MATCH($C255,'Restaurant Base (Hidden)'!$C$2:$C$1048576,0),MATCH(J$6,'Restaurant Base (Hidden)'!$A$1:$Z$1,0)),"")</f>
        <v>1</v>
      </c>
      <c r="K255" s="20" t="str">
        <f>+IFERROR(INDEX('Restaurant Base (Hidden)'!$A$2:$Z$1048576,MATCH($C255,'Restaurant Base (Hidden)'!$C$2:$C$1048576,0),MATCH(K$6,'Restaurant Base (Hidden)'!$A$1:$Z$1,0)),"")</f>
        <v>0,148</v>
      </c>
      <c r="L255" s="51">
        <f>+IFERROR(INDEX('Restaurant Base (Hidden)'!$A$2:$Z$1048576,MATCH($C255,'Restaurant Base (Hidden)'!$C$2:$C$1048576,0),MATCH(L$6,'Restaurant Base (Hidden)'!$A$1:$Z$1,0)),"")</f>
        <v>2</v>
      </c>
      <c r="M255" s="2" t="str">
        <f>+IFERROR(INDEX('Restaurant Base (Hidden)'!$A$2:$Z$1048576,MATCH($C255,'Restaurant Base (Hidden)'!$C$2:$C$1048576,0),MATCH(M$6,'Restaurant Base (Hidden)'!$A$1:$Z$1,0)),"")</f>
        <v/>
      </c>
      <c r="N255" s="234" t="str">
        <f>+IFERROR(INDEX('Restaurant Base (Hidden)'!$A$2:$Z$1048576,MATCH($C255,'Restaurant Base (Hidden)'!$C$2:$C$1048576,0),MATCH(N$6,'Restaurant Base (Hidden)'!$A$1:$Z$1,0)),"")</f>
        <v>88,40 %</v>
      </c>
      <c r="O255" s="1">
        <f>+IFERROR(INDEX('Restaurant Base (Hidden)'!$A$2:$Z$1048576,MATCH($C255,'Restaurant Base (Hidden)'!$C$2:$C$1048576,0),MATCH(O$6,'Restaurant Base (Hidden)'!$A$1:$Z$1,0)),"")</f>
        <v>5</v>
      </c>
      <c r="P255" s="2" t="str">
        <f>+IFERROR(INDEX('Restaurant Base (Hidden)'!$A$2:$Z$1048576,MATCH($C255,'Restaurant Base (Hidden)'!$C$2:$C$1048576,0),MATCH(P$6,'Restaurant Base (Hidden)'!$A$1:$Z$1,0)),"")</f>
        <v/>
      </c>
      <c r="Q255" s="234" t="str">
        <f>+IFERROR(INDEX('Restaurant Base (Hidden)'!$A$2:$Z$1048576,MATCH($C255,'Restaurant Base (Hidden)'!$C$2:$C$1048576,0),MATCH(Q$6,'Restaurant Base (Hidden)'!$A$1:$Z$1,0)),"")</f>
        <v>64,80 %</v>
      </c>
      <c r="R255" s="1">
        <f>+IFERROR(INDEX('Restaurant Base (Hidden)'!$A$2:$Z$1048576,MATCH($C255,'Restaurant Base (Hidden)'!$C$2:$C$1048576,0),MATCH(R$6,'Restaurant Base (Hidden)'!$A$1:$Z$1,0)),"")</f>
        <v>2</v>
      </c>
      <c r="S255" s="2" t="str">
        <f>+IFERROR(INDEX('Restaurant Base (Hidden)'!$A$2:$Z$1048576,MATCH($C255,'Restaurant Base (Hidden)'!$C$2:$C$1048576,0),MATCH(S$6,'Restaurant Base (Hidden)'!$A$1:$Z$1,0)),"")</f>
        <v/>
      </c>
      <c r="T255" s="62">
        <f>+IFERROR(INDEX('Restaurant Base (Hidden)'!$A$2:$Z$1048576,MATCH($C255,'Restaurant Base (Hidden)'!$C$2:$C$1048576,0),MATCH(T$6,'Restaurant Base (Hidden)'!$A$1:$Z$1,0)),"")</f>
        <v>73.8</v>
      </c>
      <c r="U255" s="1">
        <f>+IFERROR(INDEX('Restaurant Base (Hidden)'!$A$2:$Z$1048576,MATCH($C255,'Restaurant Base (Hidden)'!$C$2:$C$1048576,0),MATCH(U$6,'Restaurant Base (Hidden)'!$A$1:$Z$1,0)),"")</f>
        <v>5</v>
      </c>
      <c r="V255" s="2" t="str">
        <f>+IFERROR(INDEX('Restaurant Base (Hidden)'!$A$2:$Z$1048576,MATCH($C255,'Restaurant Base (Hidden)'!$C$2:$C$1048576,0),MATCH(V$6,'Restaurant Base (Hidden)'!$A$1:$Z$1,0)),"")</f>
        <v/>
      </c>
      <c r="W255" s="65" t="str">
        <f>+IFERROR(INDEX('Restaurant Base (Hidden)'!$A$2:$Z$1048576,MATCH($C255,'Restaurant Base (Hidden)'!$C$2:$C$1048576,0),MATCH(W$6,'Restaurant Base (Hidden)'!$A$1:$Z$1,0)),"")</f>
        <v>97,30 %</v>
      </c>
      <c r="X255" s="1">
        <f>+IFERROR(INDEX('Restaurant Base (Hidden)'!$A$2:$Z$1048576,MATCH($C255,'Restaurant Base (Hidden)'!$C$2:$C$1048576,0),MATCH(X$6,'Restaurant Base (Hidden)'!$A$1:$Z$1,0)),"")</f>
        <v>5</v>
      </c>
      <c r="Y255" s="65" t="str">
        <f>+IFERROR(INDEX('Restaurant Base (Hidden)'!$A$2:$Z$1048576,MATCH($C255,'Restaurant Base (Hidden)'!$C$2:$C$1048576,0),MATCH(Y$6,'Restaurant Base (Hidden)'!$A$1:$Z$1,0)),"")</f>
        <v>91,70 %</v>
      </c>
      <c r="Z255" s="106">
        <f>+IFERROR(INDEX('Restaurant Base (Hidden)'!$A$2:$Z$1048576,MATCH($C255,'Restaurant Base (Hidden)'!$C$2:$C$1048576,0),MATCH(Z$6,'Restaurant Base (Hidden)'!$A$1:$Z$1,0)),"")</f>
        <v>3</v>
      </c>
      <c r="AA255" s="65" t="str">
        <f>+IFERROR(INDEX('Restaurant Base (Hidden)'!$A$2:$Z$1048576,MATCH($C255,'Restaurant Base (Hidden)'!$C$2:$C$1048576,0),MATCH(AA$6,'Restaurant Base (Hidden)'!$A$1:$Z$1,0)),"")</f>
        <v>70,50 %</v>
      </c>
      <c r="AB255" s="1">
        <f>+IFERROR(INDEX('Restaurant Base (Hidden)'!$A$2:$Z$1048576,MATCH($C255,'Restaurant Base (Hidden)'!$C$2:$C$1048576,0),MATCH(AB$6,'Restaurant Base (Hidden)'!$A$1:$Z$1,0)),"")</f>
        <v>2</v>
      </c>
      <c r="AC255" s="20" t="str">
        <f>+IFERROR(INDEX('Restaurant Base (Hidden)'!$A$2:$Z$1048576,MATCH($C255,'Restaurant Base (Hidden)'!$C$2:$C$1048576,0),MATCH(AC$6,'Restaurant Base (Hidden)'!$A$1:$Z$1,0)),"")</f>
        <v/>
      </c>
      <c r="AD255" s="65" t="str">
        <f>+IFERROR(INDEX('Restaurant Base (Hidden)'!$A$2:$Z$1048576,MATCH($C255,'Restaurant Base (Hidden)'!$C$2:$C$1048576,0),MATCH(AD$6,'Restaurant Base (Hidden)'!$A$1:$Z$1,0)),"")</f>
        <v>67,20 %</v>
      </c>
      <c r="AE255" s="1">
        <f>+IFERROR(INDEX('Restaurant Base (Hidden)'!$A$2:$Z$1048576,MATCH($C255,'Restaurant Base (Hidden)'!$C$2:$C$1048576,0),MATCH(AE$6,'Restaurant Base (Hidden)'!$A$1:$Z$1,0)),"")</f>
        <v>1</v>
      </c>
      <c r="AF255" s="65" t="str">
        <f>+IFERROR(INDEX('Restaurant Base (Hidden)'!$A$2:$Z$1048576,MATCH($C255,'Restaurant Base (Hidden)'!$C$2:$C$1048576,0),MATCH(AF$6,'Restaurant Base (Hidden)'!$A$1:$Z$1,0)),"")</f>
        <v>71,90 %</v>
      </c>
      <c r="AG255" s="1">
        <f>+IFERROR(INDEX('Restaurant Base (Hidden)'!$A$2:$Z$1048576,MATCH($C255,'Restaurant Base (Hidden)'!$C$2:$C$1048576,0),MATCH(AG$6,'Restaurant Base (Hidden)'!$A$1:$Z$1,0)),"")</f>
        <v>1</v>
      </c>
    </row>
    <row r="256" spans="1:33" x14ac:dyDescent="0.4">
      <c r="A256" s="163" t="str">
        <f>IF('Restaurant Base (Hidden)'!A210=0,"", 'Restaurant Base (Hidden)'!A210)</f>
        <v>Elliot Hawthorne</v>
      </c>
      <c r="B256" s="163" t="str">
        <f>IF('Restaurant Base (Hidden)'!B210=0,"", 'Restaurant Base (Hidden)'!B210)</f>
        <v>Evercrest Restaurants</v>
      </c>
      <c r="C256" s="163" t="str">
        <f>IF('Restaurant Base (Hidden)'!C210=0,"", 'Restaurant Base (Hidden)'!C210)</f>
        <v>Eagle Crescent</v>
      </c>
      <c r="D256" s="104">
        <f t="shared" si="3"/>
        <v>248</v>
      </c>
      <c r="E256" s="105">
        <f>+IFERROR(INDEX('Restaurant Base (Hidden)'!$A$2:$Z$1048576,MATCH($C256,'Restaurant Base (Hidden)'!$C$2:$C$1048576,0),MATCH(E$6,'Restaurant Base (Hidden)'!$A$1:$Z$1,0)),"")</f>
        <v>2.88</v>
      </c>
      <c r="F256" s="2" t="str">
        <f>+IFERROR(INDEX('Restaurant Base (Hidden)'!$A$2:$Z$1048576,MATCH($C256,'Restaurant Base (Hidden)'!$C$2:$C$1048576,0),MATCH(F$6,'Restaurant Base (Hidden)'!$A$1:$Z$1,0)),"")</f>
        <v/>
      </c>
      <c r="G256" s="20" t="str">
        <f>+IFERROR(INDEX('Restaurant Base (Hidden)'!$A$2:$Z$1048576,MATCH($C256,'Restaurant Base (Hidden)'!$C$2:$C$1048576,0),MATCH(G$6,'Restaurant Base (Hidden)'!$A$1:$Z$1,0)),"")</f>
        <v>4,545</v>
      </c>
      <c r="H256" s="50">
        <f>+IFERROR(INDEX('Restaurant Base (Hidden)'!$A$2:$Z$1048576,MATCH($C256,'Restaurant Base (Hidden)'!$C$2:$C$1048576,0),MATCH(H$6,'Restaurant Base (Hidden)'!$A$1:$Z$1,0)),"")</f>
        <v>5</v>
      </c>
      <c r="I256" s="20" t="str">
        <f>+IFERROR(INDEX('Restaurant Base (Hidden)'!$A$2:$Z$1048576,MATCH($C256,'Restaurant Base (Hidden)'!$C$2:$C$1048576,0),MATCH(I$6,'Restaurant Base (Hidden)'!$A$1:$Z$1,0)),"")</f>
        <v>55,40 %</v>
      </c>
      <c r="J256" s="49">
        <f>+IFERROR(INDEX('Restaurant Base (Hidden)'!$A$2:$Z$1048576,MATCH($C256,'Restaurant Base (Hidden)'!$C$2:$C$1048576,0),MATCH(J$6,'Restaurant Base (Hidden)'!$A$1:$Z$1,0)),"")</f>
        <v>1</v>
      </c>
      <c r="K256" s="20" t="str">
        <f>+IFERROR(INDEX('Restaurant Base (Hidden)'!$A$2:$Z$1048576,MATCH($C256,'Restaurant Base (Hidden)'!$C$2:$C$1048576,0),MATCH(K$6,'Restaurant Base (Hidden)'!$A$1:$Z$1,0)),"")</f>
        <v>0,150</v>
      </c>
      <c r="L256" s="51">
        <f>+IFERROR(INDEX('Restaurant Base (Hidden)'!$A$2:$Z$1048576,MATCH($C256,'Restaurant Base (Hidden)'!$C$2:$C$1048576,0),MATCH(L$6,'Restaurant Base (Hidden)'!$A$1:$Z$1,0)),"")</f>
        <v>2</v>
      </c>
      <c r="M256" s="2" t="str">
        <f>+IFERROR(INDEX('Restaurant Base (Hidden)'!$A$2:$Z$1048576,MATCH($C256,'Restaurant Base (Hidden)'!$C$2:$C$1048576,0),MATCH(M$6,'Restaurant Base (Hidden)'!$A$1:$Z$1,0)),"")</f>
        <v/>
      </c>
      <c r="N256" s="234" t="str">
        <f>+IFERROR(INDEX('Restaurant Base (Hidden)'!$A$2:$Z$1048576,MATCH($C256,'Restaurant Base (Hidden)'!$C$2:$C$1048576,0),MATCH(N$6,'Restaurant Base (Hidden)'!$A$1:$Z$1,0)),"")</f>
        <v>84,90 %</v>
      </c>
      <c r="O256" s="1">
        <f>+IFERROR(INDEX('Restaurant Base (Hidden)'!$A$2:$Z$1048576,MATCH($C256,'Restaurant Base (Hidden)'!$C$2:$C$1048576,0),MATCH(O$6,'Restaurant Base (Hidden)'!$A$1:$Z$1,0)),"")</f>
        <v>5</v>
      </c>
      <c r="P256" s="2" t="str">
        <f>+IFERROR(INDEX('Restaurant Base (Hidden)'!$A$2:$Z$1048576,MATCH($C256,'Restaurant Base (Hidden)'!$C$2:$C$1048576,0),MATCH(P$6,'Restaurant Base (Hidden)'!$A$1:$Z$1,0)),"")</f>
        <v/>
      </c>
      <c r="Q256" s="234" t="str">
        <f>+IFERROR(INDEX('Restaurant Base (Hidden)'!$A$2:$Z$1048576,MATCH($C256,'Restaurant Base (Hidden)'!$C$2:$C$1048576,0),MATCH(Q$6,'Restaurant Base (Hidden)'!$A$1:$Z$1,0)),"")</f>
        <v>63,60 %</v>
      </c>
      <c r="R256" s="1">
        <f>+IFERROR(INDEX('Restaurant Base (Hidden)'!$A$2:$Z$1048576,MATCH($C256,'Restaurant Base (Hidden)'!$C$2:$C$1048576,0),MATCH(R$6,'Restaurant Base (Hidden)'!$A$1:$Z$1,0)),"")</f>
        <v>2</v>
      </c>
      <c r="S256" s="2" t="str">
        <f>+IFERROR(INDEX('Restaurant Base (Hidden)'!$A$2:$Z$1048576,MATCH($C256,'Restaurant Base (Hidden)'!$C$2:$C$1048576,0),MATCH(S$6,'Restaurant Base (Hidden)'!$A$1:$Z$1,0)),"")</f>
        <v/>
      </c>
      <c r="T256" s="62">
        <f>+IFERROR(INDEX('Restaurant Base (Hidden)'!$A$2:$Z$1048576,MATCH($C256,'Restaurant Base (Hidden)'!$C$2:$C$1048576,0),MATCH(T$6,'Restaurant Base (Hidden)'!$A$1:$Z$1,0)),"")</f>
        <v>74.3</v>
      </c>
      <c r="U256" s="1">
        <f>+IFERROR(INDEX('Restaurant Base (Hidden)'!$A$2:$Z$1048576,MATCH($C256,'Restaurant Base (Hidden)'!$C$2:$C$1048576,0),MATCH(U$6,'Restaurant Base (Hidden)'!$A$1:$Z$1,0)),"")</f>
        <v>5</v>
      </c>
      <c r="V256" s="2" t="str">
        <f>+IFERROR(INDEX('Restaurant Base (Hidden)'!$A$2:$Z$1048576,MATCH($C256,'Restaurant Base (Hidden)'!$C$2:$C$1048576,0),MATCH(V$6,'Restaurant Base (Hidden)'!$A$1:$Z$1,0)),"")</f>
        <v/>
      </c>
      <c r="W256" s="65" t="str">
        <f>+IFERROR(INDEX('Restaurant Base (Hidden)'!$A$2:$Z$1048576,MATCH($C256,'Restaurant Base (Hidden)'!$C$2:$C$1048576,0),MATCH(W$6,'Restaurant Base (Hidden)'!$A$1:$Z$1,0)),"")</f>
        <v>84,40 %</v>
      </c>
      <c r="X256" s="1">
        <f>+IFERROR(INDEX('Restaurant Base (Hidden)'!$A$2:$Z$1048576,MATCH($C256,'Restaurant Base (Hidden)'!$C$2:$C$1048576,0),MATCH(X$6,'Restaurant Base (Hidden)'!$A$1:$Z$1,0)),"")</f>
        <v>3</v>
      </c>
      <c r="Y256" s="65" t="str">
        <f>+IFERROR(INDEX('Restaurant Base (Hidden)'!$A$2:$Z$1048576,MATCH($C256,'Restaurant Base (Hidden)'!$C$2:$C$1048576,0),MATCH(Y$6,'Restaurant Base (Hidden)'!$A$1:$Z$1,0)),"")</f>
        <v>76,60 %</v>
      </c>
      <c r="Z256" s="106">
        <f>+IFERROR(INDEX('Restaurant Base (Hidden)'!$A$2:$Z$1048576,MATCH($C256,'Restaurant Base (Hidden)'!$C$2:$C$1048576,0),MATCH(Z$6,'Restaurant Base (Hidden)'!$A$1:$Z$1,0)),"")</f>
        <v>2</v>
      </c>
      <c r="AA256" s="65" t="str">
        <f>+IFERROR(INDEX('Restaurant Base (Hidden)'!$A$2:$Z$1048576,MATCH($C256,'Restaurant Base (Hidden)'!$C$2:$C$1048576,0),MATCH(AA$6,'Restaurant Base (Hidden)'!$A$1:$Z$1,0)),"")</f>
        <v>87,90 %</v>
      </c>
      <c r="AB256" s="1">
        <f>+IFERROR(INDEX('Restaurant Base (Hidden)'!$A$2:$Z$1048576,MATCH($C256,'Restaurant Base (Hidden)'!$C$2:$C$1048576,0),MATCH(AB$6,'Restaurant Base (Hidden)'!$A$1:$Z$1,0)),"")</f>
        <v>3</v>
      </c>
      <c r="AC256" s="20" t="str">
        <f>+IFERROR(INDEX('Restaurant Base (Hidden)'!$A$2:$Z$1048576,MATCH($C256,'Restaurant Base (Hidden)'!$C$2:$C$1048576,0),MATCH(AC$6,'Restaurant Base (Hidden)'!$A$1:$Z$1,0)),"")</f>
        <v/>
      </c>
      <c r="AD256" s="65" t="str">
        <f>+IFERROR(INDEX('Restaurant Base (Hidden)'!$A$2:$Z$1048576,MATCH($C256,'Restaurant Base (Hidden)'!$C$2:$C$1048576,0),MATCH(AD$6,'Restaurant Base (Hidden)'!$A$1:$Z$1,0)),"")</f>
        <v>72,70 %</v>
      </c>
      <c r="AE256" s="1">
        <f>+IFERROR(INDEX('Restaurant Base (Hidden)'!$A$2:$Z$1048576,MATCH($C256,'Restaurant Base (Hidden)'!$C$2:$C$1048576,0),MATCH(AE$6,'Restaurant Base (Hidden)'!$A$1:$Z$1,0)),"")</f>
        <v>2</v>
      </c>
      <c r="AF256" s="65" t="str">
        <f>+IFERROR(INDEX('Restaurant Base (Hidden)'!$A$2:$Z$1048576,MATCH($C256,'Restaurant Base (Hidden)'!$C$2:$C$1048576,0),MATCH(AF$6,'Restaurant Base (Hidden)'!$A$1:$Z$1,0)),"")</f>
        <v>58,10 %</v>
      </c>
      <c r="AG256" s="1">
        <f>+IFERROR(INDEX('Restaurant Base (Hidden)'!$A$2:$Z$1048576,MATCH($C256,'Restaurant Base (Hidden)'!$C$2:$C$1048576,0),MATCH(AG$6,'Restaurant Base (Hidden)'!$A$1:$Z$1,0)),"")</f>
        <v>1</v>
      </c>
    </row>
    <row r="257" spans="1:33" x14ac:dyDescent="0.4">
      <c r="A257" s="163" t="str">
        <f>IF('Restaurant Base (Hidden)'!A258=0,"", 'Restaurant Base (Hidden)'!A258)</f>
        <v>Dakota Cavendish</v>
      </c>
      <c r="B257" s="163" t="str">
        <f>IF('Restaurant Base (Hidden)'!B258=0,"", 'Restaurant Base (Hidden)'!B258)</f>
        <v>Crownfield Hospitality</v>
      </c>
      <c r="C257" s="163" t="str">
        <f>IF('Restaurant Base (Hidden)'!C258=0,"", 'Restaurant Base (Hidden)'!C258)</f>
        <v>Sunny Commons</v>
      </c>
      <c r="D257" s="104">
        <f t="shared" si="3"/>
        <v>248</v>
      </c>
      <c r="E257" s="105">
        <f>+IFERROR(INDEX('Restaurant Base (Hidden)'!$A$2:$Z$1048576,MATCH($C257,'Restaurant Base (Hidden)'!$C$2:$C$1048576,0),MATCH(E$6,'Restaurant Base (Hidden)'!$A$1:$Z$1,0)),"")</f>
        <v>2.88</v>
      </c>
      <c r="F257" s="2" t="str">
        <f>+IFERROR(INDEX('Restaurant Base (Hidden)'!$A$2:$Z$1048576,MATCH($C257,'Restaurant Base (Hidden)'!$C$2:$C$1048576,0),MATCH(F$6,'Restaurant Base (Hidden)'!$A$1:$Z$1,0)),"")</f>
        <v/>
      </c>
      <c r="G257" s="20" t="str">
        <f>+IFERROR(INDEX('Restaurant Base (Hidden)'!$A$2:$Z$1048576,MATCH($C257,'Restaurant Base (Hidden)'!$C$2:$C$1048576,0),MATCH(G$6,'Restaurant Base (Hidden)'!$A$1:$Z$1,0)),"")</f>
        <v>4,105</v>
      </c>
      <c r="H257" s="50">
        <f>+IFERROR(INDEX('Restaurant Base (Hidden)'!$A$2:$Z$1048576,MATCH($C257,'Restaurant Base (Hidden)'!$C$2:$C$1048576,0),MATCH(H$6,'Restaurant Base (Hidden)'!$A$1:$Z$1,0)),"")</f>
        <v>2</v>
      </c>
      <c r="I257" s="20" t="str">
        <f>+IFERROR(INDEX('Restaurant Base (Hidden)'!$A$2:$Z$1048576,MATCH($C257,'Restaurant Base (Hidden)'!$C$2:$C$1048576,0),MATCH(I$6,'Restaurant Base (Hidden)'!$A$1:$Z$1,0)),"")</f>
        <v>67,10 %</v>
      </c>
      <c r="J257" s="49">
        <f>+IFERROR(INDEX('Restaurant Base (Hidden)'!$A$2:$Z$1048576,MATCH($C257,'Restaurant Base (Hidden)'!$C$2:$C$1048576,0),MATCH(J$6,'Restaurant Base (Hidden)'!$A$1:$Z$1,0)),"")</f>
        <v>1</v>
      </c>
      <c r="K257" s="20" t="str">
        <f>+IFERROR(INDEX('Restaurant Base (Hidden)'!$A$2:$Z$1048576,MATCH($C257,'Restaurant Base (Hidden)'!$C$2:$C$1048576,0),MATCH(K$6,'Restaurant Base (Hidden)'!$A$1:$Z$1,0)),"")</f>
        <v>0,134</v>
      </c>
      <c r="L257" s="51">
        <f>+IFERROR(INDEX('Restaurant Base (Hidden)'!$A$2:$Z$1048576,MATCH($C257,'Restaurant Base (Hidden)'!$C$2:$C$1048576,0),MATCH(L$6,'Restaurant Base (Hidden)'!$A$1:$Z$1,0)),"")</f>
        <v>2</v>
      </c>
      <c r="M257" s="2" t="str">
        <f>+IFERROR(INDEX('Restaurant Base (Hidden)'!$A$2:$Z$1048576,MATCH($C257,'Restaurant Base (Hidden)'!$C$2:$C$1048576,0),MATCH(M$6,'Restaurant Base (Hidden)'!$A$1:$Z$1,0)),"")</f>
        <v/>
      </c>
      <c r="N257" s="234" t="str">
        <f>+IFERROR(INDEX('Restaurant Base (Hidden)'!$A$2:$Z$1048576,MATCH($C257,'Restaurant Base (Hidden)'!$C$2:$C$1048576,0),MATCH(N$6,'Restaurant Base (Hidden)'!$A$1:$Z$1,0)),"")</f>
        <v>66,40 %</v>
      </c>
      <c r="O257" s="1">
        <f>+IFERROR(INDEX('Restaurant Base (Hidden)'!$A$2:$Z$1048576,MATCH($C257,'Restaurant Base (Hidden)'!$C$2:$C$1048576,0),MATCH(O$6,'Restaurant Base (Hidden)'!$A$1:$Z$1,0)),"")</f>
        <v>3</v>
      </c>
      <c r="P257" s="2" t="str">
        <f>+IFERROR(INDEX('Restaurant Base (Hidden)'!$A$2:$Z$1048576,MATCH($C257,'Restaurant Base (Hidden)'!$C$2:$C$1048576,0),MATCH(P$6,'Restaurant Base (Hidden)'!$A$1:$Z$1,0)),"")</f>
        <v/>
      </c>
      <c r="Q257" s="234" t="str">
        <f>+IFERROR(INDEX('Restaurant Base (Hidden)'!$A$2:$Z$1048576,MATCH($C257,'Restaurant Base (Hidden)'!$C$2:$C$1048576,0),MATCH(Q$6,'Restaurant Base (Hidden)'!$A$1:$Z$1,0)),"")</f>
        <v>76,10 %</v>
      </c>
      <c r="R257" s="1">
        <f>+IFERROR(INDEX('Restaurant Base (Hidden)'!$A$2:$Z$1048576,MATCH($C257,'Restaurant Base (Hidden)'!$C$2:$C$1048576,0),MATCH(R$6,'Restaurant Base (Hidden)'!$A$1:$Z$1,0)),"")</f>
        <v>5</v>
      </c>
      <c r="S257" s="2" t="str">
        <f>+IFERROR(INDEX('Restaurant Base (Hidden)'!$A$2:$Z$1048576,MATCH($C257,'Restaurant Base (Hidden)'!$C$2:$C$1048576,0),MATCH(S$6,'Restaurant Base (Hidden)'!$A$1:$Z$1,0)),"")</f>
        <v/>
      </c>
      <c r="T257" s="62">
        <f>+IFERROR(INDEX('Restaurant Base (Hidden)'!$A$2:$Z$1048576,MATCH($C257,'Restaurant Base (Hidden)'!$C$2:$C$1048576,0),MATCH(T$6,'Restaurant Base (Hidden)'!$A$1:$Z$1,0)),"")</f>
        <v>65.900000000000006</v>
      </c>
      <c r="U257" s="1">
        <f>+IFERROR(INDEX('Restaurant Base (Hidden)'!$A$2:$Z$1048576,MATCH($C257,'Restaurant Base (Hidden)'!$C$2:$C$1048576,0),MATCH(U$6,'Restaurant Base (Hidden)'!$A$1:$Z$1,0)),"")</f>
        <v>4</v>
      </c>
      <c r="V257" s="2" t="str">
        <f>+IFERROR(INDEX('Restaurant Base (Hidden)'!$A$2:$Z$1048576,MATCH($C257,'Restaurant Base (Hidden)'!$C$2:$C$1048576,0),MATCH(V$6,'Restaurant Base (Hidden)'!$A$1:$Z$1,0)),"")</f>
        <v/>
      </c>
      <c r="W257" s="65" t="str">
        <f>+IFERROR(INDEX('Restaurant Base (Hidden)'!$A$2:$Z$1048576,MATCH($C257,'Restaurant Base (Hidden)'!$C$2:$C$1048576,0),MATCH(W$6,'Restaurant Base (Hidden)'!$A$1:$Z$1,0)),"")</f>
        <v>85,60 %</v>
      </c>
      <c r="X257" s="1">
        <f>+IFERROR(INDEX('Restaurant Base (Hidden)'!$A$2:$Z$1048576,MATCH($C257,'Restaurant Base (Hidden)'!$C$2:$C$1048576,0),MATCH(X$6,'Restaurant Base (Hidden)'!$A$1:$Z$1,0)),"")</f>
        <v>3</v>
      </c>
      <c r="Y257" s="65" t="str">
        <f>+IFERROR(INDEX('Restaurant Base (Hidden)'!$A$2:$Z$1048576,MATCH($C257,'Restaurant Base (Hidden)'!$C$2:$C$1048576,0),MATCH(Y$6,'Restaurant Base (Hidden)'!$A$1:$Z$1,0)),"")</f>
        <v>65,50 %</v>
      </c>
      <c r="Z257" s="106">
        <f>+IFERROR(INDEX('Restaurant Base (Hidden)'!$A$2:$Z$1048576,MATCH($C257,'Restaurant Base (Hidden)'!$C$2:$C$1048576,0),MATCH(Z$6,'Restaurant Base (Hidden)'!$A$1:$Z$1,0)),"")</f>
        <v>2</v>
      </c>
      <c r="AA257" s="65" t="str">
        <f>+IFERROR(INDEX('Restaurant Base (Hidden)'!$A$2:$Z$1048576,MATCH($C257,'Restaurant Base (Hidden)'!$C$2:$C$1048576,0),MATCH(AA$6,'Restaurant Base (Hidden)'!$A$1:$Z$1,0)),"")</f>
        <v>87,90 %</v>
      </c>
      <c r="AB257" s="1">
        <f>+IFERROR(INDEX('Restaurant Base (Hidden)'!$A$2:$Z$1048576,MATCH($C257,'Restaurant Base (Hidden)'!$C$2:$C$1048576,0),MATCH(AB$6,'Restaurant Base (Hidden)'!$A$1:$Z$1,0)),"")</f>
        <v>3</v>
      </c>
      <c r="AC257" s="20" t="str">
        <f>+IFERROR(INDEX('Restaurant Base (Hidden)'!$A$2:$Z$1048576,MATCH($C257,'Restaurant Base (Hidden)'!$C$2:$C$1048576,0),MATCH(AC$6,'Restaurant Base (Hidden)'!$A$1:$Z$1,0)),"")</f>
        <v/>
      </c>
      <c r="AD257" s="65" t="str">
        <f>+IFERROR(INDEX('Restaurant Base (Hidden)'!$A$2:$Z$1048576,MATCH($C257,'Restaurant Base (Hidden)'!$C$2:$C$1048576,0),MATCH(AD$6,'Restaurant Base (Hidden)'!$A$1:$Z$1,0)),"")</f>
        <v>66,90 %</v>
      </c>
      <c r="AE257" s="1">
        <f>+IFERROR(INDEX('Restaurant Base (Hidden)'!$A$2:$Z$1048576,MATCH($C257,'Restaurant Base (Hidden)'!$C$2:$C$1048576,0),MATCH(AE$6,'Restaurant Base (Hidden)'!$A$1:$Z$1,0)),"")</f>
        <v>1</v>
      </c>
      <c r="AF257" s="65" t="str">
        <f>+IFERROR(INDEX('Restaurant Base (Hidden)'!$A$2:$Z$1048576,MATCH($C257,'Restaurant Base (Hidden)'!$C$2:$C$1048576,0),MATCH(AF$6,'Restaurant Base (Hidden)'!$A$1:$Z$1,0)),"")</f>
        <v>97,40 %</v>
      </c>
      <c r="AG257" s="1">
        <f>+IFERROR(INDEX('Restaurant Base (Hidden)'!$A$2:$Z$1048576,MATCH($C257,'Restaurant Base (Hidden)'!$C$2:$C$1048576,0),MATCH(AG$6,'Restaurant Base (Hidden)'!$A$1:$Z$1,0)),"")</f>
        <v>4</v>
      </c>
    </row>
    <row r="258" spans="1:33" x14ac:dyDescent="0.4">
      <c r="A258" s="163" t="str">
        <f>IF('Restaurant Base (Hidden)'!A385=0,"", 'Restaurant Base (Hidden)'!A385)</f>
        <v>Finley Kensington</v>
      </c>
      <c r="B258" s="163" t="str">
        <f>IF('Restaurant Base (Hidden)'!B385=0,"", 'Restaurant Base (Hidden)'!B385)</f>
        <v>Lakeshore Food Partners</v>
      </c>
      <c r="C258" s="163" t="str">
        <f>IF('Restaurant Base (Hidden)'!C385=0,"", 'Restaurant Base (Hidden)'!C385)</f>
        <v>Northvale Boulevard</v>
      </c>
      <c r="D258" s="104">
        <f t="shared" si="3"/>
        <v>248</v>
      </c>
      <c r="E258" s="105">
        <f>+IFERROR(INDEX('Restaurant Base (Hidden)'!$A$2:$Z$1048576,MATCH($C258,'Restaurant Base (Hidden)'!$C$2:$C$1048576,0),MATCH(E$6,'Restaurant Base (Hidden)'!$A$1:$Z$1,0)),"")</f>
        <v>2.88</v>
      </c>
      <c r="F258" s="2" t="str">
        <f>+IFERROR(INDEX('Restaurant Base (Hidden)'!$A$2:$Z$1048576,MATCH($C258,'Restaurant Base (Hidden)'!$C$2:$C$1048576,0),MATCH(F$6,'Restaurant Base (Hidden)'!$A$1:$Z$1,0)),"")</f>
        <v/>
      </c>
      <c r="G258" s="20" t="str">
        <f>+IFERROR(INDEX('Restaurant Base (Hidden)'!$A$2:$Z$1048576,MATCH($C258,'Restaurant Base (Hidden)'!$C$2:$C$1048576,0),MATCH(G$6,'Restaurant Base (Hidden)'!$A$1:$Z$1,0)),"")</f>
        <v>4,770</v>
      </c>
      <c r="H258" s="50">
        <f>+IFERROR(INDEX('Restaurant Base (Hidden)'!$A$2:$Z$1048576,MATCH($C258,'Restaurant Base (Hidden)'!$C$2:$C$1048576,0),MATCH(H$6,'Restaurant Base (Hidden)'!$A$1:$Z$1,0)),"")</f>
        <v>5</v>
      </c>
      <c r="I258" s="20" t="str">
        <f>+IFERROR(INDEX('Restaurant Base (Hidden)'!$A$2:$Z$1048576,MATCH($C258,'Restaurant Base (Hidden)'!$C$2:$C$1048576,0),MATCH(I$6,'Restaurant Base (Hidden)'!$A$1:$Z$1,0)),"")</f>
        <v>93,90 %</v>
      </c>
      <c r="J258" s="49">
        <f>+IFERROR(INDEX('Restaurant Base (Hidden)'!$A$2:$Z$1048576,MATCH($C258,'Restaurant Base (Hidden)'!$C$2:$C$1048576,0),MATCH(J$6,'Restaurant Base (Hidden)'!$A$1:$Z$1,0)),"")</f>
        <v>4</v>
      </c>
      <c r="K258" s="20" t="str">
        <f>+IFERROR(INDEX('Restaurant Base (Hidden)'!$A$2:$Z$1048576,MATCH($C258,'Restaurant Base (Hidden)'!$C$2:$C$1048576,0),MATCH(K$6,'Restaurant Base (Hidden)'!$A$1:$Z$1,0)),"")</f>
        <v>0,214</v>
      </c>
      <c r="L258" s="51">
        <f>+IFERROR(INDEX('Restaurant Base (Hidden)'!$A$2:$Z$1048576,MATCH($C258,'Restaurant Base (Hidden)'!$C$2:$C$1048576,0),MATCH(L$6,'Restaurant Base (Hidden)'!$A$1:$Z$1,0)),"")</f>
        <v>1</v>
      </c>
      <c r="M258" s="2" t="str">
        <f>+IFERROR(INDEX('Restaurant Base (Hidden)'!$A$2:$Z$1048576,MATCH($C258,'Restaurant Base (Hidden)'!$C$2:$C$1048576,0),MATCH(M$6,'Restaurant Base (Hidden)'!$A$1:$Z$1,0)),"")</f>
        <v/>
      </c>
      <c r="N258" s="234" t="str">
        <f>+IFERROR(INDEX('Restaurant Base (Hidden)'!$A$2:$Z$1048576,MATCH($C258,'Restaurant Base (Hidden)'!$C$2:$C$1048576,0),MATCH(N$6,'Restaurant Base (Hidden)'!$A$1:$Z$1,0)),"")</f>
        <v>67,00 %</v>
      </c>
      <c r="O258" s="1">
        <f>+IFERROR(INDEX('Restaurant Base (Hidden)'!$A$2:$Z$1048576,MATCH($C258,'Restaurant Base (Hidden)'!$C$2:$C$1048576,0),MATCH(O$6,'Restaurant Base (Hidden)'!$A$1:$Z$1,0)),"")</f>
        <v>3</v>
      </c>
      <c r="P258" s="2" t="str">
        <f>+IFERROR(INDEX('Restaurant Base (Hidden)'!$A$2:$Z$1048576,MATCH($C258,'Restaurant Base (Hidden)'!$C$2:$C$1048576,0),MATCH(P$6,'Restaurant Base (Hidden)'!$A$1:$Z$1,0)),"")</f>
        <v/>
      </c>
      <c r="Q258" s="234" t="str">
        <f>+IFERROR(INDEX('Restaurant Base (Hidden)'!$A$2:$Z$1048576,MATCH($C258,'Restaurant Base (Hidden)'!$C$2:$C$1048576,0),MATCH(Q$6,'Restaurant Base (Hidden)'!$A$1:$Z$1,0)),"")</f>
        <v>62,30 %</v>
      </c>
      <c r="R258" s="1">
        <f>+IFERROR(INDEX('Restaurant Base (Hidden)'!$A$2:$Z$1048576,MATCH($C258,'Restaurant Base (Hidden)'!$C$2:$C$1048576,0),MATCH(R$6,'Restaurant Base (Hidden)'!$A$1:$Z$1,0)),"")</f>
        <v>2</v>
      </c>
      <c r="S258" s="2" t="str">
        <f>+IFERROR(INDEX('Restaurant Base (Hidden)'!$A$2:$Z$1048576,MATCH($C258,'Restaurant Base (Hidden)'!$C$2:$C$1048576,0),MATCH(S$6,'Restaurant Base (Hidden)'!$A$1:$Z$1,0)),"")</f>
        <v/>
      </c>
      <c r="T258" s="62">
        <f>+IFERROR(INDEX('Restaurant Base (Hidden)'!$A$2:$Z$1048576,MATCH($C258,'Restaurant Base (Hidden)'!$C$2:$C$1048576,0),MATCH(T$6,'Restaurant Base (Hidden)'!$A$1:$Z$1,0)),"")</f>
        <v>65.3</v>
      </c>
      <c r="U258" s="1">
        <f>+IFERROR(INDEX('Restaurant Base (Hidden)'!$A$2:$Z$1048576,MATCH($C258,'Restaurant Base (Hidden)'!$C$2:$C$1048576,0),MATCH(U$6,'Restaurant Base (Hidden)'!$A$1:$Z$1,0)),"")</f>
        <v>4</v>
      </c>
      <c r="V258" s="2" t="str">
        <f>+IFERROR(INDEX('Restaurant Base (Hidden)'!$A$2:$Z$1048576,MATCH($C258,'Restaurant Base (Hidden)'!$C$2:$C$1048576,0),MATCH(V$6,'Restaurant Base (Hidden)'!$A$1:$Z$1,0)),"")</f>
        <v/>
      </c>
      <c r="W258" s="65" t="str">
        <f>+IFERROR(INDEX('Restaurant Base (Hidden)'!$A$2:$Z$1048576,MATCH($C258,'Restaurant Base (Hidden)'!$C$2:$C$1048576,0),MATCH(W$6,'Restaurant Base (Hidden)'!$A$1:$Z$1,0)),"")</f>
        <v>84,00 %</v>
      </c>
      <c r="X258" s="1">
        <f>+IFERROR(INDEX('Restaurant Base (Hidden)'!$A$2:$Z$1048576,MATCH($C258,'Restaurant Base (Hidden)'!$C$2:$C$1048576,0),MATCH(X$6,'Restaurant Base (Hidden)'!$A$1:$Z$1,0)),"")</f>
        <v>3</v>
      </c>
      <c r="Y258" s="65" t="str">
        <f>+IFERROR(INDEX('Restaurant Base (Hidden)'!$A$2:$Z$1048576,MATCH($C258,'Restaurant Base (Hidden)'!$C$2:$C$1048576,0),MATCH(Y$6,'Restaurant Base (Hidden)'!$A$1:$Z$1,0)),"")</f>
        <v>85,10 %</v>
      </c>
      <c r="Z258" s="106">
        <f>+IFERROR(INDEX('Restaurant Base (Hidden)'!$A$2:$Z$1048576,MATCH($C258,'Restaurant Base (Hidden)'!$C$2:$C$1048576,0),MATCH(Z$6,'Restaurant Base (Hidden)'!$A$1:$Z$1,0)),"")</f>
        <v>3</v>
      </c>
      <c r="AA258" s="65" t="str">
        <f>+IFERROR(INDEX('Restaurant Base (Hidden)'!$A$2:$Z$1048576,MATCH($C258,'Restaurant Base (Hidden)'!$C$2:$C$1048576,0),MATCH(AA$6,'Restaurant Base (Hidden)'!$A$1:$Z$1,0)),"")</f>
        <v>73,60 %</v>
      </c>
      <c r="AB258" s="1">
        <f>+IFERROR(INDEX('Restaurant Base (Hidden)'!$A$2:$Z$1048576,MATCH($C258,'Restaurant Base (Hidden)'!$C$2:$C$1048576,0),MATCH(AB$6,'Restaurant Base (Hidden)'!$A$1:$Z$1,0)),"")</f>
        <v>2</v>
      </c>
      <c r="AC258" s="20" t="str">
        <f>+IFERROR(INDEX('Restaurant Base (Hidden)'!$A$2:$Z$1048576,MATCH($C258,'Restaurant Base (Hidden)'!$C$2:$C$1048576,0),MATCH(AC$6,'Restaurant Base (Hidden)'!$A$1:$Z$1,0)),"")</f>
        <v/>
      </c>
      <c r="AD258" s="65" t="str">
        <f>+IFERROR(INDEX('Restaurant Base (Hidden)'!$A$2:$Z$1048576,MATCH($C258,'Restaurant Base (Hidden)'!$C$2:$C$1048576,0),MATCH(AD$6,'Restaurant Base (Hidden)'!$A$1:$Z$1,0)),"")</f>
        <v>81,00 %</v>
      </c>
      <c r="AE258" s="1">
        <f>+IFERROR(INDEX('Restaurant Base (Hidden)'!$A$2:$Z$1048576,MATCH($C258,'Restaurant Base (Hidden)'!$C$2:$C$1048576,0),MATCH(AE$6,'Restaurant Base (Hidden)'!$A$1:$Z$1,0)),"")</f>
        <v>2</v>
      </c>
      <c r="AF258" s="65" t="str">
        <f>+IFERROR(INDEX('Restaurant Base (Hidden)'!$A$2:$Z$1048576,MATCH($C258,'Restaurant Base (Hidden)'!$C$2:$C$1048576,0),MATCH(AF$6,'Restaurant Base (Hidden)'!$A$1:$Z$1,0)),"")</f>
        <v>79,40 %</v>
      </c>
      <c r="AG258" s="1">
        <f>+IFERROR(INDEX('Restaurant Base (Hidden)'!$A$2:$Z$1048576,MATCH($C258,'Restaurant Base (Hidden)'!$C$2:$C$1048576,0),MATCH(AG$6,'Restaurant Base (Hidden)'!$A$1:$Z$1,0)),"")</f>
        <v>2</v>
      </c>
    </row>
    <row r="259" spans="1:33" x14ac:dyDescent="0.4">
      <c r="A259" s="163" t="str">
        <f>IF('Restaurant Base (Hidden)'!A214=0,"", 'Restaurant Base (Hidden)'!A214)</f>
        <v>Jamie Northcott</v>
      </c>
      <c r="B259" s="163" t="str">
        <f>IF('Restaurant Base (Hidden)'!B214=0,"", 'Restaurant Base (Hidden)'!B214)</f>
        <v>Stonebridge Restaurant Co</v>
      </c>
      <c r="C259" s="163" t="str">
        <f>IF('Restaurant Base (Hidden)'!C214=0,"", 'Restaurant Base (Hidden)'!C214)</f>
        <v>Crestfield Park</v>
      </c>
      <c r="D259" s="104">
        <f t="shared" si="3"/>
        <v>253</v>
      </c>
      <c r="E259" s="105">
        <f>+IFERROR(INDEX('Restaurant Base (Hidden)'!$A$2:$Z$1048576,MATCH($C259,'Restaurant Base (Hidden)'!$C$2:$C$1048576,0),MATCH(E$6,'Restaurant Base (Hidden)'!$A$1:$Z$1,0)),"")</f>
        <v>2.87</v>
      </c>
      <c r="F259" s="2" t="str">
        <f>+IFERROR(INDEX('Restaurant Base (Hidden)'!$A$2:$Z$1048576,MATCH($C259,'Restaurant Base (Hidden)'!$C$2:$C$1048576,0),MATCH(F$6,'Restaurant Base (Hidden)'!$A$1:$Z$1,0)),"")</f>
        <v/>
      </c>
      <c r="G259" s="20" t="str">
        <f>+IFERROR(INDEX('Restaurant Base (Hidden)'!$A$2:$Z$1048576,MATCH($C259,'Restaurant Base (Hidden)'!$C$2:$C$1048576,0),MATCH(G$6,'Restaurant Base (Hidden)'!$A$1:$Z$1,0)),"")</f>
        <v>4,263</v>
      </c>
      <c r="H259" s="50">
        <f>+IFERROR(INDEX('Restaurant Base (Hidden)'!$A$2:$Z$1048576,MATCH($C259,'Restaurant Base (Hidden)'!$C$2:$C$1048576,0),MATCH(H$6,'Restaurant Base (Hidden)'!$A$1:$Z$1,0)),"")</f>
        <v>3</v>
      </c>
      <c r="I259" s="20" t="str">
        <f>+IFERROR(INDEX('Restaurant Base (Hidden)'!$A$2:$Z$1048576,MATCH($C259,'Restaurant Base (Hidden)'!$C$2:$C$1048576,0),MATCH(I$6,'Restaurant Base (Hidden)'!$A$1:$Z$1,0)),"")</f>
        <v>73,20 %</v>
      </c>
      <c r="J259" s="49">
        <f>+IFERROR(INDEX('Restaurant Base (Hidden)'!$A$2:$Z$1048576,MATCH($C259,'Restaurant Base (Hidden)'!$C$2:$C$1048576,0),MATCH(J$6,'Restaurant Base (Hidden)'!$A$1:$Z$1,0)),"")</f>
        <v>1</v>
      </c>
      <c r="K259" s="20" t="str">
        <f>+IFERROR(INDEX('Restaurant Base (Hidden)'!$A$2:$Z$1048576,MATCH($C259,'Restaurant Base (Hidden)'!$C$2:$C$1048576,0),MATCH(K$6,'Restaurant Base (Hidden)'!$A$1:$Z$1,0)),"")</f>
        <v>0,169</v>
      </c>
      <c r="L259" s="51">
        <f>+IFERROR(INDEX('Restaurant Base (Hidden)'!$A$2:$Z$1048576,MATCH($C259,'Restaurant Base (Hidden)'!$C$2:$C$1048576,0),MATCH(L$6,'Restaurant Base (Hidden)'!$A$1:$Z$1,0)),"")</f>
        <v>2</v>
      </c>
      <c r="M259" s="2" t="str">
        <f>+IFERROR(INDEX('Restaurant Base (Hidden)'!$A$2:$Z$1048576,MATCH($C259,'Restaurant Base (Hidden)'!$C$2:$C$1048576,0),MATCH(M$6,'Restaurant Base (Hidden)'!$A$1:$Z$1,0)),"")</f>
        <v/>
      </c>
      <c r="N259" s="234" t="str">
        <f>+IFERROR(INDEX('Restaurant Base (Hidden)'!$A$2:$Z$1048576,MATCH($C259,'Restaurant Base (Hidden)'!$C$2:$C$1048576,0),MATCH(N$6,'Restaurant Base (Hidden)'!$A$1:$Z$1,0)),"")</f>
        <v>89,00 %</v>
      </c>
      <c r="O259" s="1">
        <f>+IFERROR(INDEX('Restaurant Base (Hidden)'!$A$2:$Z$1048576,MATCH($C259,'Restaurant Base (Hidden)'!$C$2:$C$1048576,0),MATCH(O$6,'Restaurant Base (Hidden)'!$A$1:$Z$1,0)),"")</f>
        <v>5</v>
      </c>
      <c r="P259" s="2" t="str">
        <f>+IFERROR(INDEX('Restaurant Base (Hidden)'!$A$2:$Z$1048576,MATCH($C259,'Restaurant Base (Hidden)'!$C$2:$C$1048576,0),MATCH(P$6,'Restaurant Base (Hidden)'!$A$1:$Z$1,0)),"")</f>
        <v/>
      </c>
      <c r="Q259" s="234" t="str">
        <f>+IFERROR(INDEX('Restaurant Base (Hidden)'!$A$2:$Z$1048576,MATCH($C259,'Restaurant Base (Hidden)'!$C$2:$C$1048576,0),MATCH(Q$6,'Restaurant Base (Hidden)'!$A$1:$Z$1,0)),"")</f>
        <v>72,40 %</v>
      </c>
      <c r="R259" s="1">
        <f>+IFERROR(INDEX('Restaurant Base (Hidden)'!$A$2:$Z$1048576,MATCH($C259,'Restaurant Base (Hidden)'!$C$2:$C$1048576,0),MATCH(R$6,'Restaurant Base (Hidden)'!$A$1:$Z$1,0)),"")</f>
        <v>4</v>
      </c>
      <c r="S259" s="2" t="str">
        <f>+IFERROR(INDEX('Restaurant Base (Hidden)'!$A$2:$Z$1048576,MATCH($C259,'Restaurant Base (Hidden)'!$C$2:$C$1048576,0),MATCH(S$6,'Restaurant Base (Hidden)'!$A$1:$Z$1,0)),"")</f>
        <v/>
      </c>
      <c r="T259" s="62">
        <f>+IFERROR(INDEX('Restaurant Base (Hidden)'!$A$2:$Z$1048576,MATCH($C259,'Restaurant Base (Hidden)'!$C$2:$C$1048576,0),MATCH(T$6,'Restaurant Base (Hidden)'!$A$1:$Z$1,0)),"")</f>
        <v>66.900000000000006</v>
      </c>
      <c r="U259" s="1">
        <f>+IFERROR(INDEX('Restaurant Base (Hidden)'!$A$2:$Z$1048576,MATCH($C259,'Restaurant Base (Hidden)'!$C$2:$C$1048576,0),MATCH(U$6,'Restaurant Base (Hidden)'!$A$1:$Z$1,0)),"")</f>
        <v>4</v>
      </c>
      <c r="V259" s="2" t="str">
        <f>+IFERROR(INDEX('Restaurant Base (Hidden)'!$A$2:$Z$1048576,MATCH($C259,'Restaurant Base (Hidden)'!$C$2:$C$1048576,0),MATCH(V$6,'Restaurant Base (Hidden)'!$A$1:$Z$1,0)),"")</f>
        <v/>
      </c>
      <c r="W259" s="65" t="str">
        <f>+IFERROR(INDEX('Restaurant Base (Hidden)'!$A$2:$Z$1048576,MATCH($C259,'Restaurant Base (Hidden)'!$C$2:$C$1048576,0),MATCH(W$6,'Restaurant Base (Hidden)'!$A$1:$Z$1,0)),"")</f>
        <v>73,00 %</v>
      </c>
      <c r="X259" s="1">
        <f>+IFERROR(INDEX('Restaurant Base (Hidden)'!$A$2:$Z$1048576,MATCH($C259,'Restaurant Base (Hidden)'!$C$2:$C$1048576,0),MATCH(X$6,'Restaurant Base (Hidden)'!$A$1:$Z$1,0)),"")</f>
        <v>2</v>
      </c>
      <c r="Y259" s="65" t="str">
        <f>+IFERROR(INDEX('Restaurant Base (Hidden)'!$A$2:$Z$1048576,MATCH($C259,'Restaurant Base (Hidden)'!$C$2:$C$1048576,0),MATCH(Y$6,'Restaurant Base (Hidden)'!$A$1:$Z$1,0)),"")</f>
        <v>66,80 %</v>
      </c>
      <c r="Z259" s="106">
        <f>+IFERROR(INDEX('Restaurant Base (Hidden)'!$A$2:$Z$1048576,MATCH($C259,'Restaurant Base (Hidden)'!$C$2:$C$1048576,0),MATCH(Z$6,'Restaurant Base (Hidden)'!$A$1:$Z$1,0)),"")</f>
        <v>2</v>
      </c>
      <c r="AA259" s="65" t="str">
        <f>+IFERROR(INDEX('Restaurant Base (Hidden)'!$A$2:$Z$1048576,MATCH($C259,'Restaurant Base (Hidden)'!$C$2:$C$1048576,0),MATCH(AA$6,'Restaurant Base (Hidden)'!$A$1:$Z$1,0)),"")</f>
        <v>65,00 %</v>
      </c>
      <c r="AB259" s="1">
        <f>+IFERROR(INDEX('Restaurant Base (Hidden)'!$A$2:$Z$1048576,MATCH($C259,'Restaurant Base (Hidden)'!$C$2:$C$1048576,0),MATCH(AB$6,'Restaurant Base (Hidden)'!$A$1:$Z$1,0)),"")</f>
        <v>2</v>
      </c>
      <c r="AC259" s="20" t="str">
        <f>+IFERROR(INDEX('Restaurant Base (Hidden)'!$A$2:$Z$1048576,MATCH($C259,'Restaurant Base (Hidden)'!$C$2:$C$1048576,0),MATCH(AC$6,'Restaurant Base (Hidden)'!$A$1:$Z$1,0)),"")</f>
        <v/>
      </c>
      <c r="AD259" s="65" t="str">
        <f>+IFERROR(INDEX('Restaurant Base (Hidden)'!$A$2:$Z$1048576,MATCH($C259,'Restaurant Base (Hidden)'!$C$2:$C$1048576,0),MATCH(AD$6,'Restaurant Base (Hidden)'!$A$1:$Z$1,0)),"")</f>
        <v>85,70 %</v>
      </c>
      <c r="AE259" s="1">
        <f>+IFERROR(INDEX('Restaurant Base (Hidden)'!$A$2:$Z$1048576,MATCH($C259,'Restaurant Base (Hidden)'!$C$2:$C$1048576,0),MATCH(AE$6,'Restaurant Base (Hidden)'!$A$1:$Z$1,0)),"")</f>
        <v>3</v>
      </c>
      <c r="AF259" s="65" t="str">
        <f>+IFERROR(INDEX('Restaurant Base (Hidden)'!$A$2:$Z$1048576,MATCH($C259,'Restaurant Base (Hidden)'!$C$2:$C$1048576,0),MATCH(AF$6,'Restaurant Base (Hidden)'!$A$1:$Z$1,0)),"")</f>
        <v>69,00 %</v>
      </c>
      <c r="AG259" s="1">
        <f>+IFERROR(INDEX('Restaurant Base (Hidden)'!$A$2:$Z$1048576,MATCH($C259,'Restaurant Base (Hidden)'!$C$2:$C$1048576,0),MATCH(AG$6,'Restaurant Base (Hidden)'!$A$1:$Z$1,0)),"")</f>
        <v>1</v>
      </c>
    </row>
    <row r="260" spans="1:33" x14ac:dyDescent="0.4">
      <c r="A260" s="163" t="str">
        <f>IF('Restaurant Base (Hidden)'!A56=0,"", 'Restaurant Base (Hidden)'!A56)</f>
        <v>Marlowe Ellington</v>
      </c>
      <c r="B260" s="163" t="str">
        <f>IF('Restaurant Base (Hidden)'!B56=0,"", 'Restaurant Base (Hidden)'!B56)</f>
        <v>Redwood Food Partners</v>
      </c>
      <c r="C260" s="163" t="str">
        <f>IF('Restaurant Base (Hidden)'!C56=0,"", 'Restaurant Base (Hidden)'!C56)</f>
        <v>Cedar Ridge</v>
      </c>
      <c r="D260" s="104">
        <f t="shared" si="3"/>
        <v>254</v>
      </c>
      <c r="E260" s="105">
        <f>+IFERROR(INDEX('Restaurant Base (Hidden)'!$A$2:$Z$1048576,MATCH($C260,'Restaurant Base (Hidden)'!$C$2:$C$1048576,0),MATCH(E$6,'Restaurant Base (Hidden)'!$A$1:$Z$1,0)),"")</f>
        <v>2.86</v>
      </c>
      <c r="F260" s="64" t="str">
        <f>+IFERROR(INDEX('Restaurant Base (Hidden)'!$A$2:$Z$1048576,MATCH($C260,'Restaurant Base (Hidden)'!$C$2:$C$1048576,0),MATCH(F$6,'Restaurant Base (Hidden)'!$A$1:$Z$1,0)),"")</f>
        <v/>
      </c>
      <c r="G260" s="20" t="str">
        <f>+IFERROR(INDEX('Restaurant Base (Hidden)'!$A$2:$Z$1048576,MATCH($C260,'Restaurant Base (Hidden)'!$C$2:$C$1048576,0),MATCH(G$6,'Restaurant Base (Hidden)'!$A$1:$Z$1,0)),"")</f>
        <v>4,010</v>
      </c>
      <c r="H260" s="50">
        <f>+IFERROR(INDEX('Restaurant Base (Hidden)'!$A$2:$Z$1048576,MATCH($C260,'Restaurant Base (Hidden)'!$C$2:$C$1048576,0),MATCH(H$6,'Restaurant Base (Hidden)'!$A$1:$Z$1,0)),"")</f>
        <v>1</v>
      </c>
      <c r="I260" s="20" t="str">
        <f>+IFERROR(INDEX('Restaurant Base (Hidden)'!$A$2:$Z$1048576,MATCH($C260,'Restaurant Base (Hidden)'!$C$2:$C$1048576,0),MATCH(I$6,'Restaurant Base (Hidden)'!$A$1:$Z$1,0)),"")</f>
        <v>77,00 %</v>
      </c>
      <c r="J260" s="49">
        <f>+IFERROR(INDEX('Restaurant Base (Hidden)'!$A$2:$Z$1048576,MATCH($C260,'Restaurant Base (Hidden)'!$C$2:$C$1048576,0),MATCH(J$6,'Restaurant Base (Hidden)'!$A$1:$Z$1,0)),"")</f>
        <v>1</v>
      </c>
      <c r="K260" s="20" t="str">
        <f>+IFERROR(INDEX('Restaurant Base (Hidden)'!$A$2:$Z$1048576,MATCH($C260,'Restaurant Base (Hidden)'!$C$2:$C$1048576,0),MATCH(K$6,'Restaurant Base (Hidden)'!$A$1:$Z$1,0)),"")</f>
        <v>0,107</v>
      </c>
      <c r="L260" s="51">
        <f>+IFERROR(INDEX('Restaurant Base (Hidden)'!$A$2:$Z$1048576,MATCH($C260,'Restaurant Base (Hidden)'!$C$2:$C$1048576,0),MATCH(L$6,'Restaurant Base (Hidden)'!$A$1:$Z$1,0)),"")</f>
        <v>3</v>
      </c>
      <c r="M260" s="2" t="str">
        <f>+IFERROR(INDEX('Restaurant Base (Hidden)'!$A$2:$Z$1048576,MATCH($C260,'Restaurant Base (Hidden)'!$C$2:$C$1048576,0),MATCH(M$6,'Restaurant Base (Hidden)'!$A$1:$Z$1,0)),"")</f>
        <v/>
      </c>
      <c r="N260" s="234" t="str">
        <f>+IFERROR(INDEX('Restaurant Base (Hidden)'!$A$2:$Z$1048576,MATCH($C260,'Restaurant Base (Hidden)'!$C$2:$C$1048576,0),MATCH(N$6,'Restaurant Base (Hidden)'!$A$1:$Z$1,0)),"")</f>
        <v>72,00 %</v>
      </c>
      <c r="O260" s="1">
        <f>+IFERROR(INDEX('Restaurant Base (Hidden)'!$A$2:$Z$1048576,MATCH($C260,'Restaurant Base (Hidden)'!$C$2:$C$1048576,0),MATCH(O$6,'Restaurant Base (Hidden)'!$A$1:$Z$1,0)),"")</f>
        <v>5</v>
      </c>
      <c r="P260" s="2" t="str">
        <f>+IFERROR(INDEX('Restaurant Base (Hidden)'!$A$2:$Z$1048576,MATCH($C260,'Restaurant Base (Hidden)'!$C$2:$C$1048576,0),MATCH(P$6,'Restaurant Base (Hidden)'!$A$1:$Z$1,0)),"")</f>
        <v/>
      </c>
      <c r="Q260" s="234" t="str">
        <f>+IFERROR(INDEX('Restaurant Base (Hidden)'!$A$2:$Z$1048576,MATCH($C260,'Restaurant Base (Hidden)'!$C$2:$C$1048576,0),MATCH(Q$6,'Restaurant Base (Hidden)'!$A$1:$Z$1,0)),"")</f>
        <v>89,30 %</v>
      </c>
      <c r="R260" s="1">
        <f>+IFERROR(INDEX('Restaurant Base (Hidden)'!$A$2:$Z$1048576,MATCH($C260,'Restaurant Base (Hidden)'!$C$2:$C$1048576,0),MATCH(R$6,'Restaurant Base (Hidden)'!$A$1:$Z$1,0)),"")</f>
        <v>5</v>
      </c>
      <c r="S260" s="2" t="str">
        <f>+IFERROR(INDEX('Restaurant Base (Hidden)'!$A$2:$Z$1048576,MATCH($C260,'Restaurant Base (Hidden)'!$C$2:$C$1048576,0),MATCH(S$6,'Restaurant Base (Hidden)'!$A$1:$Z$1,0)),"")</f>
        <v/>
      </c>
      <c r="T260" s="62">
        <f>+IFERROR(INDEX('Restaurant Base (Hidden)'!$A$2:$Z$1048576,MATCH($C260,'Restaurant Base (Hidden)'!$C$2:$C$1048576,0),MATCH(T$6,'Restaurant Base (Hidden)'!$A$1:$Z$1,0)),"")</f>
        <v>63.3</v>
      </c>
      <c r="U260" s="1">
        <f>+IFERROR(INDEX('Restaurant Base (Hidden)'!$A$2:$Z$1048576,MATCH($C260,'Restaurant Base (Hidden)'!$C$2:$C$1048576,0),MATCH(U$6,'Restaurant Base (Hidden)'!$A$1:$Z$1,0)),"")</f>
        <v>3</v>
      </c>
      <c r="V260" s="2" t="str">
        <f>+IFERROR(INDEX('Restaurant Base (Hidden)'!$A$2:$Z$1048576,MATCH($C260,'Restaurant Base (Hidden)'!$C$2:$C$1048576,0),MATCH(V$6,'Restaurant Base (Hidden)'!$A$1:$Z$1,0)),"")</f>
        <v/>
      </c>
      <c r="W260" s="65" t="str">
        <f>+IFERROR(INDEX('Restaurant Base (Hidden)'!$A$2:$Z$1048576,MATCH($C260,'Restaurant Base (Hidden)'!$C$2:$C$1048576,0),MATCH(W$6,'Restaurant Base (Hidden)'!$A$1:$Z$1,0)),"")</f>
        <v>88,80 %</v>
      </c>
      <c r="X260" s="1">
        <f>+IFERROR(INDEX('Restaurant Base (Hidden)'!$A$2:$Z$1048576,MATCH($C260,'Restaurant Base (Hidden)'!$C$2:$C$1048576,0),MATCH(X$6,'Restaurant Base (Hidden)'!$A$1:$Z$1,0)),"")</f>
        <v>3</v>
      </c>
      <c r="Y260" s="65" t="str">
        <f>+IFERROR(INDEX('Restaurant Base (Hidden)'!$A$2:$Z$1048576,MATCH($C260,'Restaurant Base (Hidden)'!$C$2:$C$1048576,0),MATCH(Y$6,'Restaurant Base (Hidden)'!$A$1:$Z$1,0)),"")</f>
        <v>81,70 %</v>
      </c>
      <c r="Z260" s="106">
        <f>+IFERROR(INDEX('Restaurant Base (Hidden)'!$A$2:$Z$1048576,MATCH($C260,'Restaurant Base (Hidden)'!$C$2:$C$1048576,0),MATCH(Z$6,'Restaurant Base (Hidden)'!$A$1:$Z$1,0)),"")</f>
        <v>2</v>
      </c>
      <c r="AA260" s="65" t="str">
        <f>+IFERROR(INDEX('Restaurant Base (Hidden)'!$A$2:$Z$1048576,MATCH($C260,'Restaurant Base (Hidden)'!$C$2:$C$1048576,0),MATCH(AA$6,'Restaurant Base (Hidden)'!$A$1:$Z$1,0)),"")</f>
        <v>69,00 %</v>
      </c>
      <c r="AB260" s="1">
        <f>+IFERROR(INDEX('Restaurant Base (Hidden)'!$A$2:$Z$1048576,MATCH($C260,'Restaurant Base (Hidden)'!$C$2:$C$1048576,0),MATCH(AB$6,'Restaurant Base (Hidden)'!$A$1:$Z$1,0)),"")</f>
        <v>2</v>
      </c>
      <c r="AC260" s="20" t="str">
        <f>+IFERROR(INDEX('Restaurant Base (Hidden)'!$A$2:$Z$1048576,MATCH($C260,'Restaurant Base (Hidden)'!$C$2:$C$1048576,0),MATCH(AC$6,'Restaurant Base (Hidden)'!$A$1:$Z$1,0)),"")</f>
        <v/>
      </c>
      <c r="AD260" s="65" t="str">
        <f>+IFERROR(INDEX('Restaurant Base (Hidden)'!$A$2:$Z$1048576,MATCH($C260,'Restaurant Base (Hidden)'!$C$2:$C$1048576,0),MATCH(AD$6,'Restaurant Base (Hidden)'!$A$1:$Z$1,0)),"")</f>
        <v>79,80 %</v>
      </c>
      <c r="AE260" s="1">
        <f>+IFERROR(INDEX('Restaurant Base (Hidden)'!$A$2:$Z$1048576,MATCH($C260,'Restaurant Base (Hidden)'!$C$2:$C$1048576,0),MATCH(AE$6,'Restaurant Base (Hidden)'!$A$1:$Z$1,0)),"")</f>
        <v>2</v>
      </c>
      <c r="AF260" s="65" t="str">
        <f>+IFERROR(INDEX('Restaurant Base (Hidden)'!$A$2:$Z$1048576,MATCH($C260,'Restaurant Base (Hidden)'!$C$2:$C$1048576,0),MATCH(AF$6,'Restaurant Base (Hidden)'!$A$1:$Z$1,0)),"")</f>
        <v>79,60 %</v>
      </c>
      <c r="AG260" s="1">
        <f>+IFERROR(INDEX('Restaurant Base (Hidden)'!$A$2:$Z$1048576,MATCH($C260,'Restaurant Base (Hidden)'!$C$2:$C$1048576,0),MATCH(AG$6,'Restaurant Base (Hidden)'!$A$1:$Z$1,0)),"")</f>
        <v>2</v>
      </c>
    </row>
    <row r="261" spans="1:33" x14ac:dyDescent="0.4">
      <c r="A261" s="163" t="str">
        <f>IF('Restaurant Base (Hidden)'!A148=0,"", 'Restaurant Base (Hidden)'!A148)</f>
        <v>Blake Bellamy</v>
      </c>
      <c r="B261" s="163" t="str">
        <f>IF('Restaurant Base (Hidden)'!B148=0,"", 'Restaurant Base (Hidden)'!B148)</f>
        <v>Silverbrook Dining</v>
      </c>
      <c r="C261" s="163" t="str">
        <f>IF('Restaurant Base (Hidden)'!C148=0,"", 'Restaurant Base (Hidden)'!C148)</f>
        <v>Oak Mews</v>
      </c>
      <c r="D261" s="104">
        <f t="shared" si="3"/>
        <v>254</v>
      </c>
      <c r="E261" s="105">
        <f>+IFERROR(INDEX('Restaurant Base (Hidden)'!$A$2:$Z$1048576,MATCH($C261,'Restaurant Base (Hidden)'!$C$2:$C$1048576,0),MATCH(E$6,'Restaurant Base (Hidden)'!$A$1:$Z$1,0)),"")</f>
        <v>2.86</v>
      </c>
      <c r="F261" s="2" t="str">
        <f>+IFERROR(INDEX('Restaurant Base (Hidden)'!$A$2:$Z$1048576,MATCH($C261,'Restaurant Base (Hidden)'!$C$2:$C$1048576,0),MATCH(F$6,'Restaurant Base (Hidden)'!$A$1:$Z$1,0)),"")</f>
        <v/>
      </c>
      <c r="G261" s="20" t="str">
        <f>+IFERROR(INDEX('Restaurant Base (Hidden)'!$A$2:$Z$1048576,MATCH($C261,'Restaurant Base (Hidden)'!$C$2:$C$1048576,0),MATCH(G$6,'Restaurant Base (Hidden)'!$A$1:$Z$1,0)),"")</f>
        <v>4,842</v>
      </c>
      <c r="H261" s="50">
        <f>+IFERROR(INDEX('Restaurant Base (Hidden)'!$A$2:$Z$1048576,MATCH($C261,'Restaurant Base (Hidden)'!$C$2:$C$1048576,0),MATCH(H$6,'Restaurant Base (Hidden)'!$A$1:$Z$1,0)),"")</f>
        <v>5</v>
      </c>
      <c r="I261" s="20" t="str">
        <f>+IFERROR(INDEX('Restaurant Base (Hidden)'!$A$2:$Z$1048576,MATCH($C261,'Restaurant Base (Hidden)'!$C$2:$C$1048576,0),MATCH(I$6,'Restaurant Base (Hidden)'!$A$1:$Z$1,0)),"")</f>
        <v>85,50 %</v>
      </c>
      <c r="J261" s="49">
        <f>+IFERROR(INDEX('Restaurant Base (Hidden)'!$A$2:$Z$1048576,MATCH($C261,'Restaurant Base (Hidden)'!$C$2:$C$1048576,0),MATCH(J$6,'Restaurant Base (Hidden)'!$A$1:$Z$1,0)),"")</f>
        <v>3</v>
      </c>
      <c r="K261" s="20" t="str">
        <f>+IFERROR(INDEX('Restaurant Base (Hidden)'!$A$2:$Z$1048576,MATCH($C261,'Restaurant Base (Hidden)'!$C$2:$C$1048576,0),MATCH(K$6,'Restaurant Base (Hidden)'!$A$1:$Z$1,0)),"")</f>
        <v>0,198</v>
      </c>
      <c r="L261" s="51">
        <f>+IFERROR(INDEX('Restaurant Base (Hidden)'!$A$2:$Z$1048576,MATCH($C261,'Restaurant Base (Hidden)'!$C$2:$C$1048576,0),MATCH(L$6,'Restaurant Base (Hidden)'!$A$1:$Z$1,0)),"")</f>
        <v>1</v>
      </c>
      <c r="M261" s="2" t="str">
        <f>+IFERROR(INDEX('Restaurant Base (Hidden)'!$A$2:$Z$1048576,MATCH($C261,'Restaurant Base (Hidden)'!$C$2:$C$1048576,0),MATCH(M$6,'Restaurant Base (Hidden)'!$A$1:$Z$1,0)),"")</f>
        <v/>
      </c>
      <c r="N261" s="234" t="str">
        <f>+IFERROR(INDEX('Restaurant Base (Hidden)'!$A$2:$Z$1048576,MATCH($C261,'Restaurant Base (Hidden)'!$C$2:$C$1048576,0),MATCH(N$6,'Restaurant Base (Hidden)'!$A$1:$Z$1,0)),"")</f>
        <v>56,10 %</v>
      </c>
      <c r="O261" s="1">
        <f>+IFERROR(INDEX('Restaurant Base (Hidden)'!$A$2:$Z$1048576,MATCH($C261,'Restaurant Base (Hidden)'!$C$2:$C$1048576,0),MATCH(O$6,'Restaurant Base (Hidden)'!$A$1:$Z$1,0)),"")</f>
        <v>1</v>
      </c>
      <c r="P261" s="2" t="str">
        <f>+IFERROR(INDEX('Restaurant Base (Hidden)'!$A$2:$Z$1048576,MATCH($C261,'Restaurant Base (Hidden)'!$C$2:$C$1048576,0),MATCH(P$6,'Restaurant Base (Hidden)'!$A$1:$Z$1,0)),"")</f>
        <v/>
      </c>
      <c r="Q261" s="234" t="str">
        <f>+IFERROR(INDEX('Restaurant Base (Hidden)'!$A$2:$Z$1048576,MATCH($C261,'Restaurant Base (Hidden)'!$C$2:$C$1048576,0),MATCH(Q$6,'Restaurant Base (Hidden)'!$A$1:$Z$1,0)),"")</f>
        <v>92,60 %</v>
      </c>
      <c r="R261" s="1">
        <f>+IFERROR(INDEX('Restaurant Base (Hidden)'!$A$2:$Z$1048576,MATCH($C261,'Restaurant Base (Hidden)'!$C$2:$C$1048576,0),MATCH(R$6,'Restaurant Base (Hidden)'!$A$1:$Z$1,0)),"")</f>
        <v>5</v>
      </c>
      <c r="S261" s="2" t="str">
        <f>+IFERROR(INDEX('Restaurant Base (Hidden)'!$A$2:$Z$1048576,MATCH($C261,'Restaurant Base (Hidden)'!$C$2:$C$1048576,0),MATCH(S$6,'Restaurant Base (Hidden)'!$A$1:$Z$1,0)),"")</f>
        <v/>
      </c>
      <c r="T261" s="62">
        <f>+IFERROR(INDEX('Restaurant Base (Hidden)'!$A$2:$Z$1048576,MATCH($C261,'Restaurant Base (Hidden)'!$C$2:$C$1048576,0),MATCH(T$6,'Restaurant Base (Hidden)'!$A$1:$Z$1,0)),"")</f>
        <v>63.5</v>
      </c>
      <c r="U261" s="1">
        <f>+IFERROR(INDEX('Restaurant Base (Hidden)'!$A$2:$Z$1048576,MATCH($C261,'Restaurant Base (Hidden)'!$C$2:$C$1048576,0),MATCH(U$6,'Restaurant Base (Hidden)'!$A$1:$Z$1,0)),"")</f>
        <v>3</v>
      </c>
      <c r="V261" s="2" t="str">
        <f>+IFERROR(INDEX('Restaurant Base (Hidden)'!$A$2:$Z$1048576,MATCH($C261,'Restaurant Base (Hidden)'!$C$2:$C$1048576,0),MATCH(V$6,'Restaurant Base (Hidden)'!$A$1:$Z$1,0)),"")</f>
        <v/>
      </c>
      <c r="W261" s="65" t="str">
        <f>+IFERROR(INDEX('Restaurant Base (Hidden)'!$A$2:$Z$1048576,MATCH($C261,'Restaurant Base (Hidden)'!$C$2:$C$1048576,0),MATCH(W$6,'Restaurant Base (Hidden)'!$A$1:$Z$1,0)),"")</f>
        <v>92,70 %</v>
      </c>
      <c r="X261" s="1">
        <f>+IFERROR(INDEX('Restaurant Base (Hidden)'!$A$2:$Z$1048576,MATCH($C261,'Restaurant Base (Hidden)'!$C$2:$C$1048576,0),MATCH(X$6,'Restaurant Base (Hidden)'!$A$1:$Z$1,0)),"")</f>
        <v>4</v>
      </c>
      <c r="Y261" s="65" t="str">
        <f>+IFERROR(INDEX('Restaurant Base (Hidden)'!$A$2:$Z$1048576,MATCH($C261,'Restaurant Base (Hidden)'!$C$2:$C$1048576,0),MATCH(Y$6,'Restaurant Base (Hidden)'!$A$1:$Z$1,0)),"")</f>
        <v>97,90 %</v>
      </c>
      <c r="Z261" s="106">
        <f>+IFERROR(INDEX('Restaurant Base (Hidden)'!$A$2:$Z$1048576,MATCH($C261,'Restaurant Base (Hidden)'!$C$2:$C$1048576,0),MATCH(Z$6,'Restaurant Base (Hidden)'!$A$1:$Z$1,0)),"")</f>
        <v>4</v>
      </c>
      <c r="AA261" s="65" t="str">
        <f>+IFERROR(INDEX('Restaurant Base (Hidden)'!$A$2:$Z$1048576,MATCH($C261,'Restaurant Base (Hidden)'!$C$2:$C$1048576,0),MATCH(AA$6,'Restaurant Base (Hidden)'!$A$1:$Z$1,0)),"")</f>
        <v>86,30 %</v>
      </c>
      <c r="AB261" s="1">
        <f>+IFERROR(INDEX('Restaurant Base (Hidden)'!$A$2:$Z$1048576,MATCH($C261,'Restaurant Base (Hidden)'!$C$2:$C$1048576,0),MATCH(AB$6,'Restaurant Base (Hidden)'!$A$1:$Z$1,0)),"")</f>
        <v>3</v>
      </c>
      <c r="AC261" s="20" t="str">
        <f>+IFERROR(INDEX('Restaurant Base (Hidden)'!$A$2:$Z$1048576,MATCH($C261,'Restaurant Base (Hidden)'!$C$2:$C$1048576,0),MATCH(AC$6,'Restaurant Base (Hidden)'!$A$1:$Z$1,0)),"")</f>
        <v/>
      </c>
      <c r="AD261" s="65" t="str">
        <f>+IFERROR(INDEX('Restaurant Base (Hidden)'!$A$2:$Z$1048576,MATCH($C261,'Restaurant Base (Hidden)'!$C$2:$C$1048576,0),MATCH(AD$6,'Restaurant Base (Hidden)'!$A$1:$Z$1,0)),"")</f>
        <v>67,30 %</v>
      </c>
      <c r="AE261" s="1">
        <f>+IFERROR(INDEX('Restaurant Base (Hidden)'!$A$2:$Z$1048576,MATCH($C261,'Restaurant Base (Hidden)'!$C$2:$C$1048576,0),MATCH(AE$6,'Restaurant Base (Hidden)'!$A$1:$Z$1,0)),"")</f>
        <v>1</v>
      </c>
      <c r="AF261" s="65" t="str">
        <f>+IFERROR(INDEX('Restaurant Base (Hidden)'!$A$2:$Z$1048576,MATCH($C261,'Restaurant Base (Hidden)'!$C$2:$C$1048576,0),MATCH(AF$6,'Restaurant Base (Hidden)'!$A$1:$Z$1,0)),"")</f>
        <v>77,00 %</v>
      </c>
      <c r="AG261" s="1">
        <f>+IFERROR(INDEX('Restaurant Base (Hidden)'!$A$2:$Z$1048576,MATCH($C261,'Restaurant Base (Hidden)'!$C$2:$C$1048576,0),MATCH(AG$6,'Restaurant Base (Hidden)'!$A$1:$Z$1,0)),"")</f>
        <v>2</v>
      </c>
    </row>
    <row r="262" spans="1:33" x14ac:dyDescent="0.4">
      <c r="A262" s="163" t="str">
        <f>IF('Restaurant Base (Hidden)'!A153=0,"", 'Restaurant Base (Hidden)'!A153)</f>
        <v>Finley Kensington</v>
      </c>
      <c r="B262" s="163" t="str">
        <f>IF('Restaurant Base (Hidden)'!B153=0,"", 'Restaurant Base (Hidden)'!B153)</f>
        <v>Brightstone Food Group</v>
      </c>
      <c r="C262" s="163" t="str">
        <f>IF('Restaurant Base (Hidden)'!C153=0,"", 'Restaurant Base (Hidden)'!C153)</f>
        <v>Liberty Pines</v>
      </c>
      <c r="D262" s="104">
        <f t="shared" si="3"/>
        <v>254</v>
      </c>
      <c r="E262" s="105">
        <f>+IFERROR(INDEX('Restaurant Base (Hidden)'!$A$2:$Z$1048576,MATCH($C262,'Restaurant Base (Hidden)'!$C$2:$C$1048576,0),MATCH(E$6,'Restaurant Base (Hidden)'!$A$1:$Z$1,0)),"")</f>
        <v>2.86</v>
      </c>
      <c r="F262" s="2" t="str">
        <f>+IFERROR(INDEX('Restaurant Base (Hidden)'!$A$2:$Z$1048576,MATCH($C262,'Restaurant Base (Hidden)'!$C$2:$C$1048576,0),MATCH(F$6,'Restaurant Base (Hidden)'!$A$1:$Z$1,0)),"")</f>
        <v/>
      </c>
      <c r="G262" s="20" t="str">
        <f>+IFERROR(INDEX('Restaurant Base (Hidden)'!$A$2:$Z$1048576,MATCH($C262,'Restaurant Base (Hidden)'!$C$2:$C$1048576,0),MATCH(G$6,'Restaurant Base (Hidden)'!$A$1:$Z$1,0)),"")</f>
        <v>4,175</v>
      </c>
      <c r="H262" s="50">
        <f>+IFERROR(INDEX('Restaurant Base (Hidden)'!$A$2:$Z$1048576,MATCH($C262,'Restaurant Base (Hidden)'!$C$2:$C$1048576,0),MATCH(H$6,'Restaurant Base (Hidden)'!$A$1:$Z$1,0)),"")</f>
        <v>2</v>
      </c>
      <c r="I262" s="20" t="str">
        <f>+IFERROR(INDEX('Restaurant Base (Hidden)'!$A$2:$Z$1048576,MATCH($C262,'Restaurant Base (Hidden)'!$C$2:$C$1048576,0),MATCH(I$6,'Restaurant Base (Hidden)'!$A$1:$Z$1,0)),"")</f>
        <v>80,50 %</v>
      </c>
      <c r="J262" s="49">
        <f>+IFERROR(INDEX('Restaurant Base (Hidden)'!$A$2:$Z$1048576,MATCH($C262,'Restaurant Base (Hidden)'!$C$2:$C$1048576,0),MATCH(J$6,'Restaurant Base (Hidden)'!$A$1:$Z$1,0)),"")</f>
        <v>2</v>
      </c>
      <c r="K262" s="20" t="str">
        <f>+IFERROR(INDEX('Restaurant Base (Hidden)'!$A$2:$Z$1048576,MATCH($C262,'Restaurant Base (Hidden)'!$C$2:$C$1048576,0),MATCH(K$6,'Restaurant Base (Hidden)'!$A$1:$Z$1,0)),"")</f>
        <v>0,087</v>
      </c>
      <c r="L262" s="51">
        <f>+IFERROR(INDEX('Restaurant Base (Hidden)'!$A$2:$Z$1048576,MATCH($C262,'Restaurant Base (Hidden)'!$C$2:$C$1048576,0),MATCH(L$6,'Restaurant Base (Hidden)'!$A$1:$Z$1,0)),"")</f>
        <v>4</v>
      </c>
      <c r="M262" s="2" t="str">
        <f>+IFERROR(INDEX('Restaurant Base (Hidden)'!$A$2:$Z$1048576,MATCH($C262,'Restaurant Base (Hidden)'!$C$2:$C$1048576,0),MATCH(M$6,'Restaurant Base (Hidden)'!$A$1:$Z$1,0)),"")</f>
        <v/>
      </c>
      <c r="N262" s="234" t="str">
        <f>+IFERROR(INDEX('Restaurant Base (Hidden)'!$A$2:$Z$1048576,MATCH($C262,'Restaurant Base (Hidden)'!$C$2:$C$1048576,0),MATCH(N$6,'Restaurant Base (Hidden)'!$A$1:$Z$1,0)),"")</f>
        <v>85,10 %</v>
      </c>
      <c r="O262" s="1">
        <f>+IFERROR(INDEX('Restaurant Base (Hidden)'!$A$2:$Z$1048576,MATCH($C262,'Restaurant Base (Hidden)'!$C$2:$C$1048576,0),MATCH(O$6,'Restaurant Base (Hidden)'!$A$1:$Z$1,0)),"")</f>
        <v>5</v>
      </c>
      <c r="P262" s="2" t="str">
        <f>+IFERROR(INDEX('Restaurant Base (Hidden)'!$A$2:$Z$1048576,MATCH($C262,'Restaurant Base (Hidden)'!$C$2:$C$1048576,0),MATCH(P$6,'Restaurant Base (Hidden)'!$A$1:$Z$1,0)),"")</f>
        <v/>
      </c>
      <c r="Q262" s="234" t="str">
        <f>+IFERROR(INDEX('Restaurant Base (Hidden)'!$A$2:$Z$1048576,MATCH($C262,'Restaurant Base (Hidden)'!$C$2:$C$1048576,0),MATCH(Q$6,'Restaurant Base (Hidden)'!$A$1:$Z$1,0)),"")</f>
        <v>68,30 %</v>
      </c>
      <c r="R262" s="1">
        <f>+IFERROR(INDEX('Restaurant Base (Hidden)'!$A$2:$Z$1048576,MATCH($C262,'Restaurant Base (Hidden)'!$C$2:$C$1048576,0),MATCH(R$6,'Restaurant Base (Hidden)'!$A$1:$Z$1,0)),"")</f>
        <v>3</v>
      </c>
      <c r="S262" s="2" t="str">
        <f>+IFERROR(INDEX('Restaurant Base (Hidden)'!$A$2:$Z$1048576,MATCH($C262,'Restaurant Base (Hidden)'!$C$2:$C$1048576,0),MATCH(S$6,'Restaurant Base (Hidden)'!$A$1:$Z$1,0)),"")</f>
        <v/>
      </c>
      <c r="T262" s="62">
        <f>+IFERROR(INDEX('Restaurant Base (Hidden)'!$A$2:$Z$1048576,MATCH($C262,'Restaurant Base (Hidden)'!$C$2:$C$1048576,0),MATCH(T$6,'Restaurant Base (Hidden)'!$A$1:$Z$1,0)),"")</f>
        <v>52.4</v>
      </c>
      <c r="U262" s="1">
        <f>+IFERROR(INDEX('Restaurant Base (Hidden)'!$A$2:$Z$1048576,MATCH($C262,'Restaurant Base (Hidden)'!$C$2:$C$1048576,0),MATCH(U$6,'Restaurant Base (Hidden)'!$A$1:$Z$1,0)),"")</f>
        <v>1</v>
      </c>
      <c r="V262" s="2" t="str">
        <f>+IFERROR(INDEX('Restaurant Base (Hidden)'!$A$2:$Z$1048576,MATCH($C262,'Restaurant Base (Hidden)'!$C$2:$C$1048576,0),MATCH(V$6,'Restaurant Base (Hidden)'!$A$1:$Z$1,0)),"")</f>
        <v/>
      </c>
      <c r="W262" s="65" t="str">
        <f>+IFERROR(INDEX('Restaurant Base (Hidden)'!$A$2:$Z$1048576,MATCH($C262,'Restaurant Base (Hidden)'!$C$2:$C$1048576,0),MATCH(W$6,'Restaurant Base (Hidden)'!$A$1:$Z$1,0)),"")</f>
        <v>58,90 %</v>
      </c>
      <c r="X262" s="1">
        <f>+IFERROR(INDEX('Restaurant Base (Hidden)'!$A$2:$Z$1048576,MATCH($C262,'Restaurant Base (Hidden)'!$C$2:$C$1048576,0),MATCH(X$6,'Restaurant Base (Hidden)'!$A$1:$Z$1,0)),"")</f>
        <v>1</v>
      </c>
      <c r="Y262" s="65" t="str">
        <f>+IFERROR(INDEX('Restaurant Base (Hidden)'!$A$2:$Z$1048576,MATCH($C262,'Restaurant Base (Hidden)'!$C$2:$C$1048576,0),MATCH(Y$6,'Restaurant Base (Hidden)'!$A$1:$Z$1,0)),"")</f>
        <v>73,70 %</v>
      </c>
      <c r="Z262" s="106">
        <f>+IFERROR(INDEX('Restaurant Base (Hidden)'!$A$2:$Z$1048576,MATCH($C262,'Restaurant Base (Hidden)'!$C$2:$C$1048576,0),MATCH(Z$6,'Restaurant Base (Hidden)'!$A$1:$Z$1,0)),"")</f>
        <v>2</v>
      </c>
      <c r="AA262" s="65" t="str">
        <f>+IFERROR(INDEX('Restaurant Base (Hidden)'!$A$2:$Z$1048576,MATCH($C262,'Restaurant Base (Hidden)'!$C$2:$C$1048576,0),MATCH(AA$6,'Restaurant Base (Hidden)'!$A$1:$Z$1,0)),"")</f>
        <v>94,60 %</v>
      </c>
      <c r="AB262" s="1">
        <f>+IFERROR(INDEX('Restaurant Base (Hidden)'!$A$2:$Z$1048576,MATCH($C262,'Restaurant Base (Hidden)'!$C$2:$C$1048576,0),MATCH(AB$6,'Restaurant Base (Hidden)'!$A$1:$Z$1,0)),"")</f>
        <v>3</v>
      </c>
      <c r="AC262" s="20" t="str">
        <f>+IFERROR(INDEX('Restaurant Base (Hidden)'!$A$2:$Z$1048576,MATCH($C262,'Restaurant Base (Hidden)'!$C$2:$C$1048576,0),MATCH(AC$6,'Restaurant Base (Hidden)'!$A$1:$Z$1,0)),"")</f>
        <v/>
      </c>
      <c r="AD262" s="65" t="str">
        <f>+IFERROR(INDEX('Restaurant Base (Hidden)'!$A$2:$Z$1048576,MATCH($C262,'Restaurant Base (Hidden)'!$C$2:$C$1048576,0),MATCH(AD$6,'Restaurant Base (Hidden)'!$A$1:$Z$1,0)),"")</f>
        <v>91,30 %</v>
      </c>
      <c r="AE262" s="1">
        <f>+IFERROR(INDEX('Restaurant Base (Hidden)'!$A$2:$Z$1048576,MATCH($C262,'Restaurant Base (Hidden)'!$C$2:$C$1048576,0),MATCH(AE$6,'Restaurant Base (Hidden)'!$A$1:$Z$1,0)),"")</f>
        <v>4</v>
      </c>
      <c r="AF262" s="65" t="str">
        <f>+IFERROR(INDEX('Restaurant Base (Hidden)'!$A$2:$Z$1048576,MATCH($C262,'Restaurant Base (Hidden)'!$C$2:$C$1048576,0),MATCH(AF$6,'Restaurant Base (Hidden)'!$A$1:$Z$1,0)),"")</f>
        <v>91,40 %</v>
      </c>
      <c r="AG262" s="1">
        <f>+IFERROR(INDEX('Restaurant Base (Hidden)'!$A$2:$Z$1048576,MATCH($C262,'Restaurant Base (Hidden)'!$C$2:$C$1048576,0),MATCH(AG$6,'Restaurant Base (Hidden)'!$A$1:$Z$1,0)),"")</f>
        <v>3</v>
      </c>
    </row>
    <row r="263" spans="1:33" x14ac:dyDescent="0.4">
      <c r="A263" s="163" t="str">
        <f>IF('Restaurant Base (Hidden)'!A261=0,"", 'Restaurant Base (Hidden)'!A261)</f>
        <v>Sawyer Thornfield</v>
      </c>
      <c r="B263" s="163" t="str">
        <f>IF('Restaurant Base (Hidden)'!B261=0,"", 'Restaurant Base (Hidden)'!B261)</f>
        <v>Parkstone Restaurant Group</v>
      </c>
      <c r="C263" s="163" t="str">
        <f>IF('Restaurant Base (Hidden)'!C261=0,"", 'Restaurant Base (Hidden)'!C261)</f>
        <v>Maple Quay</v>
      </c>
      <c r="D263" s="104">
        <f t="shared" ref="D263:D326" si="4">+IFERROR(RANK(E263,$E$7:$E$3390,),"")</f>
        <v>254</v>
      </c>
      <c r="E263" s="105">
        <f>+IFERROR(INDEX('Restaurant Base (Hidden)'!$A$2:$Z$1048576,MATCH($C263,'Restaurant Base (Hidden)'!$C$2:$C$1048576,0),MATCH(E$6,'Restaurant Base (Hidden)'!$A$1:$Z$1,0)),"")</f>
        <v>2.86</v>
      </c>
      <c r="F263" s="2" t="str">
        <f>+IFERROR(INDEX('Restaurant Base (Hidden)'!$A$2:$Z$1048576,MATCH($C263,'Restaurant Base (Hidden)'!$C$2:$C$1048576,0),MATCH(F$6,'Restaurant Base (Hidden)'!$A$1:$Z$1,0)),"")</f>
        <v/>
      </c>
      <c r="G263" s="20" t="str">
        <f>+IFERROR(INDEX('Restaurant Base (Hidden)'!$A$2:$Z$1048576,MATCH($C263,'Restaurant Base (Hidden)'!$C$2:$C$1048576,0),MATCH(G$6,'Restaurant Base (Hidden)'!$A$1:$Z$1,0)),"")</f>
        <v>4,516</v>
      </c>
      <c r="H263" s="50">
        <f>+IFERROR(INDEX('Restaurant Base (Hidden)'!$A$2:$Z$1048576,MATCH($C263,'Restaurant Base (Hidden)'!$C$2:$C$1048576,0),MATCH(H$6,'Restaurant Base (Hidden)'!$A$1:$Z$1,0)),"")</f>
        <v>5</v>
      </c>
      <c r="I263" s="20" t="str">
        <f>+IFERROR(INDEX('Restaurant Base (Hidden)'!$A$2:$Z$1048576,MATCH($C263,'Restaurant Base (Hidden)'!$C$2:$C$1048576,0),MATCH(I$6,'Restaurant Base (Hidden)'!$A$1:$Z$1,0)),"")</f>
        <v>79,40 %</v>
      </c>
      <c r="J263" s="49">
        <f>+IFERROR(INDEX('Restaurant Base (Hidden)'!$A$2:$Z$1048576,MATCH($C263,'Restaurant Base (Hidden)'!$C$2:$C$1048576,0),MATCH(J$6,'Restaurant Base (Hidden)'!$A$1:$Z$1,0)),"")</f>
        <v>2</v>
      </c>
      <c r="K263" s="20" t="str">
        <f>+IFERROR(INDEX('Restaurant Base (Hidden)'!$A$2:$Z$1048576,MATCH($C263,'Restaurant Base (Hidden)'!$C$2:$C$1048576,0),MATCH(K$6,'Restaurant Base (Hidden)'!$A$1:$Z$1,0)),"")</f>
        <v>0,127</v>
      </c>
      <c r="L263" s="51">
        <f>+IFERROR(INDEX('Restaurant Base (Hidden)'!$A$2:$Z$1048576,MATCH($C263,'Restaurant Base (Hidden)'!$C$2:$C$1048576,0),MATCH(L$6,'Restaurant Base (Hidden)'!$A$1:$Z$1,0)),"")</f>
        <v>3</v>
      </c>
      <c r="M263" s="2" t="str">
        <f>+IFERROR(INDEX('Restaurant Base (Hidden)'!$A$2:$Z$1048576,MATCH($C263,'Restaurant Base (Hidden)'!$C$2:$C$1048576,0),MATCH(M$6,'Restaurant Base (Hidden)'!$A$1:$Z$1,0)),"")</f>
        <v/>
      </c>
      <c r="N263" s="234" t="str">
        <f>+IFERROR(INDEX('Restaurant Base (Hidden)'!$A$2:$Z$1048576,MATCH($C263,'Restaurant Base (Hidden)'!$C$2:$C$1048576,0),MATCH(N$6,'Restaurant Base (Hidden)'!$A$1:$Z$1,0)),"")</f>
        <v>67,80 %</v>
      </c>
      <c r="O263" s="1">
        <f>+IFERROR(INDEX('Restaurant Base (Hidden)'!$A$2:$Z$1048576,MATCH($C263,'Restaurant Base (Hidden)'!$C$2:$C$1048576,0),MATCH(O$6,'Restaurant Base (Hidden)'!$A$1:$Z$1,0)),"")</f>
        <v>3</v>
      </c>
      <c r="P263" s="2" t="str">
        <f>+IFERROR(INDEX('Restaurant Base (Hidden)'!$A$2:$Z$1048576,MATCH($C263,'Restaurant Base (Hidden)'!$C$2:$C$1048576,0),MATCH(P$6,'Restaurant Base (Hidden)'!$A$1:$Z$1,0)),"")</f>
        <v/>
      </c>
      <c r="Q263" s="234" t="str">
        <f>+IFERROR(INDEX('Restaurant Base (Hidden)'!$A$2:$Z$1048576,MATCH($C263,'Restaurant Base (Hidden)'!$C$2:$C$1048576,0),MATCH(Q$6,'Restaurant Base (Hidden)'!$A$1:$Z$1,0)),"")</f>
        <v>73,10 %</v>
      </c>
      <c r="R263" s="1">
        <f>+IFERROR(INDEX('Restaurant Base (Hidden)'!$A$2:$Z$1048576,MATCH($C263,'Restaurant Base (Hidden)'!$C$2:$C$1048576,0),MATCH(R$6,'Restaurant Base (Hidden)'!$A$1:$Z$1,0)),"")</f>
        <v>5</v>
      </c>
      <c r="S263" s="2" t="str">
        <f>+IFERROR(INDEX('Restaurant Base (Hidden)'!$A$2:$Z$1048576,MATCH($C263,'Restaurant Base (Hidden)'!$C$2:$C$1048576,0),MATCH(S$6,'Restaurant Base (Hidden)'!$A$1:$Z$1,0)),"")</f>
        <v/>
      </c>
      <c r="T263" s="62">
        <f>+IFERROR(INDEX('Restaurant Base (Hidden)'!$A$2:$Z$1048576,MATCH($C263,'Restaurant Base (Hidden)'!$C$2:$C$1048576,0),MATCH(T$6,'Restaurant Base (Hidden)'!$A$1:$Z$1,0)),"")</f>
        <v>54.2</v>
      </c>
      <c r="U263" s="1">
        <f>+IFERROR(INDEX('Restaurant Base (Hidden)'!$A$2:$Z$1048576,MATCH($C263,'Restaurant Base (Hidden)'!$C$2:$C$1048576,0),MATCH(U$6,'Restaurant Base (Hidden)'!$A$1:$Z$1,0)),"")</f>
        <v>1</v>
      </c>
      <c r="V263" s="2" t="str">
        <f>+IFERROR(INDEX('Restaurant Base (Hidden)'!$A$2:$Z$1048576,MATCH($C263,'Restaurant Base (Hidden)'!$C$2:$C$1048576,0),MATCH(V$6,'Restaurant Base (Hidden)'!$A$1:$Z$1,0)),"")</f>
        <v/>
      </c>
      <c r="W263" s="65" t="str">
        <f>+IFERROR(INDEX('Restaurant Base (Hidden)'!$A$2:$Z$1048576,MATCH($C263,'Restaurant Base (Hidden)'!$C$2:$C$1048576,0),MATCH(W$6,'Restaurant Base (Hidden)'!$A$1:$Z$1,0)),"")</f>
        <v>97,30 %</v>
      </c>
      <c r="X263" s="1">
        <f>+IFERROR(INDEX('Restaurant Base (Hidden)'!$A$2:$Z$1048576,MATCH($C263,'Restaurant Base (Hidden)'!$C$2:$C$1048576,0),MATCH(X$6,'Restaurant Base (Hidden)'!$A$1:$Z$1,0)),"")</f>
        <v>5</v>
      </c>
      <c r="Y263" s="65" t="str">
        <f>+IFERROR(INDEX('Restaurant Base (Hidden)'!$A$2:$Z$1048576,MATCH($C263,'Restaurant Base (Hidden)'!$C$2:$C$1048576,0),MATCH(Y$6,'Restaurant Base (Hidden)'!$A$1:$Z$1,0)),"")</f>
        <v>69,60 %</v>
      </c>
      <c r="Z263" s="106">
        <f>+IFERROR(INDEX('Restaurant Base (Hidden)'!$A$2:$Z$1048576,MATCH($C263,'Restaurant Base (Hidden)'!$C$2:$C$1048576,0),MATCH(Z$6,'Restaurant Base (Hidden)'!$A$1:$Z$1,0)),"")</f>
        <v>2</v>
      </c>
      <c r="AA263" s="65" t="str">
        <f>+IFERROR(INDEX('Restaurant Base (Hidden)'!$A$2:$Z$1048576,MATCH($C263,'Restaurant Base (Hidden)'!$C$2:$C$1048576,0),MATCH(AA$6,'Restaurant Base (Hidden)'!$A$1:$Z$1,0)),"")</f>
        <v>88,90 %</v>
      </c>
      <c r="AB263" s="1">
        <f>+IFERROR(INDEX('Restaurant Base (Hidden)'!$A$2:$Z$1048576,MATCH($C263,'Restaurant Base (Hidden)'!$C$2:$C$1048576,0),MATCH(AB$6,'Restaurant Base (Hidden)'!$A$1:$Z$1,0)),"")</f>
        <v>3</v>
      </c>
      <c r="AC263" s="20" t="str">
        <f>+IFERROR(INDEX('Restaurant Base (Hidden)'!$A$2:$Z$1048576,MATCH($C263,'Restaurant Base (Hidden)'!$C$2:$C$1048576,0),MATCH(AC$6,'Restaurant Base (Hidden)'!$A$1:$Z$1,0)),"")</f>
        <v/>
      </c>
      <c r="AD263" s="65" t="str">
        <f>+IFERROR(INDEX('Restaurant Base (Hidden)'!$A$2:$Z$1048576,MATCH($C263,'Restaurant Base (Hidden)'!$C$2:$C$1048576,0),MATCH(AD$6,'Restaurant Base (Hidden)'!$A$1:$Z$1,0)),"")</f>
        <v>78,80 %</v>
      </c>
      <c r="AE263" s="1">
        <f>+IFERROR(INDEX('Restaurant Base (Hidden)'!$A$2:$Z$1048576,MATCH($C263,'Restaurant Base (Hidden)'!$C$2:$C$1048576,0),MATCH(AE$6,'Restaurant Base (Hidden)'!$A$1:$Z$1,0)),"")</f>
        <v>2</v>
      </c>
      <c r="AF263" s="65" t="str">
        <f>+IFERROR(INDEX('Restaurant Base (Hidden)'!$A$2:$Z$1048576,MATCH($C263,'Restaurant Base (Hidden)'!$C$2:$C$1048576,0),MATCH(AF$6,'Restaurant Base (Hidden)'!$A$1:$Z$1,0)),"")</f>
        <v>61,90 %</v>
      </c>
      <c r="AG263" s="1">
        <f>+IFERROR(INDEX('Restaurant Base (Hidden)'!$A$2:$Z$1048576,MATCH($C263,'Restaurant Base (Hidden)'!$C$2:$C$1048576,0),MATCH(AG$6,'Restaurant Base (Hidden)'!$A$1:$Z$1,0)),"")</f>
        <v>1</v>
      </c>
    </row>
    <row r="264" spans="1:33" x14ac:dyDescent="0.4">
      <c r="A264" s="163" t="str">
        <f>IF('Restaurant Base (Hidden)'!A270=0,"", 'Restaurant Base (Hidden)'!A270)</f>
        <v>Harper Langford</v>
      </c>
      <c r="B264" s="163" t="str">
        <f>IF('Restaurant Base (Hidden)'!B270=0,"", 'Restaurant Base (Hidden)'!B270)</f>
        <v>Northvale Restaurants</v>
      </c>
      <c r="C264" s="163" t="str">
        <f>IF('Restaurant Base (Hidden)'!C270=0,"", 'Restaurant Base (Hidden)'!C270)</f>
        <v>Bright Hollow</v>
      </c>
      <c r="D264" s="104">
        <f t="shared" si="4"/>
        <v>254</v>
      </c>
      <c r="E264" s="105">
        <f>+IFERROR(INDEX('Restaurant Base (Hidden)'!$A$2:$Z$1048576,MATCH($C264,'Restaurant Base (Hidden)'!$C$2:$C$1048576,0),MATCH(E$6,'Restaurant Base (Hidden)'!$A$1:$Z$1,0)),"")</f>
        <v>2.86</v>
      </c>
      <c r="F264" s="2" t="str">
        <f>+IFERROR(INDEX('Restaurant Base (Hidden)'!$A$2:$Z$1048576,MATCH($C264,'Restaurant Base (Hidden)'!$C$2:$C$1048576,0),MATCH(F$6,'Restaurant Base (Hidden)'!$A$1:$Z$1,0)),"")</f>
        <v/>
      </c>
      <c r="G264" s="20" t="str">
        <f>+IFERROR(INDEX('Restaurant Base (Hidden)'!$A$2:$Z$1048576,MATCH($C264,'Restaurant Base (Hidden)'!$C$2:$C$1048576,0),MATCH(G$6,'Restaurant Base (Hidden)'!$A$1:$Z$1,0)),"")</f>
        <v>4,819</v>
      </c>
      <c r="H264" s="50">
        <f>+IFERROR(INDEX('Restaurant Base (Hidden)'!$A$2:$Z$1048576,MATCH($C264,'Restaurant Base (Hidden)'!$C$2:$C$1048576,0),MATCH(H$6,'Restaurant Base (Hidden)'!$A$1:$Z$1,0)),"")</f>
        <v>5</v>
      </c>
      <c r="I264" s="20" t="str">
        <f>+IFERROR(INDEX('Restaurant Base (Hidden)'!$A$2:$Z$1048576,MATCH($C264,'Restaurant Base (Hidden)'!$C$2:$C$1048576,0),MATCH(I$6,'Restaurant Base (Hidden)'!$A$1:$Z$1,0)),"")</f>
        <v>55,80 %</v>
      </c>
      <c r="J264" s="49">
        <f>+IFERROR(INDEX('Restaurant Base (Hidden)'!$A$2:$Z$1048576,MATCH($C264,'Restaurant Base (Hidden)'!$C$2:$C$1048576,0),MATCH(J$6,'Restaurant Base (Hidden)'!$A$1:$Z$1,0)),"")</f>
        <v>1</v>
      </c>
      <c r="K264" s="20" t="str">
        <f>+IFERROR(INDEX('Restaurant Base (Hidden)'!$A$2:$Z$1048576,MATCH($C264,'Restaurant Base (Hidden)'!$C$2:$C$1048576,0),MATCH(K$6,'Restaurant Base (Hidden)'!$A$1:$Z$1,0)),"")</f>
        <v>0,100</v>
      </c>
      <c r="L264" s="51">
        <f>+IFERROR(INDEX('Restaurant Base (Hidden)'!$A$2:$Z$1048576,MATCH($C264,'Restaurant Base (Hidden)'!$C$2:$C$1048576,0),MATCH(L$6,'Restaurant Base (Hidden)'!$A$1:$Z$1,0)),"")</f>
        <v>4</v>
      </c>
      <c r="M264" s="2" t="str">
        <f>+IFERROR(INDEX('Restaurant Base (Hidden)'!$A$2:$Z$1048576,MATCH($C264,'Restaurant Base (Hidden)'!$C$2:$C$1048576,0),MATCH(M$6,'Restaurant Base (Hidden)'!$A$1:$Z$1,0)),"")</f>
        <v/>
      </c>
      <c r="N264" s="234" t="str">
        <f>+IFERROR(INDEX('Restaurant Base (Hidden)'!$A$2:$Z$1048576,MATCH($C264,'Restaurant Base (Hidden)'!$C$2:$C$1048576,0),MATCH(N$6,'Restaurant Base (Hidden)'!$A$1:$Z$1,0)),"")</f>
        <v>57,10 %</v>
      </c>
      <c r="O264" s="1">
        <f>+IFERROR(INDEX('Restaurant Base (Hidden)'!$A$2:$Z$1048576,MATCH($C264,'Restaurant Base (Hidden)'!$C$2:$C$1048576,0),MATCH(O$6,'Restaurant Base (Hidden)'!$A$1:$Z$1,0)),"")</f>
        <v>1</v>
      </c>
      <c r="P264" s="2" t="str">
        <f>+IFERROR(INDEX('Restaurant Base (Hidden)'!$A$2:$Z$1048576,MATCH($C264,'Restaurant Base (Hidden)'!$C$2:$C$1048576,0),MATCH(P$6,'Restaurant Base (Hidden)'!$A$1:$Z$1,0)),"")</f>
        <v/>
      </c>
      <c r="Q264" s="234" t="str">
        <f>+IFERROR(INDEX('Restaurant Base (Hidden)'!$A$2:$Z$1048576,MATCH($C264,'Restaurant Base (Hidden)'!$C$2:$C$1048576,0),MATCH(Q$6,'Restaurant Base (Hidden)'!$A$1:$Z$1,0)),"")</f>
        <v>86,30 %</v>
      </c>
      <c r="R264" s="1">
        <f>+IFERROR(INDEX('Restaurant Base (Hidden)'!$A$2:$Z$1048576,MATCH($C264,'Restaurant Base (Hidden)'!$C$2:$C$1048576,0),MATCH(R$6,'Restaurant Base (Hidden)'!$A$1:$Z$1,0)),"")</f>
        <v>5</v>
      </c>
      <c r="S264" s="2" t="str">
        <f>+IFERROR(INDEX('Restaurant Base (Hidden)'!$A$2:$Z$1048576,MATCH($C264,'Restaurant Base (Hidden)'!$C$2:$C$1048576,0),MATCH(S$6,'Restaurant Base (Hidden)'!$A$1:$Z$1,0)),"")</f>
        <v/>
      </c>
      <c r="T264" s="62">
        <f>+IFERROR(INDEX('Restaurant Base (Hidden)'!$A$2:$Z$1048576,MATCH($C264,'Restaurant Base (Hidden)'!$C$2:$C$1048576,0),MATCH(T$6,'Restaurant Base (Hidden)'!$A$1:$Z$1,0)),"")</f>
        <v>73</v>
      </c>
      <c r="U264" s="1">
        <f>+IFERROR(INDEX('Restaurant Base (Hidden)'!$A$2:$Z$1048576,MATCH($C264,'Restaurant Base (Hidden)'!$C$2:$C$1048576,0),MATCH(U$6,'Restaurant Base (Hidden)'!$A$1:$Z$1,0)),"")</f>
        <v>5</v>
      </c>
      <c r="V264" s="2" t="str">
        <f>+IFERROR(INDEX('Restaurant Base (Hidden)'!$A$2:$Z$1048576,MATCH($C264,'Restaurant Base (Hidden)'!$C$2:$C$1048576,0),MATCH(V$6,'Restaurant Base (Hidden)'!$A$1:$Z$1,0)),"")</f>
        <v/>
      </c>
      <c r="W264" s="65" t="str">
        <f>+IFERROR(INDEX('Restaurant Base (Hidden)'!$A$2:$Z$1048576,MATCH($C264,'Restaurant Base (Hidden)'!$C$2:$C$1048576,0),MATCH(W$6,'Restaurant Base (Hidden)'!$A$1:$Z$1,0)),"")</f>
        <v>80,50 %</v>
      </c>
      <c r="X264" s="1">
        <f>+IFERROR(INDEX('Restaurant Base (Hidden)'!$A$2:$Z$1048576,MATCH($C264,'Restaurant Base (Hidden)'!$C$2:$C$1048576,0),MATCH(X$6,'Restaurant Base (Hidden)'!$A$1:$Z$1,0)),"")</f>
        <v>3</v>
      </c>
      <c r="Y264" s="65" t="str">
        <f>+IFERROR(INDEX('Restaurant Base (Hidden)'!$A$2:$Z$1048576,MATCH($C264,'Restaurant Base (Hidden)'!$C$2:$C$1048576,0),MATCH(Y$6,'Restaurant Base (Hidden)'!$A$1:$Z$1,0)),"")</f>
        <v>98,10 %</v>
      </c>
      <c r="Z264" s="106">
        <f>+IFERROR(INDEX('Restaurant Base (Hidden)'!$A$2:$Z$1048576,MATCH($C264,'Restaurant Base (Hidden)'!$C$2:$C$1048576,0),MATCH(Z$6,'Restaurant Base (Hidden)'!$A$1:$Z$1,0)),"")</f>
        <v>5</v>
      </c>
      <c r="AA264" s="65" t="str">
        <f>+IFERROR(INDEX('Restaurant Base (Hidden)'!$A$2:$Z$1048576,MATCH($C264,'Restaurant Base (Hidden)'!$C$2:$C$1048576,0),MATCH(AA$6,'Restaurant Base (Hidden)'!$A$1:$Z$1,0)),"")</f>
        <v>67,00 %</v>
      </c>
      <c r="AB264" s="1">
        <f>+IFERROR(INDEX('Restaurant Base (Hidden)'!$A$2:$Z$1048576,MATCH($C264,'Restaurant Base (Hidden)'!$C$2:$C$1048576,0),MATCH(AB$6,'Restaurant Base (Hidden)'!$A$1:$Z$1,0)),"")</f>
        <v>2</v>
      </c>
      <c r="AC264" s="20" t="str">
        <f>+IFERROR(INDEX('Restaurant Base (Hidden)'!$A$2:$Z$1048576,MATCH($C264,'Restaurant Base (Hidden)'!$C$2:$C$1048576,0),MATCH(AC$6,'Restaurant Base (Hidden)'!$A$1:$Z$1,0)),"")</f>
        <v/>
      </c>
      <c r="AD264" s="65" t="str">
        <f>+IFERROR(INDEX('Restaurant Base (Hidden)'!$A$2:$Z$1048576,MATCH($C264,'Restaurant Base (Hidden)'!$C$2:$C$1048576,0),MATCH(AD$6,'Restaurant Base (Hidden)'!$A$1:$Z$1,0)),"")</f>
        <v>71,70 %</v>
      </c>
      <c r="AE264" s="1">
        <f>+IFERROR(INDEX('Restaurant Base (Hidden)'!$A$2:$Z$1048576,MATCH($C264,'Restaurant Base (Hidden)'!$C$2:$C$1048576,0),MATCH(AE$6,'Restaurant Base (Hidden)'!$A$1:$Z$1,0)),"")</f>
        <v>1</v>
      </c>
      <c r="AF264" s="65" t="str">
        <f>+IFERROR(INDEX('Restaurant Base (Hidden)'!$A$2:$Z$1048576,MATCH($C264,'Restaurant Base (Hidden)'!$C$2:$C$1048576,0),MATCH(AF$6,'Restaurant Base (Hidden)'!$A$1:$Z$1,0)),"")</f>
        <v>62,10 %</v>
      </c>
      <c r="AG264" s="1">
        <f>+IFERROR(INDEX('Restaurant Base (Hidden)'!$A$2:$Z$1048576,MATCH($C264,'Restaurant Base (Hidden)'!$C$2:$C$1048576,0),MATCH(AG$6,'Restaurant Base (Hidden)'!$A$1:$Z$1,0)),"")</f>
        <v>1</v>
      </c>
    </row>
    <row r="265" spans="1:33" x14ac:dyDescent="0.4">
      <c r="A265" s="163" t="str">
        <f>IF('Restaurant Base (Hidden)'!A38=0,"", 'Restaurant Base (Hidden)'!A38)</f>
        <v>Harper Langford</v>
      </c>
      <c r="B265" s="163" t="str">
        <f>IF('Restaurant Base (Hidden)'!B38=0,"", 'Restaurant Base (Hidden)'!B38)</f>
        <v>Havenbrook Restaurants</v>
      </c>
      <c r="C265" s="163" t="str">
        <f>IF('Restaurant Base (Hidden)'!C38=0,"", 'Restaurant Base (Hidden)'!C38)</f>
        <v>Crystal Place</v>
      </c>
      <c r="D265" s="104">
        <f t="shared" si="4"/>
        <v>259</v>
      </c>
      <c r="E265" s="105">
        <f>+IFERROR(INDEX('Restaurant Base (Hidden)'!$A$2:$Z$1048576,MATCH($C265,'Restaurant Base (Hidden)'!$C$2:$C$1048576,0),MATCH(E$6,'Restaurant Base (Hidden)'!$A$1:$Z$1,0)),"")</f>
        <v>2.85</v>
      </c>
      <c r="F265" s="64" t="str">
        <f>+IFERROR(INDEX('Restaurant Base (Hidden)'!$A$2:$Z$1048576,MATCH($C265,'Restaurant Base (Hidden)'!$C$2:$C$1048576,0),MATCH(F$6,'Restaurant Base (Hidden)'!$A$1:$Z$1,0)),"")</f>
        <v/>
      </c>
      <c r="G265" s="20" t="str">
        <f>+IFERROR(INDEX('Restaurant Base (Hidden)'!$A$2:$Z$1048576,MATCH($C265,'Restaurant Base (Hidden)'!$C$2:$C$1048576,0),MATCH(G$6,'Restaurant Base (Hidden)'!$A$1:$Z$1,0)),"")</f>
        <v>4,483</v>
      </c>
      <c r="H265" s="50">
        <f>+IFERROR(INDEX('Restaurant Base (Hidden)'!$A$2:$Z$1048576,MATCH($C265,'Restaurant Base (Hidden)'!$C$2:$C$1048576,0),MATCH(H$6,'Restaurant Base (Hidden)'!$A$1:$Z$1,0)),"")</f>
        <v>4</v>
      </c>
      <c r="I265" s="20" t="str">
        <f>+IFERROR(INDEX('Restaurant Base (Hidden)'!$A$2:$Z$1048576,MATCH($C265,'Restaurant Base (Hidden)'!$C$2:$C$1048576,0),MATCH(I$6,'Restaurant Base (Hidden)'!$A$1:$Z$1,0)),"")</f>
        <v>56,50 %</v>
      </c>
      <c r="J265" s="49">
        <f>+IFERROR(INDEX('Restaurant Base (Hidden)'!$A$2:$Z$1048576,MATCH($C265,'Restaurant Base (Hidden)'!$C$2:$C$1048576,0),MATCH(J$6,'Restaurant Base (Hidden)'!$A$1:$Z$1,0)),"")</f>
        <v>1</v>
      </c>
      <c r="K265" s="20" t="str">
        <f>+IFERROR(INDEX('Restaurant Base (Hidden)'!$A$2:$Z$1048576,MATCH($C265,'Restaurant Base (Hidden)'!$C$2:$C$1048576,0),MATCH(K$6,'Restaurant Base (Hidden)'!$A$1:$Z$1,0)),"")</f>
        <v>0,129</v>
      </c>
      <c r="L265" s="51">
        <f>+IFERROR(INDEX('Restaurant Base (Hidden)'!$A$2:$Z$1048576,MATCH($C265,'Restaurant Base (Hidden)'!$C$2:$C$1048576,0),MATCH(L$6,'Restaurant Base (Hidden)'!$A$1:$Z$1,0)),"")</f>
        <v>3</v>
      </c>
      <c r="M265" s="2" t="str">
        <f>+IFERROR(INDEX('Restaurant Base (Hidden)'!$A$2:$Z$1048576,MATCH($C265,'Restaurant Base (Hidden)'!$C$2:$C$1048576,0),MATCH(M$6,'Restaurant Base (Hidden)'!$A$1:$Z$1,0)),"")</f>
        <v/>
      </c>
      <c r="N265" s="234" t="str">
        <f>+IFERROR(INDEX('Restaurant Base (Hidden)'!$A$2:$Z$1048576,MATCH($C265,'Restaurant Base (Hidden)'!$C$2:$C$1048576,0),MATCH(N$6,'Restaurant Base (Hidden)'!$A$1:$Z$1,0)),"")</f>
        <v>85,50 %</v>
      </c>
      <c r="O265" s="1">
        <f>+IFERROR(INDEX('Restaurant Base (Hidden)'!$A$2:$Z$1048576,MATCH($C265,'Restaurant Base (Hidden)'!$C$2:$C$1048576,0),MATCH(O$6,'Restaurant Base (Hidden)'!$A$1:$Z$1,0)),"")</f>
        <v>5</v>
      </c>
      <c r="P265" s="2" t="str">
        <f>+IFERROR(INDEX('Restaurant Base (Hidden)'!$A$2:$Z$1048576,MATCH($C265,'Restaurant Base (Hidden)'!$C$2:$C$1048576,0),MATCH(P$6,'Restaurant Base (Hidden)'!$A$1:$Z$1,0)),"")</f>
        <v/>
      </c>
      <c r="Q265" s="234" t="str">
        <f>+IFERROR(INDEX('Restaurant Base (Hidden)'!$A$2:$Z$1048576,MATCH($C265,'Restaurant Base (Hidden)'!$C$2:$C$1048576,0),MATCH(Q$6,'Restaurant Base (Hidden)'!$A$1:$Z$1,0)),"")</f>
        <v>85,80 %</v>
      </c>
      <c r="R265" s="1">
        <f>+IFERROR(INDEX('Restaurant Base (Hidden)'!$A$2:$Z$1048576,MATCH($C265,'Restaurant Base (Hidden)'!$C$2:$C$1048576,0),MATCH(R$6,'Restaurant Base (Hidden)'!$A$1:$Z$1,0)),"")</f>
        <v>5</v>
      </c>
      <c r="S265" s="2" t="str">
        <f>+IFERROR(INDEX('Restaurant Base (Hidden)'!$A$2:$Z$1048576,MATCH($C265,'Restaurant Base (Hidden)'!$C$2:$C$1048576,0),MATCH(S$6,'Restaurant Base (Hidden)'!$A$1:$Z$1,0)),"")</f>
        <v/>
      </c>
      <c r="T265" s="62">
        <f>+IFERROR(INDEX('Restaurant Base (Hidden)'!$A$2:$Z$1048576,MATCH($C265,'Restaurant Base (Hidden)'!$C$2:$C$1048576,0),MATCH(T$6,'Restaurant Base (Hidden)'!$A$1:$Z$1,0)),"")</f>
        <v>52.8</v>
      </c>
      <c r="U265" s="1">
        <f>+IFERROR(INDEX('Restaurant Base (Hidden)'!$A$2:$Z$1048576,MATCH($C265,'Restaurant Base (Hidden)'!$C$2:$C$1048576,0),MATCH(U$6,'Restaurant Base (Hidden)'!$A$1:$Z$1,0)),"")</f>
        <v>1</v>
      </c>
      <c r="V265" s="2" t="str">
        <f>+IFERROR(INDEX('Restaurant Base (Hidden)'!$A$2:$Z$1048576,MATCH($C265,'Restaurant Base (Hidden)'!$C$2:$C$1048576,0),MATCH(V$6,'Restaurant Base (Hidden)'!$A$1:$Z$1,0)),"")</f>
        <v/>
      </c>
      <c r="W265" s="65" t="str">
        <f>+IFERROR(INDEX('Restaurant Base (Hidden)'!$A$2:$Z$1048576,MATCH($C265,'Restaurant Base (Hidden)'!$C$2:$C$1048576,0),MATCH(W$6,'Restaurant Base (Hidden)'!$A$1:$Z$1,0)),"")</f>
        <v>78,60 %</v>
      </c>
      <c r="X265" s="1">
        <f>+IFERROR(INDEX('Restaurant Base (Hidden)'!$A$2:$Z$1048576,MATCH($C265,'Restaurant Base (Hidden)'!$C$2:$C$1048576,0),MATCH(X$6,'Restaurant Base (Hidden)'!$A$1:$Z$1,0)),"")</f>
        <v>2</v>
      </c>
      <c r="Y265" s="65" t="str">
        <f>+IFERROR(INDEX('Restaurant Base (Hidden)'!$A$2:$Z$1048576,MATCH($C265,'Restaurant Base (Hidden)'!$C$2:$C$1048576,0),MATCH(Y$6,'Restaurant Base (Hidden)'!$A$1:$Z$1,0)),"")</f>
        <v>81,40 %</v>
      </c>
      <c r="Z265" s="106">
        <f>+IFERROR(INDEX('Restaurant Base (Hidden)'!$A$2:$Z$1048576,MATCH($C265,'Restaurant Base (Hidden)'!$C$2:$C$1048576,0),MATCH(Z$6,'Restaurant Base (Hidden)'!$A$1:$Z$1,0)),"")</f>
        <v>2</v>
      </c>
      <c r="AA265" s="65" t="str">
        <f>+IFERROR(INDEX('Restaurant Base (Hidden)'!$A$2:$Z$1048576,MATCH($C265,'Restaurant Base (Hidden)'!$C$2:$C$1048576,0),MATCH(AA$6,'Restaurant Base (Hidden)'!$A$1:$Z$1,0)),"")</f>
        <v>58,80 %</v>
      </c>
      <c r="AB265" s="1">
        <f>+IFERROR(INDEX('Restaurant Base (Hidden)'!$A$2:$Z$1048576,MATCH($C265,'Restaurant Base (Hidden)'!$C$2:$C$1048576,0),MATCH(AB$6,'Restaurant Base (Hidden)'!$A$1:$Z$1,0)),"")</f>
        <v>1</v>
      </c>
      <c r="AC265" s="20" t="str">
        <f>+IFERROR(INDEX('Restaurant Base (Hidden)'!$A$2:$Z$1048576,MATCH($C265,'Restaurant Base (Hidden)'!$C$2:$C$1048576,0),MATCH(AC$6,'Restaurant Base (Hidden)'!$A$1:$Z$1,0)),"")</f>
        <v/>
      </c>
      <c r="AD265" s="65" t="str">
        <f>+IFERROR(INDEX('Restaurant Base (Hidden)'!$A$2:$Z$1048576,MATCH($C265,'Restaurant Base (Hidden)'!$C$2:$C$1048576,0),MATCH(AD$6,'Restaurant Base (Hidden)'!$A$1:$Z$1,0)),"")</f>
        <v>89,80 %</v>
      </c>
      <c r="AE265" s="1">
        <f>+IFERROR(INDEX('Restaurant Base (Hidden)'!$A$2:$Z$1048576,MATCH($C265,'Restaurant Base (Hidden)'!$C$2:$C$1048576,0),MATCH(AE$6,'Restaurant Base (Hidden)'!$A$1:$Z$1,0)),"")</f>
        <v>4</v>
      </c>
      <c r="AF265" s="65" t="str">
        <f>+IFERROR(INDEX('Restaurant Base (Hidden)'!$A$2:$Z$1048576,MATCH($C265,'Restaurant Base (Hidden)'!$C$2:$C$1048576,0),MATCH(AF$6,'Restaurant Base (Hidden)'!$A$1:$Z$1,0)),"")</f>
        <v>56,70 %</v>
      </c>
      <c r="AG265" s="1">
        <f>+IFERROR(INDEX('Restaurant Base (Hidden)'!$A$2:$Z$1048576,MATCH($C265,'Restaurant Base (Hidden)'!$C$2:$C$1048576,0),MATCH(AG$6,'Restaurant Base (Hidden)'!$A$1:$Z$1,0)),"")</f>
        <v>1</v>
      </c>
    </row>
    <row r="266" spans="1:33" x14ac:dyDescent="0.4">
      <c r="A266" s="163" t="str">
        <f>IF('Restaurant Base (Hidden)'!A200=0,"", 'Restaurant Base (Hidden)'!A200)</f>
        <v>Dakota Cavendish</v>
      </c>
      <c r="B266" s="163" t="str">
        <f>IF('Restaurant Base (Hidden)'!B200=0,"", 'Restaurant Base (Hidden)'!B200)</f>
        <v>Elmwood Dining Group</v>
      </c>
      <c r="C266" s="163" t="str">
        <f>IF('Restaurant Base (Hidden)'!C200=0,"", 'Restaurant Base (Hidden)'!C200)</f>
        <v>Spring Creek</v>
      </c>
      <c r="D266" s="104">
        <f t="shared" si="4"/>
        <v>259</v>
      </c>
      <c r="E266" s="105">
        <f>+IFERROR(INDEX('Restaurant Base (Hidden)'!$A$2:$Z$1048576,MATCH($C266,'Restaurant Base (Hidden)'!$C$2:$C$1048576,0),MATCH(E$6,'Restaurant Base (Hidden)'!$A$1:$Z$1,0)),"")</f>
        <v>2.85</v>
      </c>
      <c r="F266" s="2" t="str">
        <f>+IFERROR(INDEX('Restaurant Base (Hidden)'!$A$2:$Z$1048576,MATCH($C266,'Restaurant Base (Hidden)'!$C$2:$C$1048576,0),MATCH(F$6,'Restaurant Base (Hidden)'!$A$1:$Z$1,0)),"")</f>
        <v/>
      </c>
      <c r="G266" s="20" t="str">
        <f>+IFERROR(INDEX('Restaurant Base (Hidden)'!$A$2:$Z$1048576,MATCH($C266,'Restaurant Base (Hidden)'!$C$2:$C$1048576,0),MATCH(G$6,'Restaurant Base (Hidden)'!$A$1:$Z$1,0)),"")</f>
        <v>4,310</v>
      </c>
      <c r="H266" s="50">
        <f>+IFERROR(INDEX('Restaurant Base (Hidden)'!$A$2:$Z$1048576,MATCH($C266,'Restaurant Base (Hidden)'!$C$2:$C$1048576,0),MATCH(H$6,'Restaurant Base (Hidden)'!$A$1:$Z$1,0)),"")</f>
        <v>3</v>
      </c>
      <c r="I266" s="20" t="str">
        <f>+IFERROR(INDEX('Restaurant Base (Hidden)'!$A$2:$Z$1048576,MATCH($C266,'Restaurant Base (Hidden)'!$C$2:$C$1048576,0),MATCH(I$6,'Restaurant Base (Hidden)'!$A$1:$Z$1,0)),"")</f>
        <v>58,40 %</v>
      </c>
      <c r="J266" s="49">
        <f>+IFERROR(INDEX('Restaurant Base (Hidden)'!$A$2:$Z$1048576,MATCH($C266,'Restaurant Base (Hidden)'!$C$2:$C$1048576,0),MATCH(J$6,'Restaurant Base (Hidden)'!$A$1:$Z$1,0)),"")</f>
        <v>1</v>
      </c>
      <c r="K266" s="20" t="str">
        <f>+IFERROR(INDEX('Restaurant Base (Hidden)'!$A$2:$Z$1048576,MATCH($C266,'Restaurant Base (Hidden)'!$C$2:$C$1048576,0),MATCH(K$6,'Restaurant Base (Hidden)'!$A$1:$Z$1,0)),"")</f>
        <v>0,037</v>
      </c>
      <c r="L266" s="51">
        <f>+IFERROR(INDEX('Restaurant Base (Hidden)'!$A$2:$Z$1048576,MATCH($C266,'Restaurant Base (Hidden)'!$C$2:$C$1048576,0),MATCH(L$6,'Restaurant Base (Hidden)'!$A$1:$Z$1,0)),"")</f>
        <v>5</v>
      </c>
      <c r="M266" s="2" t="str">
        <f>+IFERROR(INDEX('Restaurant Base (Hidden)'!$A$2:$Z$1048576,MATCH($C266,'Restaurant Base (Hidden)'!$C$2:$C$1048576,0),MATCH(M$6,'Restaurant Base (Hidden)'!$A$1:$Z$1,0)),"")</f>
        <v/>
      </c>
      <c r="N266" s="234" t="str">
        <f>+IFERROR(INDEX('Restaurant Base (Hidden)'!$A$2:$Z$1048576,MATCH($C266,'Restaurant Base (Hidden)'!$C$2:$C$1048576,0),MATCH(N$6,'Restaurant Base (Hidden)'!$A$1:$Z$1,0)),"")</f>
        <v>58,60 %</v>
      </c>
      <c r="O266" s="1">
        <f>+IFERROR(INDEX('Restaurant Base (Hidden)'!$A$2:$Z$1048576,MATCH($C266,'Restaurant Base (Hidden)'!$C$2:$C$1048576,0),MATCH(O$6,'Restaurant Base (Hidden)'!$A$1:$Z$1,0)),"")</f>
        <v>1</v>
      </c>
      <c r="P266" s="2" t="str">
        <f>+IFERROR(INDEX('Restaurant Base (Hidden)'!$A$2:$Z$1048576,MATCH($C266,'Restaurant Base (Hidden)'!$C$2:$C$1048576,0),MATCH(P$6,'Restaurant Base (Hidden)'!$A$1:$Z$1,0)),"")</f>
        <v/>
      </c>
      <c r="Q266" s="234" t="str">
        <f>+IFERROR(INDEX('Restaurant Base (Hidden)'!$A$2:$Z$1048576,MATCH($C266,'Restaurant Base (Hidden)'!$C$2:$C$1048576,0),MATCH(Q$6,'Restaurant Base (Hidden)'!$A$1:$Z$1,0)),"")</f>
        <v>84,70 %</v>
      </c>
      <c r="R266" s="1">
        <f>+IFERROR(INDEX('Restaurant Base (Hidden)'!$A$2:$Z$1048576,MATCH($C266,'Restaurant Base (Hidden)'!$C$2:$C$1048576,0),MATCH(R$6,'Restaurant Base (Hidden)'!$A$1:$Z$1,0)),"")</f>
        <v>5</v>
      </c>
      <c r="S266" s="2" t="str">
        <f>+IFERROR(INDEX('Restaurant Base (Hidden)'!$A$2:$Z$1048576,MATCH($C266,'Restaurant Base (Hidden)'!$C$2:$C$1048576,0),MATCH(S$6,'Restaurant Base (Hidden)'!$A$1:$Z$1,0)),"")</f>
        <v/>
      </c>
      <c r="T266" s="62">
        <f>+IFERROR(INDEX('Restaurant Base (Hidden)'!$A$2:$Z$1048576,MATCH($C266,'Restaurant Base (Hidden)'!$C$2:$C$1048576,0),MATCH(T$6,'Restaurant Base (Hidden)'!$A$1:$Z$1,0)),"")</f>
        <v>77.099999999999994</v>
      </c>
      <c r="U266" s="1">
        <f>+IFERROR(INDEX('Restaurant Base (Hidden)'!$A$2:$Z$1048576,MATCH($C266,'Restaurant Base (Hidden)'!$C$2:$C$1048576,0),MATCH(U$6,'Restaurant Base (Hidden)'!$A$1:$Z$1,0)),"")</f>
        <v>5</v>
      </c>
      <c r="V266" s="2" t="str">
        <f>+IFERROR(INDEX('Restaurant Base (Hidden)'!$A$2:$Z$1048576,MATCH($C266,'Restaurant Base (Hidden)'!$C$2:$C$1048576,0),MATCH(V$6,'Restaurant Base (Hidden)'!$A$1:$Z$1,0)),"")</f>
        <v/>
      </c>
      <c r="W266" s="65" t="str">
        <f>+IFERROR(INDEX('Restaurant Base (Hidden)'!$A$2:$Z$1048576,MATCH($C266,'Restaurant Base (Hidden)'!$C$2:$C$1048576,0),MATCH(W$6,'Restaurant Base (Hidden)'!$A$1:$Z$1,0)),"")</f>
        <v>59,30 %</v>
      </c>
      <c r="X266" s="1">
        <f>+IFERROR(INDEX('Restaurant Base (Hidden)'!$A$2:$Z$1048576,MATCH($C266,'Restaurant Base (Hidden)'!$C$2:$C$1048576,0),MATCH(X$6,'Restaurant Base (Hidden)'!$A$1:$Z$1,0)),"")</f>
        <v>1</v>
      </c>
      <c r="Y266" s="65" t="str">
        <f>+IFERROR(INDEX('Restaurant Base (Hidden)'!$A$2:$Z$1048576,MATCH($C266,'Restaurant Base (Hidden)'!$C$2:$C$1048576,0),MATCH(Y$6,'Restaurant Base (Hidden)'!$A$1:$Z$1,0)),"")</f>
        <v>96,00 %</v>
      </c>
      <c r="Z266" s="106">
        <f>+IFERROR(INDEX('Restaurant Base (Hidden)'!$A$2:$Z$1048576,MATCH($C266,'Restaurant Base (Hidden)'!$C$2:$C$1048576,0),MATCH(Z$6,'Restaurant Base (Hidden)'!$A$1:$Z$1,0)),"")</f>
        <v>4</v>
      </c>
      <c r="AA266" s="65" t="str">
        <f>+IFERROR(INDEX('Restaurant Base (Hidden)'!$A$2:$Z$1048576,MATCH($C266,'Restaurant Base (Hidden)'!$C$2:$C$1048576,0),MATCH(AA$6,'Restaurant Base (Hidden)'!$A$1:$Z$1,0)),"")</f>
        <v>85,70 %</v>
      </c>
      <c r="AB266" s="1">
        <f>+IFERROR(INDEX('Restaurant Base (Hidden)'!$A$2:$Z$1048576,MATCH($C266,'Restaurant Base (Hidden)'!$C$2:$C$1048576,0),MATCH(AB$6,'Restaurant Base (Hidden)'!$A$1:$Z$1,0)),"")</f>
        <v>3</v>
      </c>
      <c r="AC266" s="20" t="str">
        <f>+IFERROR(INDEX('Restaurant Base (Hidden)'!$A$2:$Z$1048576,MATCH($C266,'Restaurant Base (Hidden)'!$C$2:$C$1048576,0),MATCH(AC$6,'Restaurant Base (Hidden)'!$A$1:$Z$1,0)),"")</f>
        <v/>
      </c>
      <c r="AD266" s="65" t="str">
        <f>+IFERROR(INDEX('Restaurant Base (Hidden)'!$A$2:$Z$1048576,MATCH($C266,'Restaurant Base (Hidden)'!$C$2:$C$1048576,0),MATCH(AD$6,'Restaurant Base (Hidden)'!$A$1:$Z$1,0)),"")</f>
        <v>84,50 %</v>
      </c>
      <c r="AE266" s="1">
        <f>+IFERROR(INDEX('Restaurant Base (Hidden)'!$A$2:$Z$1048576,MATCH($C266,'Restaurant Base (Hidden)'!$C$2:$C$1048576,0),MATCH(AE$6,'Restaurant Base (Hidden)'!$A$1:$Z$1,0)),"")</f>
        <v>3</v>
      </c>
      <c r="AF266" s="65" t="str">
        <f>+IFERROR(INDEX('Restaurant Base (Hidden)'!$A$2:$Z$1048576,MATCH($C266,'Restaurant Base (Hidden)'!$C$2:$C$1048576,0),MATCH(AF$6,'Restaurant Base (Hidden)'!$A$1:$Z$1,0)),"")</f>
        <v>59,10 %</v>
      </c>
      <c r="AG266" s="1">
        <f>+IFERROR(INDEX('Restaurant Base (Hidden)'!$A$2:$Z$1048576,MATCH($C266,'Restaurant Base (Hidden)'!$C$2:$C$1048576,0),MATCH(AG$6,'Restaurant Base (Hidden)'!$A$1:$Z$1,0)),"")</f>
        <v>1</v>
      </c>
    </row>
    <row r="267" spans="1:33" x14ac:dyDescent="0.4">
      <c r="A267" s="163" t="str">
        <f>IF('Restaurant Base (Hidden)'!A230=0,"", 'Restaurant Base (Hidden)'!A230)</f>
        <v>Marlowe Ellington</v>
      </c>
      <c r="B267" s="163" t="str">
        <f>IF('Restaurant Base (Hidden)'!B230=0,"", 'Restaurant Base (Hidden)'!B230)</f>
        <v>Northvale Restaurants</v>
      </c>
      <c r="C267" s="163" t="str">
        <f>IF('Restaurant Base (Hidden)'!C230=0,"", 'Restaurant Base (Hidden)'!C230)</f>
        <v>Parkside Creek</v>
      </c>
      <c r="D267" s="104">
        <f t="shared" si="4"/>
        <v>259</v>
      </c>
      <c r="E267" s="105">
        <f>+IFERROR(INDEX('Restaurant Base (Hidden)'!$A$2:$Z$1048576,MATCH($C267,'Restaurant Base (Hidden)'!$C$2:$C$1048576,0),MATCH(E$6,'Restaurant Base (Hidden)'!$A$1:$Z$1,0)),"")</f>
        <v>2.85</v>
      </c>
      <c r="F267" s="2" t="str">
        <f>+IFERROR(INDEX('Restaurant Base (Hidden)'!$A$2:$Z$1048576,MATCH($C267,'Restaurant Base (Hidden)'!$C$2:$C$1048576,0),MATCH(F$6,'Restaurant Base (Hidden)'!$A$1:$Z$1,0)),"")</f>
        <v/>
      </c>
      <c r="G267" s="20" t="str">
        <f>+IFERROR(INDEX('Restaurant Base (Hidden)'!$A$2:$Z$1048576,MATCH($C267,'Restaurant Base (Hidden)'!$C$2:$C$1048576,0),MATCH(G$6,'Restaurant Base (Hidden)'!$A$1:$Z$1,0)),"")</f>
        <v>4,441</v>
      </c>
      <c r="H267" s="50">
        <f>+IFERROR(INDEX('Restaurant Base (Hidden)'!$A$2:$Z$1048576,MATCH($C267,'Restaurant Base (Hidden)'!$C$2:$C$1048576,0),MATCH(H$6,'Restaurant Base (Hidden)'!$A$1:$Z$1,0)),"")</f>
        <v>4</v>
      </c>
      <c r="I267" s="20" t="str">
        <f>+IFERROR(INDEX('Restaurant Base (Hidden)'!$A$2:$Z$1048576,MATCH($C267,'Restaurant Base (Hidden)'!$C$2:$C$1048576,0),MATCH(I$6,'Restaurant Base (Hidden)'!$A$1:$Z$1,0)),"")</f>
        <v>91,10 %</v>
      </c>
      <c r="J267" s="49">
        <f>+IFERROR(INDEX('Restaurant Base (Hidden)'!$A$2:$Z$1048576,MATCH($C267,'Restaurant Base (Hidden)'!$C$2:$C$1048576,0),MATCH(J$6,'Restaurant Base (Hidden)'!$A$1:$Z$1,0)),"")</f>
        <v>4</v>
      </c>
      <c r="K267" s="20" t="str">
        <f>+IFERROR(INDEX('Restaurant Base (Hidden)'!$A$2:$Z$1048576,MATCH($C267,'Restaurant Base (Hidden)'!$C$2:$C$1048576,0),MATCH(K$6,'Restaurant Base (Hidden)'!$A$1:$Z$1,0)),"")</f>
        <v>0,172</v>
      </c>
      <c r="L267" s="51">
        <f>+IFERROR(INDEX('Restaurant Base (Hidden)'!$A$2:$Z$1048576,MATCH($C267,'Restaurant Base (Hidden)'!$C$2:$C$1048576,0),MATCH(L$6,'Restaurant Base (Hidden)'!$A$1:$Z$1,0)),"")</f>
        <v>2</v>
      </c>
      <c r="M267" s="2" t="str">
        <f>+IFERROR(INDEX('Restaurant Base (Hidden)'!$A$2:$Z$1048576,MATCH($C267,'Restaurant Base (Hidden)'!$C$2:$C$1048576,0),MATCH(M$6,'Restaurant Base (Hidden)'!$A$1:$Z$1,0)),"")</f>
        <v/>
      </c>
      <c r="N267" s="234" t="str">
        <f>+IFERROR(INDEX('Restaurant Base (Hidden)'!$A$2:$Z$1048576,MATCH($C267,'Restaurant Base (Hidden)'!$C$2:$C$1048576,0),MATCH(N$6,'Restaurant Base (Hidden)'!$A$1:$Z$1,0)),"")</f>
        <v>93,90 %</v>
      </c>
      <c r="O267" s="1">
        <f>+IFERROR(INDEX('Restaurant Base (Hidden)'!$A$2:$Z$1048576,MATCH($C267,'Restaurant Base (Hidden)'!$C$2:$C$1048576,0),MATCH(O$6,'Restaurant Base (Hidden)'!$A$1:$Z$1,0)),"")</f>
        <v>5</v>
      </c>
      <c r="P267" s="2" t="str">
        <f>+IFERROR(INDEX('Restaurant Base (Hidden)'!$A$2:$Z$1048576,MATCH($C267,'Restaurant Base (Hidden)'!$C$2:$C$1048576,0),MATCH(P$6,'Restaurant Base (Hidden)'!$A$1:$Z$1,0)),"")</f>
        <v/>
      </c>
      <c r="Q267" s="234" t="str">
        <f>+IFERROR(INDEX('Restaurant Base (Hidden)'!$A$2:$Z$1048576,MATCH($C267,'Restaurant Base (Hidden)'!$C$2:$C$1048576,0),MATCH(Q$6,'Restaurant Base (Hidden)'!$A$1:$Z$1,0)),"")</f>
        <v>66,50 %</v>
      </c>
      <c r="R267" s="1">
        <f>+IFERROR(INDEX('Restaurant Base (Hidden)'!$A$2:$Z$1048576,MATCH($C267,'Restaurant Base (Hidden)'!$C$2:$C$1048576,0),MATCH(R$6,'Restaurant Base (Hidden)'!$A$1:$Z$1,0)),"")</f>
        <v>3</v>
      </c>
      <c r="S267" s="2" t="str">
        <f>+IFERROR(INDEX('Restaurant Base (Hidden)'!$A$2:$Z$1048576,MATCH($C267,'Restaurant Base (Hidden)'!$C$2:$C$1048576,0),MATCH(S$6,'Restaurant Base (Hidden)'!$A$1:$Z$1,0)),"")</f>
        <v/>
      </c>
      <c r="T267" s="62">
        <f>+IFERROR(INDEX('Restaurant Base (Hidden)'!$A$2:$Z$1048576,MATCH($C267,'Restaurant Base (Hidden)'!$C$2:$C$1048576,0),MATCH(T$6,'Restaurant Base (Hidden)'!$A$1:$Z$1,0)),"")</f>
        <v>53.4</v>
      </c>
      <c r="U267" s="1">
        <f>+IFERROR(INDEX('Restaurant Base (Hidden)'!$A$2:$Z$1048576,MATCH($C267,'Restaurant Base (Hidden)'!$C$2:$C$1048576,0),MATCH(U$6,'Restaurant Base (Hidden)'!$A$1:$Z$1,0)),"")</f>
        <v>1</v>
      </c>
      <c r="V267" s="2" t="str">
        <f>+IFERROR(INDEX('Restaurant Base (Hidden)'!$A$2:$Z$1048576,MATCH($C267,'Restaurant Base (Hidden)'!$C$2:$C$1048576,0),MATCH(V$6,'Restaurant Base (Hidden)'!$A$1:$Z$1,0)),"")</f>
        <v/>
      </c>
      <c r="W267" s="65" t="str">
        <f>+IFERROR(INDEX('Restaurant Base (Hidden)'!$A$2:$Z$1048576,MATCH($C267,'Restaurant Base (Hidden)'!$C$2:$C$1048576,0),MATCH(W$6,'Restaurant Base (Hidden)'!$A$1:$Z$1,0)),"")</f>
        <v>98,00 %</v>
      </c>
      <c r="X267" s="1">
        <f>+IFERROR(INDEX('Restaurant Base (Hidden)'!$A$2:$Z$1048576,MATCH($C267,'Restaurant Base (Hidden)'!$C$2:$C$1048576,0),MATCH(X$6,'Restaurant Base (Hidden)'!$A$1:$Z$1,0)),"")</f>
        <v>5</v>
      </c>
      <c r="Y267" s="65" t="str">
        <f>+IFERROR(INDEX('Restaurant Base (Hidden)'!$A$2:$Z$1048576,MATCH($C267,'Restaurant Base (Hidden)'!$C$2:$C$1048576,0),MATCH(Y$6,'Restaurant Base (Hidden)'!$A$1:$Z$1,0)),"")</f>
        <v>56,20 %</v>
      </c>
      <c r="Z267" s="106">
        <f>+IFERROR(INDEX('Restaurant Base (Hidden)'!$A$2:$Z$1048576,MATCH($C267,'Restaurant Base (Hidden)'!$C$2:$C$1048576,0),MATCH(Z$6,'Restaurant Base (Hidden)'!$A$1:$Z$1,0)),"")</f>
        <v>1</v>
      </c>
      <c r="AA267" s="65" t="str">
        <f>+IFERROR(INDEX('Restaurant Base (Hidden)'!$A$2:$Z$1048576,MATCH($C267,'Restaurant Base (Hidden)'!$C$2:$C$1048576,0),MATCH(AA$6,'Restaurant Base (Hidden)'!$A$1:$Z$1,0)),"")</f>
        <v>75,70 %</v>
      </c>
      <c r="AB267" s="1">
        <f>+IFERROR(INDEX('Restaurant Base (Hidden)'!$A$2:$Z$1048576,MATCH($C267,'Restaurant Base (Hidden)'!$C$2:$C$1048576,0),MATCH(AB$6,'Restaurant Base (Hidden)'!$A$1:$Z$1,0)),"")</f>
        <v>2</v>
      </c>
      <c r="AC267" s="20" t="str">
        <f>+IFERROR(INDEX('Restaurant Base (Hidden)'!$A$2:$Z$1048576,MATCH($C267,'Restaurant Base (Hidden)'!$C$2:$C$1048576,0),MATCH(AC$6,'Restaurant Base (Hidden)'!$A$1:$Z$1,0)),"")</f>
        <v/>
      </c>
      <c r="AD267" s="65" t="str">
        <f>+IFERROR(INDEX('Restaurant Base (Hidden)'!$A$2:$Z$1048576,MATCH($C267,'Restaurant Base (Hidden)'!$C$2:$C$1048576,0),MATCH(AD$6,'Restaurant Base (Hidden)'!$A$1:$Z$1,0)),"")</f>
        <v>74,60 %</v>
      </c>
      <c r="AE267" s="1">
        <f>+IFERROR(INDEX('Restaurant Base (Hidden)'!$A$2:$Z$1048576,MATCH($C267,'Restaurant Base (Hidden)'!$C$2:$C$1048576,0),MATCH(AE$6,'Restaurant Base (Hidden)'!$A$1:$Z$1,0)),"")</f>
        <v>2</v>
      </c>
      <c r="AF267" s="65" t="str">
        <f>+IFERROR(INDEX('Restaurant Base (Hidden)'!$A$2:$Z$1048576,MATCH($C267,'Restaurant Base (Hidden)'!$C$2:$C$1048576,0),MATCH(AF$6,'Restaurant Base (Hidden)'!$A$1:$Z$1,0)),"")</f>
        <v>55,40 %</v>
      </c>
      <c r="AG267" s="1">
        <f>+IFERROR(INDEX('Restaurant Base (Hidden)'!$A$2:$Z$1048576,MATCH($C267,'Restaurant Base (Hidden)'!$C$2:$C$1048576,0),MATCH(AG$6,'Restaurant Base (Hidden)'!$A$1:$Z$1,0)),"")</f>
        <v>1</v>
      </c>
    </row>
    <row r="268" spans="1:33" x14ac:dyDescent="0.4">
      <c r="A268" s="163" t="str">
        <f>IF('Restaurant Base (Hidden)'!A287=0,"", 'Restaurant Base (Hidden)'!A287)</f>
        <v>Dakota Cavendish</v>
      </c>
      <c r="B268" s="163" t="str">
        <f>IF('Restaurant Base (Hidden)'!B287=0,"", 'Restaurant Base (Hidden)'!B287)</f>
        <v>Brightfield Dining</v>
      </c>
      <c r="C268" s="163" t="str">
        <f>IF('Restaurant Base (Hidden)'!C287=0,"", 'Restaurant Base (Hidden)'!C287)</f>
        <v>Haven Lodge</v>
      </c>
      <c r="D268" s="104">
        <f t="shared" si="4"/>
        <v>259</v>
      </c>
      <c r="E268" s="105">
        <f>+IFERROR(INDEX('Restaurant Base (Hidden)'!$A$2:$Z$1048576,MATCH($C268,'Restaurant Base (Hidden)'!$C$2:$C$1048576,0),MATCH(E$6,'Restaurant Base (Hidden)'!$A$1:$Z$1,0)),"")</f>
        <v>2.85</v>
      </c>
      <c r="F268" s="2" t="str">
        <f>+IFERROR(INDEX('Restaurant Base (Hidden)'!$A$2:$Z$1048576,MATCH($C268,'Restaurant Base (Hidden)'!$C$2:$C$1048576,0),MATCH(F$6,'Restaurant Base (Hidden)'!$A$1:$Z$1,0)),"")</f>
        <v/>
      </c>
      <c r="G268" s="20" t="str">
        <f>+IFERROR(INDEX('Restaurant Base (Hidden)'!$A$2:$Z$1048576,MATCH($C268,'Restaurant Base (Hidden)'!$C$2:$C$1048576,0),MATCH(G$6,'Restaurant Base (Hidden)'!$A$1:$Z$1,0)),"")</f>
        <v>4,203</v>
      </c>
      <c r="H268" s="50">
        <f>+IFERROR(INDEX('Restaurant Base (Hidden)'!$A$2:$Z$1048576,MATCH($C268,'Restaurant Base (Hidden)'!$C$2:$C$1048576,0),MATCH(H$6,'Restaurant Base (Hidden)'!$A$1:$Z$1,0)),"")</f>
        <v>3</v>
      </c>
      <c r="I268" s="20" t="str">
        <f>+IFERROR(INDEX('Restaurant Base (Hidden)'!$A$2:$Z$1048576,MATCH($C268,'Restaurant Base (Hidden)'!$C$2:$C$1048576,0),MATCH(I$6,'Restaurant Base (Hidden)'!$A$1:$Z$1,0)),"")</f>
        <v>78,80 %</v>
      </c>
      <c r="J268" s="49">
        <f>+IFERROR(INDEX('Restaurant Base (Hidden)'!$A$2:$Z$1048576,MATCH($C268,'Restaurant Base (Hidden)'!$C$2:$C$1048576,0),MATCH(J$6,'Restaurant Base (Hidden)'!$A$1:$Z$1,0)),"")</f>
        <v>2</v>
      </c>
      <c r="K268" s="20" t="str">
        <f>+IFERROR(INDEX('Restaurant Base (Hidden)'!$A$2:$Z$1048576,MATCH($C268,'Restaurant Base (Hidden)'!$C$2:$C$1048576,0),MATCH(K$6,'Restaurant Base (Hidden)'!$A$1:$Z$1,0)),"")</f>
        <v>0,080</v>
      </c>
      <c r="L268" s="51">
        <f>+IFERROR(INDEX('Restaurant Base (Hidden)'!$A$2:$Z$1048576,MATCH($C268,'Restaurant Base (Hidden)'!$C$2:$C$1048576,0),MATCH(L$6,'Restaurant Base (Hidden)'!$A$1:$Z$1,0)),"")</f>
        <v>4</v>
      </c>
      <c r="M268" s="2" t="str">
        <f>+IFERROR(INDEX('Restaurant Base (Hidden)'!$A$2:$Z$1048576,MATCH($C268,'Restaurant Base (Hidden)'!$C$2:$C$1048576,0),MATCH(M$6,'Restaurant Base (Hidden)'!$A$1:$Z$1,0)),"")</f>
        <v/>
      </c>
      <c r="N268" s="234" t="str">
        <f>+IFERROR(INDEX('Restaurant Base (Hidden)'!$A$2:$Z$1048576,MATCH($C268,'Restaurant Base (Hidden)'!$C$2:$C$1048576,0),MATCH(N$6,'Restaurant Base (Hidden)'!$A$1:$Z$1,0)),"")</f>
        <v>91,00 %</v>
      </c>
      <c r="O268" s="1">
        <f>+IFERROR(INDEX('Restaurant Base (Hidden)'!$A$2:$Z$1048576,MATCH($C268,'Restaurant Base (Hidden)'!$C$2:$C$1048576,0),MATCH(O$6,'Restaurant Base (Hidden)'!$A$1:$Z$1,0)),"")</f>
        <v>5</v>
      </c>
      <c r="P268" s="2" t="str">
        <f>+IFERROR(INDEX('Restaurant Base (Hidden)'!$A$2:$Z$1048576,MATCH($C268,'Restaurant Base (Hidden)'!$C$2:$C$1048576,0),MATCH(P$6,'Restaurant Base (Hidden)'!$A$1:$Z$1,0)),"")</f>
        <v/>
      </c>
      <c r="Q268" s="234" t="str">
        <f>+IFERROR(INDEX('Restaurant Base (Hidden)'!$A$2:$Z$1048576,MATCH($C268,'Restaurant Base (Hidden)'!$C$2:$C$1048576,0),MATCH(Q$6,'Restaurant Base (Hidden)'!$A$1:$Z$1,0)),"")</f>
        <v>63,80 %</v>
      </c>
      <c r="R268" s="1">
        <f>+IFERROR(INDEX('Restaurant Base (Hidden)'!$A$2:$Z$1048576,MATCH($C268,'Restaurant Base (Hidden)'!$C$2:$C$1048576,0),MATCH(R$6,'Restaurant Base (Hidden)'!$A$1:$Z$1,0)),"")</f>
        <v>2</v>
      </c>
      <c r="S268" s="2" t="str">
        <f>+IFERROR(INDEX('Restaurant Base (Hidden)'!$A$2:$Z$1048576,MATCH($C268,'Restaurant Base (Hidden)'!$C$2:$C$1048576,0),MATCH(S$6,'Restaurant Base (Hidden)'!$A$1:$Z$1,0)),"")</f>
        <v/>
      </c>
      <c r="T268" s="62">
        <f>+IFERROR(INDEX('Restaurant Base (Hidden)'!$A$2:$Z$1048576,MATCH($C268,'Restaurant Base (Hidden)'!$C$2:$C$1048576,0),MATCH(T$6,'Restaurant Base (Hidden)'!$A$1:$Z$1,0)),"")</f>
        <v>64.099999999999994</v>
      </c>
      <c r="U268" s="1">
        <f>+IFERROR(INDEX('Restaurant Base (Hidden)'!$A$2:$Z$1048576,MATCH($C268,'Restaurant Base (Hidden)'!$C$2:$C$1048576,0),MATCH(U$6,'Restaurant Base (Hidden)'!$A$1:$Z$1,0)),"")</f>
        <v>4</v>
      </c>
      <c r="V268" s="2" t="str">
        <f>+IFERROR(INDEX('Restaurant Base (Hidden)'!$A$2:$Z$1048576,MATCH($C268,'Restaurant Base (Hidden)'!$C$2:$C$1048576,0),MATCH(V$6,'Restaurant Base (Hidden)'!$A$1:$Z$1,0)),"")</f>
        <v/>
      </c>
      <c r="W268" s="65" t="str">
        <f>+IFERROR(INDEX('Restaurant Base (Hidden)'!$A$2:$Z$1048576,MATCH($C268,'Restaurant Base (Hidden)'!$C$2:$C$1048576,0),MATCH(W$6,'Restaurant Base (Hidden)'!$A$1:$Z$1,0)),"")</f>
        <v>92,10 %</v>
      </c>
      <c r="X268" s="1">
        <f>+IFERROR(INDEX('Restaurant Base (Hidden)'!$A$2:$Z$1048576,MATCH($C268,'Restaurant Base (Hidden)'!$C$2:$C$1048576,0),MATCH(X$6,'Restaurant Base (Hidden)'!$A$1:$Z$1,0)),"")</f>
        <v>4</v>
      </c>
      <c r="Y268" s="65" t="str">
        <f>+IFERROR(INDEX('Restaurant Base (Hidden)'!$A$2:$Z$1048576,MATCH($C268,'Restaurant Base (Hidden)'!$C$2:$C$1048576,0),MATCH(Y$6,'Restaurant Base (Hidden)'!$A$1:$Z$1,0)),"")</f>
        <v>62,20 %</v>
      </c>
      <c r="Z268" s="106">
        <f>+IFERROR(INDEX('Restaurant Base (Hidden)'!$A$2:$Z$1048576,MATCH($C268,'Restaurant Base (Hidden)'!$C$2:$C$1048576,0),MATCH(Z$6,'Restaurant Base (Hidden)'!$A$1:$Z$1,0)),"")</f>
        <v>2</v>
      </c>
      <c r="AA268" s="65" t="str">
        <f>+IFERROR(INDEX('Restaurant Base (Hidden)'!$A$2:$Z$1048576,MATCH($C268,'Restaurant Base (Hidden)'!$C$2:$C$1048576,0),MATCH(AA$6,'Restaurant Base (Hidden)'!$A$1:$Z$1,0)),"")</f>
        <v>80,20 %</v>
      </c>
      <c r="AB268" s="1">
        <f>+IFERROR(INDEX('Restaurant Base (Hidden)'!$A$2:$Z$1048576,MATCH($C268,'Restaurant Base (Hidden)'!$C$2:$C$1048576,0),MATCH(AB$6,'Restaurant Base (Hidden)'!$A$1:$Z$1,0)),"")</f>
        <v>2</v>
      </c>
      <c r="AC268" s="20" t="str">
        <f>+IFERROR(INDEX('Restaurant Base (Hidden)'!$A$2:$Z$1048576,MATCH($C268,'Restaurant Base (Hidden)'!$C$2:$C$1048576,0),MATCH(AC$6,'Restaurant Base (Hidden)'!$A$1:$Z$1,0)),"")</f>
        <v/>
      </c>
      <c r="AD268" s="65" t="str">
        <f>+IFERROR(INDEX('Restaurant Base (Hidden)'!$A$2:$Z$1048576,MATCH($C268,'Restaurant Base (Hidden)'!$C$2:$C$1048576,0),MATCH(AD$6,'Restaurant Base (Hidden)'!$A$1:$Z$1,0)),"")</f>
        <v>69,50 %</v>
      </c>
      <c r="AE268" s="1">
        <f>+IFERROR(INDEX('Restaurant Base (Hidden)'!$A$2:$Z$1048576,MATCH($C268,'Restaurant Base (Hidden)'!$C$2:$C$1048576,0),MATCH(AE$6,'Restaurant Base (Hidden)'!$A$1:$Z$1,0)),"")</f>
        <v>1</v>
      </c>
      <c r="AF268" s="65" t="str">
        <f>+IFERROR(INDEX('Restaurant Base (Hidden)'!$A$2:$Z$1048576,MATCH($C268,'Restaurant Base (Hidden)'!$C$2:$C$1048576,0),MATCH(AF$6,'Restaurant Base (Hidden)'!$A$1:$Z$1,0)),"")</f>
        <v>81,40 %</v>
      </c>
      <c r="AG268" s="1">
        <f>+IFERROR(INDEX('Restaurant Base (Hidden)'!$A$2:$Z$1048576,MATCH($C268,'Restaurant Base (Hidden)'!$C$2:$C$1048576,0),MATCH(AG$6,'Restaurant Base (Hidden)'!$A$1:$Z$1,0)),"")</f>
        <v>2</v>
      </c>
    </row>
    <row r="269" spans="1:33" x14ac:dyDescent="0.4">
      <c r="A269" s="163" t="str">
        <f>IF('Restaurant Base (Hidden)'!A95=0,"", 'Restaurant Base (Hidden)'!A95)</f>
        <v>Finley Kensington</v>
      </c>
      <c r="B269" s="163" t="str">
        <f>IF('Restaurant Base (Hidden)'!B95=0,"", 'Restaurant Base (Hidden)'!B95)</f>
        <v>Clearview Dining Group</v>
      </c>
      <c r="C269" s="163" t="str">
        <f>IF('Restaurant Base (Hidden)'!C95=0,"", 'Restaurant Base (Hidden)'!C95)</f>
        <v>Greenfield Gardens</v>
      </c>
      <c r="D269" s="104">
        <f t="shared" si="4"/>
        <v>263</v>
      </c>
      <c r="E269" s="105">
        <f>+IFERROR(INDEX('Restaurant Base (Hidden)'!$A$2:$Z$1048576,MATCH($C269,'Restaurant Base (Hidden)'!$C$2:$C$1048576,0),MATCH(E$6,'Restaurant Base (Hidden)'!$A$1:$Z$1,0)),"")</f>
        <v>2.84</v>
      </c>
      <c r="F269" s="2" t="str">
        <f>+IFERROR(INDEX('Restaurant Base (Hidden)'!$A$2:$Z$1048576,MATCH($C269,'Restaurant Base (Hidden)'!$C$2:$C$1048576,0),MATCH(F$6,'Restaurant Base (Hidden)'!$A$1:$Z$1,0)),"")</f>
        <v/>
      </c>
      <c r="G269" s="20" t="str">
        <f>+IFERROR(INDEX('Restaurant Base (Hidden)'!$A$2:$Z$1048576,MATCH($C269,'Restaurant Base (Hidden)'!$C$2:$C$1048576,0),MATCH(G$6,'Restaurant Base (Hidden)'!$A$1:$Z$1,0)),"")</f>
        <v>4,443</v>
      </c>
      <c r="H269" s="50">
        <f>+IFERROR(INDEX('Restaurant Base (Hidden)'!$A$2:$Z$1048576,MATCH($C269,'Restaurant Base (Hidden)'!$C$2:$C$1048576,0),MATCH(H$6,'Restaurant Base (Hidden)'!$A$1:$Z$1,0)),"")</f>
        <v>4</v>
      </c>
      <c r="I269" s="20" t="str">
        <f>+IFERROR(INDEX('Restaurant Base (Hidden)'!$A$2:$Z$1048576,MATCH($C269,'Restaurant Base (Hidden)'!$C$2:$C$1048576,0),MATCH(I$6,'Restaurant Base (Hidden)'!$A$1:$Z$1,0)),"")</f>
        <v>77,50 %</v>
      </c>
      <c r="J269" s="49">
        <f>+IFERROR(INDEX('Restaurant Base (Hidden)'!$A$2:$Z$1048576,MATCH($C269,'Restaurant Base (Hidden)'!$C$2:$C$1048576,0),MATCH(J$6,'Restaurant Base (Hidden)'!$A$1:$Z$1,0)),"")</f>
        <v>1</v>
      </c>
      <c r="K269" s="20" t="str">
        <f>+IFERROR(INDEX('Restaurant Base (Hidden)'!$A$2:$Z$1048576,MATCH($C269,'Restaurant Base (Hidden)'!$C$2:$C$1048576,0),MATCH(K$6,'Restaurant Base (Hidden)'!$A$1:$Z$1,0)),"")</f>
        <v>0,040</v>
      </c>
      <c r="L269" s="51">
        <f>+IFERROR(INDEX('Restaurant Base (Hidden)'!$A$2:$Z$1048576,MATCH($C269,'Restaurant Base (Hidden)'!$C$2:$C$1048576,0),MATCH(L$6,'Restaurant Base (Hidden)'!$A$1:$Z$1,0)),"")</f>
        <v>5</v>
      </c>
      <c r="M269" s="2" t="str">
        <f>+IFERROR(INDEX('Restaurant Base (Hidden)'!$A$2:$Z$1048576,MATCH($C269,'Restaurant Base (Hidden)'!$C$2:$C$1048576,0),MATCH(M$6,'Restaurant Base (Hidden)'!$A$1:$Z$1,0)),"")</f>
        <v/>
      </c>
      <c r="N269" s="234" t="str">
        <f>+IFERROR(INDEX('Restaurant Base (Hidden)'!$A$2:$Z$1048576,MATCH($C269,'Restaurant Base (Hidden)'!$C$2:$C$1048576,0),MATCH(N$6,'Restaurant Base (Hidden)'!$A$1:$Z$1,0)),"")</f>
        <v>68,90 %</v>
      </c>
      <c r="O269" s="1">
        <f>+IFERROR(INDEX('Restaurant Base (Hidden)'!$A$2:$Z$1048576,MATCH($C269,'Restaurant Base (Hidden)'!$C$2:$C$1048576,0),MATCH(O$6,'Restaurant Base (Hidden)'!$A$1:$Z$1,0)),"")</f>
        <v>4</v>
      </c>
      <c r="P269" s="2" t="str">
        <f>+IFERROR(INDEX('Restaurant Base (Hidden)'!$A$2:$Z$1048576,MATCH($C269,'Restaurant Base (Hidden)'!$C$2:$C$1048576,0),MATCH(P$6,'Restaurant Base (Hidden)'!$A$1:$Z$1,0)),"")</f>
        <v/>
      </c>
      <c r="Q269" s="234" t="str">
        <f>+IFERROR(INDEX('Restaurant Base (Hidden)'!$A$2:$Z$1048576,MATCH($C269,'Restaurant Base (Hidden)'!$C$2:$C$1048576,0),MATCH(Q$6,'Restaurant Base (Hidden)'!$A$1:$Z$1,0)),"")</f>
        <v>64,30 %</v>
      </c>
      <c r="R269" s="1">
        <f>+IFERROR(INDEX('Restaurant Base (Hidden)'!$A$2:$Z$1048576,MATCH($C269,'Restaurant Base (Hidden)'!$C$2:$C$1048576,0),MATCH(R$6,'Restaurant Base (Hidden)'!$A$1:$Z$1,0)),"")</f>
        <v>2</v>
      </c>
      <c r="S269" s="2" t="str">
        <f>+IFERROR(INDEX('Restaurant Base (Hidden)'!$A$2:$Z$1048576,MATCH($C269,'Restaurant Base (Hidden)'!$C$2:$C$1048576,0),MATCH(S$6,'Restaurant Base (Hidden)'!$A$1:$Z$1,0)),"")</f>
        <v/>
      </c>
      <c r="T269" s="62">
        <f>+IFERROR(INDEX('Restaurant Base (Hidden)'!$A$2:$Z$1048576,MATCH($C269,'Restaurant Base (Hidden)'!$C$2:$C$1048576,0),MATCH(T$6,'Restaurant Base (Hidden)'!$A$1:$Z$1,0)),"")</f>
        <v>66.900000000000006</v>
      </c>
      <c r="U269" s="1">
        <f>+IFERROR(INDEX('Restaurant Base (Hidden)'!$A$2:$Z$1048576,MATCH($C269,'Restaurant Base (Hidden)'!$C$2:$C$1048576,0),MATCH(U$6,'Restaurant Base (Hidden)'!$A$1:$Z$1,0)),"")</f>
        <v>4</v>
      </c>
      <c r="V269" s="2" t="str">
        <f>+IFERROR(INDEX('Restaurant Base (Hidden)'!$A$2:$Z$1048576,MATCH($C269,'Restaurant Base (Hidden)'!$C$2:$C$1048576,0),MATCH(V$6,'Restaurant Base (Hidden)'!$A$1:$Z$1,0)),"")</f>
        <v/>
      </c>
      <c r="W269" s="65" t="str">
        <f>+IFERROR(INDEX('Restaurant Base (Hidden)'!$A$2:$Z$1048576,MATCH($C269,'Restaurant Base (Hidden)'!$C$2:$C$1048576,0),MATCH(W$6,'Restaurant Base (Hidden)'!$A$1:$Z$1,0)),"")</f>
        <v>89,70 %</v>
      </c>
      <c r="X269" s="1">
        <f>+IFERROR(INDEX('Restaurant Base (Hidden)'!$A$2:$Z$1048576,MATCH($C269,'Restaurant Base (Hidden)'!$C$2:$C$1048576,0),MATCH(X$6,'Restaurant Base (Hidden)'!$A$1:$Z$1,0)),"")</f>
        <v>3</v>
      </c>
      <c r="Y269" s="65" t="str">
        <f>+IFERROR(INDEX('Restaurant Base (Hidden)'!$A$2:$Z$1048576,MATCH($C269,'Restaurant Base (Hidden)'!$C$2:$C$1048576,0),MATCH(Y$6,'Restaurant Base (Hidden)'!$A$1:$Z$1,0)),"")</f>
        <v>90,20 %</v>
      </c>
      <c r="Z269" s="106">
        <f>+IFERROR(INDEX('Restaurant Base (Hidden)'!$A$2:$Z$1048576,MATCH($C269,'Restaurant Base (Hidden)'!$C$2:$C$1048576,0),MATCH(Z$6,'Restaurant Base (Hidden)'!$A$1:$Z$1,0)),"")</f>
        <v>3</v>
      </c>
      <c r="AA269" s="65" t="str">
        <f>+IFERROR(INDEX('Restaurant Base (Hidden)'!$A$2:$Z$1048576,MATCH($C269,'Restaurant Base (Hidden)'!$C$2:$C$1048576,0),MATCH(AA$6,'Restaurant Base (Hidden)'!$A$1:$Z$1,0)),"")</f>
        <v>58,10 %</v>
      </c>
      <c r="AB269" s="1">
        <f>+IFERROR(INDEX('Restaurant Base (Hidden)'!$A$2:$Z$1048576,MATCH($C269,'Restaurant Base (Hidden)'!$C$2:$C$1048576,0),MATCH(AB$6,'Restaurant Base (Hidden)'!$A$1:$Z$1,0)),"")</f>
        <v>1</v>
      </c>
      <c r="AC269" s="20" t="str">
        <f>+IFERROR(INDEX('Restaurant Base (Hidden)'!$A$2:$Z$1048576,MATCH($C269,'Restaurant Base (Hidden)'!$C$2:$C$1048576,0),MATCH(AC$6,'Restaurant Base (Hidden)'!$A$1:$Z$1,0)),"")</f>
        <v/>
      </c>
      <c r="AD269" s="65" t="str">
        <f>+IFERROR(INDEX('Restaurant Base (Hidden)'!$A$2:$Z$1048576,MATCH($C269,'Restaurant Base (Hidden)'!$C$2:$C$1048576,0),MATCH(AD$6,'Restaurant Base (Hidden)'!$A$1:$Z$1,0)),"")</f>
        <v>94,90 %</v>
      </c>
      <c r="AE269" s="1">
        <f>+IFERROR(INDEX('Restaurant Base (Hidden)'!$A$2:$Z$1048576,MATCH($C269,'Restaurant Base (Hidden)'!$C$2:$C$1048576,0),MATCH(AE$6,'Restaurant Base (Hidden)'!$A$1:$Z$1,0)),"")</f>
        <v>4</v>
      </c>
      <c r="AF269" s="65" t="str">
        <f>+IFERROR(INDEX('Restaurant Base (Hidden)'!$A$2:$Z$1048576,MATCH($C269,'Restaurant Base (Hidden)'!$C$2:$C$1048576,0),MATCH(AF$6,'Restaurant Base (Hidden)'!$A$1:$Z$1,0)),"")</f>
        <v>61,50 %</v>
      </c>
      <c r="AG269" s="1">
        <f>+IFERROR(INDEX('Restaurant Base (Hidden)'!$A$2:$Z$1048576,MATCH($C269,'Restaurant Base (Hidden)'!$C$2:$C$1048576,0),MATCH(AG$6,'Restaurant Base (Hidden)'!$A$1:$Z$1,0)),"")</f>
        <v>1</v>
      </c>
    </row>
    <row r="270" spans="1:33" x14ac:dyDescent="0.4">
      <c r="A270" s="163" t="str">
        <f>IF('Restaurant Base (Hidden)'!A299=0,"", 'Restaurant Base (Hidden)'!A299)</f>
        <v>Harper Langford</v>
      </c>
      <c r="B270" s="163" t="str">
        <f>IF('Restaurant Base (Hidden)'!B299=0,"", 'Restaurant Base (Hidden)'!B299)</f>
        <v>Fairmont Food Group</v>
      </c>
      <c r="C270" s="163" t="str">
        <f>IF('Restaurant Base (Hidden)'!C299=0,"", 'Restaurant Base (Hidden)'!C299)</f>
        <v>Westmere Point</v>
      </c>
      <c r="D270" s="104">
        <f t="shared" si="4"/>
        <v>263</v>
      </c>
      <c r="E270" s="105">
        <f>+IFERROR(INDEX('Restaurant Base (Hidden)'!$A$2:$Z$1048576,MATCH($C270,'Restaurant Base (Hidden)'!$C$2:$C$1048576,0),MATCH(E$6,'Restaurant Base (Hidden)'!$A$1:$Z$1,0)),"")</f>
        <v>2.84</v>
      </c>
      <c r="F270" s="2" t="str">
        <f>+IFERROR(INDEX('Restaurant Base (Hidden)'!$A$2:$Z$1048576,MATCH($C270,'Restaurant Base (Hidden)'!$C$2:$C$1048576,0),MATCH(F$6,'Restaurant Base (Hidden)'!$A$1:$Z$1,0)),"")</f>
        <v/>
      </c>
      <c r="G270" s="20" t="str">
        <f>+IFERROR(INDEX('Restaurant Base (Hidden)'!$A$2:$Z$1048576,MATCH($C270,'Restaurant Base (Hidden)'!$C$2:$C$1048576,0),MATCH(G$6,'Restaurant Base (Hidden)'!$A$1:$Z$1,0)),"")</f>
        <v>4,496</v>
      </c>
      <c r="H270" s="50">
        <f>+IFERROR(INDEX('Restaurant Base (Hidden)'!$A$2:$Z$1048576,MATCH($C270,'Restaurant Base (Hidden)'!$C$2:$C$1048576,0),MATCH(H$6,'Restaurant Base (Hidden)'!$A$1:$Z$1,0)),"")</f>
        <v>4</v>
      </c>
      <c r="I270" s="20" t="str">
        <f>+IFERROR(INDEX('Restaurant Base (Hidden)'!$A$2:$Z$1048576,MATCH($C270,'Restaurant Base (Hidden)'!$C$2:$C$1048576,0),MATCH(I$6,'Restaurant Base (Hidden)'!$A$1:$Z$1,0)),"")</f>
        <v>91,90 %</v>
      </c>
      <c r="J270" s="49">
        <f>+IFERROR(INDEX('Restaurant Base (Hidden)'!$A$2:$Z$1048576,MATCH($C270,'Restaurant Base (Hidden)'!$C$2:$C$1048576,0),MATCH(J$6,'Restaurant Base (Hidden)'!$A$1:$Z$1,0)),"")</f>
        <v>4</v>
      </c>
      <c r="K270" s="20" t="str">
        <f>+IFERROR(INDEX('Restaurant Base (Hidden)'!$A$2:$Z$1048576,MATCH($C270,'Restaurant Base (Hidden)'!$C$2:$C$1048576,0),MATCH(K$6,'Restaurant Base (Hidden)'!$A$1:$Z$1,0)),"")</f>
        <v>0,185</v>
      </c>
      <c r="L270" s="51">
        <f>+IFERROR(INDEX('Restaurant Base (Hidden)'!$A$2:$Z$1048576,MATCH($C270,'Restaurant Base (Hidden)'!$C$2:$C$1048576,0),MATCH(L$6,'Restaurant Base (Hidden)'!$A$1:$Z$1,0)),"")</f>
        <v>1</v>
      </c>
      <c r="M270" s="2" t="str">
        <f>+IFERROR(INDEX('Restaurant Base (Hidden)'!$A$2:$Z$1048576,MATCH($C270,'Restaurant Base (Hidden)'!$C$2:$C$1048576,0),MATCH(M$6,'Restaurant Base (Hidden)'!$A$1:$Z$1,0)),"")</f>
        <v/>
      </c>
      <c r="N270" s="234" t="str">
        <f>+IFERROR(INDEX('Restaurant Base (Hidden)'!$A$2:$Z$1048576,MATCH($C270,'Restaurant Base (Hidden)'!$C$2:$C$1048576,0),MATCH(N$6,'Restaurant Base (Hidden)'!$A$1:$Z$1,0)),"")</f>
        <v>60,10 %</v>
      </c>
      <c r="O270" s="1">
        <f>+IFERROR(INDEX('Restaurant Base (Hidden)'!$A$2:$Z$1048576,MATCH($C270,'Restaurant Base (Hidden)'!$C$2:$C$1048576,0),MATCH(O$6,'Restaurant Base (Hidden)'!$A$1:$Z$1,0)),"")</f>
        <v>2</v>
      </c>
      <c r="P270" s="2" t="str">
        <f>+IFERROR(INDEX('Restaurant Base (Hidden)'!$A$2:$Z$1048576,MATCH($C270,'Restaurant Base (Hidden)'!$C$2:$C$1048576,0),MATCH(P$6,'Restaurant Base (Hidden)'!$A$1:$Z$1,0)),"")</f>
        <v/>
      </c>
      <c r="Q270" s="234" t="str">
        <f>+IFERROR(INDEX('Restaurant Base (Hidden)'!$A$2:$Z$1048576,MATCH($C270,'Restaurant Base (Hidden)'!$C$2:$C$1048576,0),MATCH(Q$6,'Restaurant Base (Hidden)'!$A$1:$Z$1,0)),"")</f>
        <v>60,10 %</v>
      </c>
      <c r="R270" s="1">
        <f>+IFERROR(INDEX('Restaurant Base (Hidden)'!$A$2:$Z$1048576,MATCH($C270,'Restaurant Base (Hidden)'!$C$2:$C$1048576,0),MATCH(R$6,'Restaurant Base (Hidden)'!$A$1:$Z$1,0)),"")</f>
        <v>1</v>
      </c>
      <c r="S270" s="2" t="str">
        <f>+IFERROR(INDEX('Restaurant Base (Hidden)'!$A$2:$Z$1048576,MATCH($C270,'Restaurant Base (Hidden)'!$C$2:$C$1048576,0),MATCH(S$6,'Restaurant Base (Hidden)'!$A$1:$Z$1,0)),"")</f>
        <v/>
      </c>
      <c r="T270" s="62">
        <f>+IFERROR(INDEX('Restaurant Base (Hidden)'!$A$2:$Z$1048576,MATCH($C270,'Restaurant Base (Hidden)'!$C$2:$C$1048576,0),MATCH(T$6,'Restaurant Base (Hidden)'!$A$1:$Z$1,0)),"")</f>
        <v>70.900000000000006</v>
      </c>
      <c r="U270" s="1">
        <f>+IFERROR(INDEX('Restaurant Base (Hidden)'!$A$2:$Z$1048576,MATCH($C270,'Restaurant Base (Hidden)'!$C$2:$C$1048576,0),MATCH(U$6,'Restaurant Base (Hidden)'!$A$1:$Z$1,0)),"")</f>
        <v>5</v>
      </c>
      <c r="V270" s="2" t="str">
        <f>+IFERROR(INDEX('Restaurant Base (Hidden)'!$A$2:$Z$1048576,MATCH($C270,'Restaurant Base (Hidden)'!$C$2:$C$1048576,0),MATCH(V$6,'Restaurant Base (Hidden)'!$A$1:$Z$1,0)),"")</f>
        <v/>
      </c>
      <c r="W270" s="65" t="str">
        <f>+IFERROR(INDEX('Restaurant Base (Hidden)'!$A$2:$Z$1048576,MATCH($C270,'Restaurant Base (Hidden)'!$C$2:$C$1048576,0),MATCH(W$6,'Restaurant Base (Hidden)'!$A$1:$Z$1,0)),"")</f>
        <v>69,50 %</v>
      </c>
      <c r="X270" s="1">
        <f>+IFERROR(INDEX('Restaurant Base (Hidden)'!$A$2:$Z$1048576,MATCH($C270,'Restaurant Base (Hidden)'!$C$2:$C$1048576,0),MATCH(X$6,'Restaurant Base (Hidden)'!$A$1:$Z$1,0)),"")</f>
        <v>2</v>
      </c>
      <c r="Y270" s="65" t="str">
        <f>+IFERROR(INDEX('Restaurant Base (Hidden)'!$A$2:$Z$1048576,MATCH($C270,'Restaurant Base (Hidden)'!$C$2:$C$1048576,0),MATCH(Y$6,'Restaurant Base (Hidden)'!$A$1:$Z$1,0)),"")</f>
        <v>98,60 %</v>
      </c>
      <c r="Z270" s="106">
        <f>+IFERROR(INDEX('Restaurant Base (Hidden)'!$A$2:$Z$1048576,MATCH($C270,'Restaurant Base (Hidden)'!$C$2:$C$1048576,0),MATCH(Z$6,'Restaurant Base (Hidden)'!$A$1:$Z$1,0)),"")</f>
        <v>5</v>
      </c>
      <c r="AA270" s="65" t="str">
        <f>+IFERROR(INDEX('Restaurant Base (Hidden)'!$A$2:$Z$1048576,MATCH($C270,'Restaurant Base (Hidden)'!$C$2:$C$1048576,0),MATCH(AA$6,'Restaurant Base (Hidden)'!$A$1:$Z$1,0)),"")</f>
        <v>89,70 %</v>
      </c>
      <c r="AB270" s="1">
        <f>+IFERROR(INDEX('Restaurant Base (Hidden)'!$A$2:$Z$1048576,MATCH($C270,'Restaurant Base (Hidden)'!$C$2:$C$1048576,0),MATCH(AB$6,'Restaurant Base (Hidden)'!$A$1:$Z$1,0)),"")</f>
        <v>3</v>
      </c>
      <c r="AC270" s="20" t="str">
        <f>+IFERROR(INDEX('Restaurant Base (Hidden)'!$A$2:$Z$1048576,MATCH($C270,'Restaurant Base (Hidden)'!$C$2:$C$1048576,0),MATCH(AC$6,'Restaurant Base (Hidden)'!$A$1:$Z$1,0)),"")</f>
        <v/>
      </c>
      <c r="AD270" s="65" t="str">
        <f>+IFERROR(INDEX('Restaurant Base (Hidden)'!$A$2:$Z$1048576,MATCH($C270,'Restaurant Base (Hidden)'!$C$2:$C$1048576,0),MATCH(AD$6,'Restaurant Base (Hidden)'!$A$1:$Z$1,0)),"")</f>
        <v>77,90 %</v>
      </c>
      <c r="AE270" s="1">
        <f>+IFERROR(INDEX('Restaurant Base (Hidden)'!$A$2:$Z$1048576,MATCH($C270,'Restaurant Base (Hidden)'!$C$2:$C$1048576,0),MATCH(AE$6,'Restaurant Base (Hidden)'!$A$1:$Z$1,0)),"")</f>
        <v>2</v>
      </c>
      <c r="AF270" s="65" t="str">
        <f>+IFERROR(INDEX('Restaurant Base (Hidden)'!$A$2:$Z$1048576,MATCH($C270,'Restaurant Base (Hidden)'!$C$2:$C$1048576,0),MATCH(AF$6,'Restaurant Base (Hidden)'!$A$1:$Z$1,0)),"")</f>
        <v>85,00 %</v>
      </c>
      <c r="AG270" s="1">
        <f>+IFERROR(INDEX('Restaurant Base (Hidden)'!$A$2:$Z$1048576,MATCH($C270,'Restaurant Base (Hidden)'!$C$2:$C$1048576,0),MATCH(AG$6,'Restaurant Base (Hidden)'!$A$1:$Z$1,0)),"")</f>
        <v>3</v>
      </c>
    </row>
    <row r="271" spans="1:33" x14ac:dyDescent="0.4">
      <c r="A271" s="163" t="str">
        <f>IF('Restaurant Base (Hidden)'!A352=0,"", 'Restaurant Base (Hidden)'!A352)</f>
        <v>Casey Briarwood</v>
      </c>
      <c r="B271" s="163" t="str">
        <f>IF('Restaurant Base (Hidden)'!B352=0,"", 'Restaurant Base (Hidden)'!B352)</f>
        <v>Oakmont Dining Partners</v>
      </c>
      <c r="C271" s="163" t="str">
        <f>IF('Restaurant Base (Hidden)'!C352=0,"", 'Restaurant Base (Hidden)'!C352)</f>
        <v>Maple View</v>
      </c>
      <c r="D271" s="104">
        <f t="shared" si="4"/>
        <v>263</v>
      </c>
      <c r="E271" s="105">
        <f>+IFERROR(INDEX('Restaurant Base (Hidden)'!$A$2:$Z$1048576,MATCH($C271,'Restaurant Base (Hidden)'!$C$2:$C$1048576,0),MATCH(E$6,'Restaurant Base (Hidden)'!$A$1:$Z$1,0)),"")</f>
        <v>2.84</v>
      </c>
      <c r="F271" s="2" t="str">
        <f>+IFERROR(INDEX('Restaurant Base (Hidden)'!$A$2:$Z$1048576,MATCH($C271,'Restaurant Base (Hidden)'!$C$2:$C$1048576,0),MATCH(F$6,'Restaurant Base (Hidden)'!$A$1:$Z$1,0)),"")</f>
        <v/>
      </c>
      <c r="G271" s="20" t="str">
        <f>+IFERROR(INDEX('Restaurant Base (Hidden)'!$A$2:$Z$1048576,MATCH($C271,'Restaurant Base (Hidden)'!$C$2:$C$1048576,0),MATCH(G$6,'Restaurant Base (Hidden)'!$A$1:$Z$1,0)),"")</f>
        <v>4,095</v>
      </c>
      <c r="H271" s="50">
        <f>+IFERROR(INDEX('Restaurant Base (Hidden)'!$A$2:$Z$1048576,MATCH($C271,'Restaurant Base (Hidden)'!$C$2:$C$1048576,0),MATCH(H$6,'Restaurant Base (Hidden)'!$A$1:$Z$1,0)),"")</f>
        <v>2</v>
      </c>
      <c r="I271" s="20" t="str">
        <f>+IFERROR(INDEX('Restaurant Base (Hidden)'!$A$2:$Z$1048576,MATCH($C271,'Restaurant Base (Hidden)'!$C$2:$C$1048576,0),MATCH(I$6,'Restaurant Base (Hidden)'!$A$1:$Z$1,0)),"")</f>
        <v>85,90 %</v>
      </c>
      <c r="J271" s="49">
        <f>+IFERROR(INDEX('Restaurant Base (Hidden)'!$A$2:$Z$1048576,MATCH($C271,'Restaurant Base (Hidden)'!$C$2:$C$1048576,0),MATCH(J$6,'Restaurant Base (Hidden)'!$A$1:$Z$1,0)),"")</f>
        <v>3</v>
      </c>
      <c r="K271" s="20" t="str">
        <f>+IFERROR(INDEX('Restaurant Base (Hidden)'!$A$2:$Z$1048576,MATCH($C271,'Restaurant Base (Hidden)'!$C$2:$C$1048576,0),MATCH(K$6,'Restaurant Base (Hidden)'!$A$1:$Z$1,0)),"")</f>
        <v>0,143</v>
      </c>
      <c r="L271" s="51">
        <f>+IFERROR(INDEX('Restaurant Base (Hidden)'!$A$2:$Z$1048576,MATCH($C271,'Restaurant Base (Hidden)'!$C$2:$C$1048576,0),MATCH(L$6,'Restaurant Base (Hidden)'!$A$1:$Z$1,0)),"")</f>
        <v>2</v>
      </c>
      <c r="M271" s="2" t="str">
        <f>+IFERROR(INDEX('Restaurant Base (Hidden)'!$A$2:$Z$1048576,MATCH($C271,'Restaurant Base (Hidden)'!$C$2:$C$1048576,0),MATCH(M$6,'Restaurant Base (Hidden)'!$A$1:$Z$1,0)),"")</f>
        <v/>
      </c>
      <c r="N271" s="234" t="str">
        <f>+IFERROR(INDEX('Restaurant Base (Hidden)'!$A$2:$Z$1048576,MATCH($C271,'Restaurant Base (Hidden)'!$C$2:$C$1048576,0),MATCH(N$6,'Restaurant Base (Hidden)'!$A$1:$Z$1,0)),"")</f>
        <v>62,30 %</v>
      </c>
      <c r="O271" s="1">
        <f>+IFERROR(INDEX('Restaurant Base (Hidden)'!$A$2:$Z$1048576,MATCH($C271,'Restaurant Base (Hidden)'!$C$2:$C$1048576,0),MATCH(O$6,'Restaurant Base (Hidden)'!$A$1:$Z$1,0)),"")</f>
        <v>2</v>
      </c>
      <c r="P271" s="2" t="str">
        <f>+IFERROR(INDEX('Restaurant Base (Hidden)'!$A$2:$Z$1048576,MATCH($C271,'Restaurant Base (Hidden)'!$C$2:$C$1048576,0),MATCH(P$6,'Restaurant Base (Hidden)'!$A$1:$Z$1,0)),"")</f>
        <v/>
      </c>
      <c r="Q271" s="234" t="str">
        <f>+IFERROR(INDEX('Restaurant Base (Hidden)'!$A$2:$Z$1048576,MATCH($C271,'Restaurant Base (Hidden)'!$C$2:$C$1048576,0),MATCH(Q$6,'Restaurant Base (Hidden)'!$A$1:$Z$1,0)),"")</f>
        <v>77,60 %</v>
      </c>
      <c r="R271" s="1">
        <f>+IFERROR(INDEX('Restaurant Base (Hidden)'!$A$2:$Z$1048576,MATCH($C271,'Restaurant Base (Hidden)'!$C$2:$C$1048576,0),MATCH(R$6,'Restaurant Base (Hidden)'!$A$1:$Z$1,0)),"")</f>
        <v>5</v>
      </c>
      <c r="S271" s="2" t="str">
        <f>+IFERROR(INDEX('Restaurant Base (Hidden)'!$A$2:$Z$1048576,MATCH($C271,'Restaurant Base (Hidden)'!$C$2:$C$1048576,0),MATCH(S$6,'Restaurant Base (Hidden)'!$A$1:$Z$1,0)),"")</f>
        <v/>
      </c>
      <c r="T271" s="62">
        <f>+IFERROR(INDEX('Restaurant Base (Hidden)'!$A$2:$Z$1048576,MATCH($C271,'Restaurant Base (Hidden)'!$C$2:$C$1048576,0),MATCH(T$6,'Restaurant Base (Hidden)'!$A$1:$Z$1,0)),"")</f>
        <v>64.8</v>
      </c>
      <c r="U271" s="1">
        <f>+IFERROR(INDEX('Restaurant Base (Hidden)'!$A$2:$Z$1048576,MATCH($C271,'Restaurant Base (Hidden)'!$C$2:$C$1048576,0),MATCH(U$6,'Restaurant Base (Hidden)'!$A$1:$Z$1,0)),"")</f>
        <v>4</v>
      </c>
      <c r="V271" s="2" t="str">
        <f>+IFERROR(INDEX('Restaurant Base (Hidden)'!$A$2:$Z$1048576,MATCH($C271,'Restaurant Base (Hidden)'!$C$2:$C$1048576,0),MATCH(V$6,'Restaurant Base (Hidden)'!$A$1:$Z$1,0)),"")</f>
        <v/>
      </c>
      <c r="W271" s="65" t="str">
        <f>+IFERROR(INDEX('Restaurant Base (Hidden)'!$A$2:$Z$1048576,MATCH($C271,'Restaurant Base (Hidden)'!$C$2:$C$1048576,0),MATCH(W$6,'Restaurant Base (Hidden)'!$A$1:$Z$1,0)),"")</f>
        <v>75,80 %</v>
      </c>
      <c r="X271" s="1">
        <f>+IFERROR(INDEX('Restaurant Base (Hidden)'!$A$2:$Z$1048576,MATCH($C271,'Restaurant Base (Hidden)'!$C$2:$C$1048576,0),MATCH(X$6,'Restaurant Base (Hidden)'!$A$1:$Z$1,0)),"")</f>
        <v>2</v>
      </c>
      <c r="Y271" s="65" t="str">
        <f>+IFERROR(INDEX('Restaurant Base (Hidden)'!$A$2:$Z$1048576,MATCH($C271,'Restaurant Base (Hidden)'!$C$2:$C$1048576,0),MATCH(Y$6,'Restaurant Base (Hidden)'!$A$1:$Z$1,0)),"")</f>
        <v>83,20 %</v>
      </c>
      <c r="Z271" s="106">
        <f>+IFERROR(INDEX('Restaurant Base (Hidden)'!$A$2:$Z$1048576,MATCH($C271,'Restaurant Base (Hidden)'!$C$2:$C$1048576,0),MATCH(Z$6,'Restaurant Base (Hidden)'!$A$1:$Z$1,0)),"")</f>
        <v>3</v>
      </c>
      <c r="AA271" s="65" t="str">
        <f>+IFERROR(INDEX('Restaurant Base (Hidden)'!$A$2:$Z$1048576,MATCH($C271,'Restaurant Base (Hidden)'!$C$2:$C$1048576,0),MATCH(AA$6,'Restaurant Base (Hidden)'!$A$1:$Z$1,0)),"")</f>
        <v>58,30 %</v>
      </c>
      <c r="AB271" s="1">
        <f>+IFERROR(INDEX('Restaurant Base (Hidden)'!$A$2:$Z$1048576,MATCH($C271,'Restaurant Base (Hidden)'!$C$2:$C$1048576,0),MATCH(AB$6,'Restaurant Base (Hidden)'!$A$1:$Z$1,0)),"")</f>
        <v>1</v>
      </c>
      <c r="AC271" s="20" t="str">
        <f>+IFERROR(INDEX('Restaurant Base (Hidden)'!$A$2:$Z$1048576,MATCH($C271,'Restaurant Base (Hidden)'!$C$2:$C$1048576,0),MATCH(AC$6,'Restaurant Base (Hidden)'!$A$1:$Z$1,0)),"")</f>
        <v/>
      </c>
      <c r="AD271" s="65" t="str">
        <f>+IFERROR(INDEX('Restaurant Base (Hidden)'!$A$2:$Z$1048576,MATCH($C271,'Restaurant Base (Hidden)'!$C$2:$C$1048576,0),MATCH(AD$6,'Restaurant Base (Hidden)'!$A$1:$Z$1,0)),"")</f>
        <v>83,90 %</v>
      </c>
      <c r="AE271" s="1">
        <f>+IFERROR(INDEX('Restaurant Base (Hidden)'!$A$2:$Z$1048576,MATCH($C271,'Restaurant Base (Hidden)'!$C$2:$C$1048576,0),MATCH(AE$6,'Restaurant Base (Hidden)'!$A$1:$Z$1,0)),"")</f>
        <v>3</v>
      </c>
      <c r="AF271" s="65" t="str">
        <f>+IFERROR(INDEX('Restaurant Base (Hidden)'!$A$2:$Z$1048576,MATCH($C271,'Restaurant Base (Hidden)'!$C$2:$C$1048576,0),MATCH(AF$6,'Restaurant Base (Hidden)'!$A$1:$Z$1,0)),"")</f>
        <v>80,90 %</v>
      </c>
      <c r="AG271" s="1">
        <f>+IFERROR(INDEX('Restaurant Base (Hidden)'!$A$2:$Z$1048576,MATCH($C271,'Restaurant Base (Hidden)'!$C$2:$C$1048576,0),MATCH(AG$6,'Restaurant Base (Hidden)'!$A$1:$Z$1,0)),"")</f>
        <v>2</v>
      </c>
    </row>
    <row r="272" spans="1:33" x14ac:dyDescent="0.4">
      <c r="A272" s="163" t="str">
        <f>IF('Restaurant Base (Hidden)'!A5=0,"", 'Restaurant Base (Hidden)'!A5)</f>
        <v>Cameron Creston</v>
      </c>
      <c r="B272" s="163" t="str">
        <f>IF('Restaurant Base (Hidden)'!B5=0,"", 'Restaurant Base (Hidden)'!B5)</f>
        <v>Oakbridge Restaurant Group</v>
      </c>
      <c r="C272" s="163" t="str">
        <f>IF('Restaurant Base (Hidden)'!C5=0,"", 'Restaurant Base (Hidden)'!C5)</f>
        <v>Parkside Quay</v>
      </c>
      <c r="D272" s="104">
        <f t="shared" si="4"/>
        <v>266</v>
      </c>
      <c r="E272" s="105">
        <f>+IFERROR(INDEX('Restaurant Base (Hidden)'!$A$2:$Z$1048576,MATCH($C272,'Restaurant Base (Hidden)'!$C$2:$C$1048576,0),MATCH(E$6,'Restaurant Base (Hidden)'!$A$1:$Z$1,0)),"")</f>
        <v>2.83</v>
      </c>
      <c r="F272" s="64" t="str">
        <f>+IFERROR(INDEX('Restaurant Base (Hidden)'!$A$2:$Z$1048576,MATCH($C272,'Restaurant Base (Hidden)'!$C$2:$C$1048576,0),MATCH(F$6,'Restaurant Base (Hidden)'!$A$1:$Z$1,0)),"")</f>
        <v/>
      </c>
      <c r="G272" s="20" t="str">
        <f>+IFERROR(INDEX('Restaurant Base (Hidden)'!$A$2:$Z$1048576,MATCH($C272,'Restaurant Base (Hidden)'!$C$2:$C$1048576,0),MATCH(G$6,'Restaurant Base (Hidden)'!$A$1:$Z$1,0)),"")</f>
        <v>4,197</v>
      </c>
      <c r="H272" s="50">
        <f>+IFERROR(INDEX('Restaurant Base (Hidden)'!$A$2:$Z$1048576,MATCH($C272,'Restaurant Base (Hidden)'!$C$2:$C$1048576,0),MATCH(H$6,'Restaurant Base (Hidden)'!$A$1:$Z$1,0)),"")</f>
        <v>2</v>
      </c>
      <c r="I272" s="20" t="str">
        <f>+IFERROR(INDEX('Restaurant Base (Hidden)'!$A$2:$Z$1048576,MATCH($C272,'Restaurant Base (Hidden)'!$C$2:$C$1048576,0),MATCH(I$6,'Restaurant Base (Hidden)'!$A$1:$Z$1,0)),"")</f>
        <v>98,40 %</v>
      </c>
      <c r="J272" s="49">
        <f>+IFERROR(INDEX('Restaurant Base (Hidden)'!$A$2:$Z$1048576,MATCH($C272,'Restaurant Base (Hidden)'!$C$2:$C$1048576,0),MATCH(J$6,'Restaurant Base (Hidden)'!$A$1:$Z$1,0)),"")</f>
        <v>5</v>
      </c>
      <c r="K272" s="20" t="str">
        <f>+IFERROR(INDEX('Restaurant Base (Hidden)'!$A$2:$Z$1048576,MATCH($C272,'Restaurant Base (Hidden)'!$C$2:$C$1048576,0),MATCH(K$6,'Restaurant Base (Hidden)'!$A$1:$Z$1,0)),"")</f>
        <v>0,184</v>
      </c>
      <c r="L272" s="51">
        <f>+IFERROR(INDEX('Restaurant Base (Hidden)'!$A$2:$Z$1048576,MATCH($C272,'Restaurant Base (Hidden)'!$C$2:$C$1048576,0),MATCH(L$6,'Restaurant Base (Hidden)'!$A$1:$Z$1,0)),"")</f>
        <v>1</v>
      </c>
      <c r="M272" s="2" t="str">
        <f>+IFERROR(INDEX('Restaurant Base (Hidden)'!$A$2:$Z$1048576,MATCH($C272,'Restaurant Base (Hidden)'!$C$2:$C$1048576,0),MATCH(M$6,'Restaurant Base (Hidden)'!$A$1:$Z$1,0)),"")</f>
        <v/>
      </c>
      <c r="N272" s="234" t="str">
        <f>+IFERROR(INDEX('Restaurant Base (Hidden)'!$A$2:$Z$1048576,MATCH($C272,'Restaurant Base (Hidden)'!$C$2:$C$1048576,0),MATCH(N$6,'Restaurant Base (Hidden)'!$A$1:$Z$1,0)),"")</f>
        <v>89,30 %</v>
      </c>
      <c r="O272" s="1">
        <f>+IFERROR(INDEX('Restaurant Base (Hidden)'!$A$2:$Z$1048576,MATCH($C272,'Restaurant Base (Hidden)'!$C$2:$C$1048576,0),MATCH(O$6,'Restaurant Base (Hidden)'!$A$1:$Z$1,0)),"")</f>
        <v>5</v>
      </c>
      <c r="P272" s="2" t="str">
        <f>+IFERROR(INDEX('Restaurant Base (Hidden)'!$A$2:$Z$1048576,MATCH($C272,'Restaurant Base (Hidden)'!$C$2:$C$1048576,0),MATCH(P$6,'Restaurant Base (Hidden)'!$A$1:$Z$1,0)),"")</f>
        <v/>
      </c>
      <c r="Q272" s="234" t="str">
        <f>+IFERROR(INDEX('Restaurant Base (Hidden)'!$A$2:$Z$1048576,MATCH($C272,'Restaurant Base (Hidden)'!$C$2:$C$1048576,0),MATCH(Q$6,'Restaurant Base (Hidden)'!$A$1:$Z$1,0)),"")</f>
        <v>58,90 %</v>
      </c>
      <c r="R272" s="1">
        <f>+IFERROR(INDEX('Restaurant Base (Hidden)'!$A$2:$Z$1048576,MATCH($C272,'Restaurant Base (Hidden)'!$C$2:$C$1048576,0),MATCH(R$6,'Restaurant Base (Hidden)'!$A$1:$Z$1,0)),"")</f>
        <v>1</v>
      </c>
      <c r="S272" s="2" t="str">
        <f>+IFERROR(INDEX('Restaurant Base (Hidden)'!$A$2:$Z$1048576,MATCH($C272,'Restaurant Base (Hidden)'!$C$2:$C$1048576,0),MATCH(S$6,'Restaurant Base (Hidden)'!$A$1:$Z$1,0)),"")</f>
        <v/>
      </c>
      <c r="T272" s="62">
        <f>+IFERROR(INDEX('Restaurant Base (Hidden)'!$A$2:$Z$1048576,MATCH($C272,'Restaurant Base (Hidden)'!$C$2:$C$1048576,0),MATCH(T$6,'Restaurant Base (Hidden)'!$A$1:$Z$1,0)),"")</f>
        <v>69.2</v>
      </c>
      <c r="U272" s="1">
        <f>+IFERROR(INDEX('Restaurant Base (Hidden)'!$A$2:$Z$1048576,MATCH($C272,'Restaurant Base (Hidden)'!$C$2:$C$1048576,0),MATCH(U$6,'Restaurant Base (Hidden)'!$A$1:$Z$1,0)),"")</f>
        <v>5</v>
      </c>
      <c r="V272" s="2" t="str">
        <f>+IFERROR(INDEX('Restaurant Base (Hidden)'!$A$2:$Z$1048576,MATCH($C272,'Restaurant Base (Hidden)'!$C$2:$C$1048576,0),MATCH(V$6,'Restaurant Base (Hidden)'!$A$1:$Z$1,0)),"")</f>
        <v/>
      </c>
      <c r="W272" s="65" t="str">
        <f>+IFERROR(INDEX('Restaurant Base (Hidden)'!$A$2:$Z$1048576,MATCH($C272,'Restaurant Base (Hidden)'!$C$2:$C$1048576,0),MATCH(W$6,'Restaurant Base (Hidden)'!$A$1:$Z$1,0)),"")</f>
        <v>85,40 %</v>
      </c>
      <c r="X272" s="1">
        <f>+IFERROR(INDEX('Restaurant Base (Hidden)'!$A$2:$Z$1048576,MATCH($C272,'Restaurant Base (Hidden)'!$C$2:$C$1048576,0),MATCH(X$6,'Restaurant Base (Hidden)'!$A$1:$Z$1,0)),"")</f>
        <v>3</v>
      </c>
      <c r="Y272" s="65" t="str">
        <f>+IFERROR(INDEX('Restaurant Base (Hidden)'!$A$2:$Z$1048576,MATCH($C272,'Restaurant Base (Hidden)'!$C$2:$C$1048576,0),MATCH(Y$6,'Restaurant Base (Hidden)'!$A$1:$Z$1,0)),"")</f>
        <v>60,50 %</v>
      </c>
      <c r="Z272" s="106">
        <f>+IFERROR(INDEX('Restaurant Base (Hidden)'!$A$2:$Z$1048576,MATCH($C272,'Restaurant Base (Hidden)'!$C$2:$C$1048576,0),MATCH(Z$6,'Restaurant Base (Hidden)'!$A$1:$Z$1,0)),"")</f>
        <v>2</v>
      </c>
      <c r="AA272" s="65" t="str">
        <f>+IFERROR(INDEX('Restaurant Base (Hidden)'!$A$2:$Z$1048576,MATCH($C272,'Restaurant Base (Hidden)'!$C$2:$C$1048576,0),MATCH(AA$6,'Restaurant Base (Hidden)'!$A$1:$Z$1,0)),"")</f>
        <v>95,40 %</v>
      </c>
      <c r="AB272" s="1">
        <f>+IFERROR(INDEX('Restaurant Base (Hidden)'!$A$2:$Z$1048576,MATCH($C272,'Restaurant Base (Hidden)'!$C$2:$C$1048576,0),MATCH(AB$6,'Restaurant Base (Hidden)'!$A$1:$Z$1,0)),"")</f>
        <v>3</v>
      </c>
      <c r="AC272" s="20" t="str">
        <f>+IFERROR(INDEX('Restaurant Base (Hidden)'!$A$2:$Z$1048576,MATCH($C272,'Restaurant Base (Hidden)'!$C$2:$C$1048576,0),MATCH(AC$6,'Restaurant Base (Hidden)'!$A$1:$Z$1,0)),"")</f>
        <v/>
      </c>
      <c r="AD272" s="65" t="str">
        <f>+IFERROR(INDEX('Restaurant Base (Hidden)'!$A$2:$Z$1048576,MATCH($C272,'Restaurant Base (Hidden)'!$C$2:$C$1048576,0),MATCH(AD$6,'Restaurant Base (Hidden)'!$A$1:$Z$1,0)),"")</f>
        <v>56,60 %</v>
      </c>
      <c r="AE272" s="1">
        <f>+IFERROR(INDEX('Restaurant Base (Hidden)'!$A$2:$Z$1048576,MATCH($C272,'Restaurant Base (Hidden)'!$C$2:$C$1048576,0),MATCH(AE$6,'Restaurant Base (Hidden)'!$A$1:$Z$1,0)),"")</f>
        <v>1</v>
      </c>
      <c r="AF272" s="65" t="str">
        <f>+IFERROR(INDEX('Restaurant Base (Hidden)'!$A$2:$Z$1048576,MATCH($C272,'Restaurant Base (Hidden)'!$C$2:$C$1048576,0),MATCH(AF$6,'Restaurant Base (Hidden)'!$A$1:$Z$1,0)),"")</f>
        <v>73,00 %</v>
      </c>
      <c r="AG272" s="1">
        <f>+IFERROR(INDEX('Restaurant Base (Hidden)'!$A$2:$Z$1048576,MATCH($C272,'Restaurant Base (Hidden)'!$C$2:$C$1048576,0),MATCH(AG$6,'Restaurant Base (Hidden)'!$A$1:$Z$1,0)),"")</f>
        <v>1</v>
      </c>
    </row>
    <row r="273" spans="1:33" x14ac:dyDescent="0.4">
      <c r="A273" s="163" t="str">
        <f>IF('Restaurant Base (Hidden)'!A164=0,"", 'Restaurant Base (Hidden)'!A164)</f>
        <v>Riley Wellington</v>
      </c>
      <c r="B273" s="163" t="str">
        <f>IF('Restaurant Base (Hidden)'!B164=0,"", 'Restaurant Base (Hidden)'!B164)</f>
        <v>Silverline Hospitality</v>
      </c>
      <c r="C273" s="163" t="str">
        <f>IF('Restaurant Base (Hidden)'!C164=0,"", 'Restaurant Base (Hidden)'!C164)</f>
        <v>Bluebell Crossing</v>
      </c>
      <c r="D273" s="104">
        <f t="shared" si="4"/>
        <v>266</v>
      </c>
      <c r="E273" s="105">
        <f>+IFERROR(INDEX('Restaurant Base (Hidden)'!$A$2:$Z$1048576,MATCH($C273,'Restaurant Base (Hidden)'!$C$2:$C$1048576,0),MATCH(E$6,'Restaurant Base (Hidden)'!$A$1:$Z$1,0)),"")</f>
        <v>2.83</v>
      </c>
      <c r="F273" s="2" t="str">
        <f>+IFERROR(INDEX('Restaurant Base (Hidden)'!$A$2:$Z$1048576,MATCH($C273,'Restaurant Base (Hidden)'!$C$2:$C$1048576,0),MATCH(F$6,'Restaurant Base (Hidden)'!$A$1:$Z$1,0)),"")</f>
        <v/>
      </c>
      <c r="G273" s="20" t="str">
        <f>+IFERROR(INDEX('Restaurant Base (Hidden)'!$A$2:$Z$1048576,MATCH($C273,'Restaurant Base (Hidden)'!$C$2:$C$1048576,0),MATCH(G$6,'Restaurant Base (Hidden)'!$A$1:$Z$1,0)),"")</f>
        <v>4,146</v>
      </c>
      <c r="H273" s="50">
        <f>+IFERROR(INDEX('Restaurant Base (Hidden)'!$A$2:$Z$1048576,MATCH($C273,'Restaurant Base (Hidden)'!$C$2:$C$1048576,0),MATCH(H$6,'Restaurant Base (Hidden)'!$A$1:$Z$1,0)),"")</f>
        <v>2</v>
      </c>
      <c r="I273" s="20" t="str">
        <f>+IFERROR(INDEX('Restaurant Base (Hidden)'!$A$2:$Z$1048576,MATCH($C273,'Restaurant Base (Hidden)'!$C$2:$C$1048576,0),MATCH(I$6,'Restaurant Base (Hidden)'!$A$1:$Z$1,0)),"")</f>
        <v>81,70 %</v>
      </c>
      <c r="J273" s="49">
        <f>+IFERROR(INDEX('Restaurant Base (Hidden)'!$A$2:$Z$1048576,MATCH($C273,'Restaurant Base (Hidden)'!$C$2:$C$1048576,0),MATCH(J$6,'Restaurant Base (Hidden)'!$A$1:$Z$1,0)),"")</f>
        <v>2</v>
      </c>
      <c r="K273" s="20" t="str">
        <f>+IFERROR(INDEX('Restaurant Base (Hidden)'!$A$2:$Z$1048576,MATCH($C273,'Restaurant Base (Hidden)'!$C$2:$C$1048576,0),MATCH(K$6,'Restaurant Base (Hidden)'!$A$1:$Z$1,0)),"")</f>
        <v>0,132</v>
      </c>
      <c r="L273" s="51">
        <f>+IFERROR(INDEX('Restaurant Base (Hidden)'!$A$2:$Z$1048576,MATCH($C273,'Restaurant Base (Hidden)'!$C$2:$C$1048576,0),MATCH(L$6,'Restaurant Base (Hidden)'!$A$1:$Z$1,0)),"")</f>
        <v>2</v>
      </c>
      <c r="M273" s="2" t="str">
        <f>+IFERROR(INDEX('Restaurant Base (Hidden)'!$A$2:$Z$1048576,MATCH($C273,'Restaurant Base (Hidden)'!$C$2:$C$1048576,0),MATCH(M$6,'Restaurant Base (Hidden)'!$A$1:$Z$1,0)),"")</f>
        <v/>
      </c>
      <c r="N273" s="234" t="str">
        <f>+IFERROR(INDEX('Restaurant Base (Hidden)'!$A$2:$Z$1048576,MATCH($C273,'Restaurant Base (Hidden)'!$C$2:$C$1048576,0),MATCH(N$6,'Restaurant Base (Hidden)'!$A$1:$Z$1,0)),"")</f>
        <v>65,30 %</v>
      </c>
      <c r="O273" s="1">
        <f>+IFERROR(INDEX('Restaurant Base (Hidden)'!$A$2:$Z$1048576,MATCH($C273,'Restaurant Base (Hidden)'!$C$2:$C$1048576,0),MATCH(O$6,'Restaurant Base (Hidden)'!$A$1:$Z$1,0)),"")</f>
        <v>3</v>
      </c>
      <c r="P273" s="2" t="str">
        <f>+IFERROR(INDEX('Restaurant Base (Hidden)'!$A$2:$Z$1048576,MATCH($C273,'Restaurant Base (Hidden)'!$C$2:$C$1048576,0),MATCH(P$6,'Restaurant Base (Hidden)'!$A$1:$Z$1,0)),"")</f>
        <v/>
      </c>
      <c r="Q273" s="234" t="str">
        <f>+IFERROR(INDEX('Restaurant Base (Hidden)'!$A$2:$Z$1048576,MATCH($C273,'Restaurant Base (Hidden)'!$C$2:$C$1048576,0),MATCH(Q$6,'Restaurant Base (Hidden)'!$A$1:$Z$1,0)),"")</f>
        <v>88,10 %</v>
      </c>
      <c r="R273" s="1">
        <f>+IFERROR(INDEX('Restaurant Base (Hidden)'!$A$2:$Z$1048576,MATCH($C273,'Restaurant Base (Hidden)'!$C$2:$C$1048576,0),MATCH(R$6,'Restaurant Base (Hidden)'!$A$1:$Z$1,0)),"")</f>
        <v>5</v>
      </c>
      <c r="S273" s="2" t="str">
        <f>+IFERROR(INDEX('Restaurant Base (Hidden)'!$A$2:$Z$1048576,MATCH($C273,'Restaurant Base (Hidden)'!$C$2:$C$1048576,0),MATCH(S$6,'Restaurant Base (Hidden)'!$A$1:$Z$1,0)),"")</f>
        <v/>
      </c>
      <c r="T273" s="62">
        <f>+IFERROR(INDEX('Restaurant Base (Hidden)'!$A$2:$Z$1048576,MATCH($C273,'Restaurant Base (Hidden)'!$C$2:$C$1048576,0),MATCH(T$6,'Restaurant Base (Hidden)'!$A$1:$Z$1,0)),"")</f>
        <v>67.7</v>
      </c>
      <c r="U273" s="1">
        <f>+IFERROR(INDEX('Restaurant Base (Hidden)'!$A$2:$Z$1048576,MATCH($C273,'Restaurant Base (Hidden)'!$C$2:$C$1048576,0),MATCH(U$6,'Restaurant Base (Hidden)'!$A$1:$Z$1,0)),"")</f>
        <v>4</v>
      </c>
      <c r="V273" s="2" t="str">
        <f>+IFERROR(INDEX('Restaurant Base (Hidden)'!$A$2:$Z$1048576,MATCH($C273,'Restaurant Base (Hidden)'!$C$2:$C$1048576,0),MATCH(V$6,'Restaurant Base (Hidden)'!$A$1:$Z$1,0)),"")</f>
        <v/>
      </c>
      <c r="W273" s="65" t="str">
        <f>+IFERROR(INDEX('Restaurant Base (Hidden)'!$A$2:$Z$1048576,MATCH($C273,'Restaurant Base (Hidden)'!$C$2:$C$1048576,0),MATCH(W$6,'Restaurant Base (Hidden)'!$A$1:$Z$1,0)),"")</f>
        <v>58,80 %</v>
      </c>
      <c r="X273" s="1">
        <f>+IFERROR(INDEX('Restaurant Base (Hidden)'!$A$2:$Z$1048576,MATCH($C273,'Restaurant Base (Hidden)'!$C$2:$C$1048576,0),MATCH(X$6,'Restaurant Base (Hidden)'!$A$1:$Z$1,0)),"")</f>
        <v>1</v>
      </c>
      <c r="Y273" s="65" t="str">
        <f>+IFERROR(INDEX('Restaurant Base (Hidden)'!$A$2:$Z$1048576,MATCH($C273,'Restaurant Base (Hidden)'!$C$2:$C$1048576,0),MATCH(Y$6,'Restaurant Base (Hidden)'!$A$1:$Z$1,0)),"")</f>
        <v>80,10 %</v>
      </c>
      <c r="Z273" s="106">
        <f>+IFERROR(INDEX('Restaurant Base (Hidden)'!$A$2:$Z$1048576,MATCH($C273,'Restaurant Base (Hidden)'!$C$2:$C$1048576,0),MATCH(Z$6,'Restaurant Base (Hidden)'!$A$1:$Z$1,0)),"")</f>
        <v>2</v>
      </c>
      <c r="AA273" s="65" t="str">
        <f>+IFERROR(INDEX('Restaurant Base (Hidden)'!$A$2:$Z$1048576,MATCH($C273,'Restaurant Base (Hidden)'!$C$2:$C$1048576,0),MATCH(AA$6,'Restaurant Base (Hidden)'!$A$1:$Z$1,0)),"")</f>
        <v>77,00 %</v>
      </c>
      <c r="AB273" s="1">
        <f>+IFERROR(INDEX('Restaurant Base (Hidden)'!$A$2:$Z$1048576,MATCH($C273,'Restaurant Base (Hidden)'!$C$2:$C$1048576,0),MATCH(AB$6,'Restaurant Base (Hidden)'!$A$1:$Z$1,0)),"")</f>
        <v>2</v>
      </c>
      <c r="AC273" s="20" t="str">
        <f>+IFERROR(INDEX('Restaurant Base (Hidden)'!$A$2:$Z$1048576,MATCH($C273,'Restaurant Base (Hidden)'!$C$2:$C$1048576,0),MATCH(AC$6,'Restaurant Base (Hidden)'!$A$1:$Z$1,0)),"")</f>
        <v/>
      </c>
      <c r="AD273" s="65" t="str">
        <f>+IFERROR(INDEX('Restaurant Base (Hidden)'!$A$2:$Z$1048576,MATCH($C273,'Restaurant Base (Hidden)'!$C$2:$C$1048576,0),MATCH(AD$6,'Restaurant Base (Hidden)'!$A$1:$Z$1,0)),"")</f>
        <v>81,90 %</v>
      </c>
      <c r="AE273" s="1">
        <f>+IFERROR(INDEX('Restaurant Base (Hidden)'!$A$2:$Z$1048576,MATCH($C273,'Restaurant Base (Hidden)'!$C$2:$C$1048576,0),MATCH(AE$6,'Restaurant Base (Hidden)'!$A$1:$Z$1,0)),"")</f>
        <v>2</v>
      </c>
      <c r="AF273" s="65" t="str">
        <f>+IFERROR(INDEX('Restaurant Base (Hidden)'!$A$2:$Z$1048576,MATCH($C273,'Restaurant Base (Hidden)'!$C$2:$C$1048576,0),MATCH(AF$6,'Restaurant Base (Hidden)'!$A$1:$Z$1,0)),"")</f>
        <v>92,60 %</v>
      </c>
      <c r="AG273" s="1">
        <f>+IFERROR(INDEX('Restaurant Base (Hidden)'!$A$2:$Z$1048576,MATCH($C273,'Restaurant Base (Hidden)'!$C$2:$C$1048576,0),MATCH(AG$6,'Restaurant Base (Hidden)'!$A$1:$Z$1,0)),"")</f>
        <v>3</v>
      </c>
    </row>
    <row r="274" spans="1:33" x14ac:dyDescent="0.4">
      <c r="A274" s="163" t="str">
        <f>IF('Restaurant Base (Hidden)'!A321=0,"", 'Restaurant Base (Hidden)'!A321)</f>
        <v>Avery Ashford</v>
      </c>
      <c r="B274" s="163" t="str">
        <f>IF('Restaurant Base (Hidden)'!B321=0,"", 'Restaurant Base (Hidden)'!B321)</f>
        <v>Sunridge Food Partners</v>
      </c>
      <c r="C274" s="163" t="str">
        <f>IF('Restaurant Base (Hidden)'!C321=0,"", 'Restaurant Base (Hidden)'!C321)</f>
        <v>Glen Crescent</v>
      </c>
      <c r="D274" s="104">
        <f t="shared" si="4"/>
        <v>266</v>
      </c>
      <c r="E274" s="105">
        <f>+IFERROR(INDEX('Restaurant Base (Hidden)'!$A$2:$Z$1048576,MATCH($C274,'Restaurant Base (Hidden)'!$C$2:$C$1048576,0),MATCH(E$6,'Restaurant Base (Hidden)'!$A$1:$Z$1,0)),"")</f>
        <v>2.83</v>
      </c>
      <c r="F274" s="2" t="str">
        <f>+IFERROR(INDEX('Restaurant Base (Hidden)'!$A$2:$Z$1048576,MATCH($C274,'Restaurant Base (Hidden)'!$C$2:$C$1048576,0),MATCH(F$6,'Restaurant Base (Hidden)'!$A$1:$Z$1,0)),"")</f>
        <v/>
      </c>
      <c r="G274" s="20" t="str">
        <f>+IFERROR(INDEX('Restaurant Base (Hidden)'!$A$2:$Z$1048576,MATCH($C274,'Restaurant Base (Hidden)'!$C$2:$C$1048576,0),MATCH(G$6,'Restaurant Base (Hidden)'!$A$1:$Z$1,0)),"")</f>
        <v>4,704</v>
      </c>
      <c r="H274" s="50">
        <f>+IFERROR(INDEX('Restaurant Base (Hidden)'!$A$2:$Z$1048576,MATCH($C274,'Restaurant Base (Hidden)'!$C$2:$C$1048576,0),MATCH(H$6,'Restaurant Base (Hidden)'!$A$1:$Z$1,0)),"")</f>
        <v>5</v>
      </c>
      <c r="I274" s="20" t="str">
        <f>+IFERROR(INDEX('Restaurant Base (Hidden)'!$A$2:$Z$1048576,MATCH($C274,'Restaurant Base (Hidden)'!$C$2:$C$1048576,0),MATCH(I$6,'Restaurant Base (Hidden)'!$A$1:$Z$1,0)),"")</f>
        <v>57,50 %</v>
      </c>
      <c r="J274" s="49">
        <f>+IFERROR(INDEX('Restaurant Base (Hidden)'!$A$2:$Z$1048576,MATCH($C274,'Restaurant Base (Hidden)'!$C$2:$C$1048576,0),MATCH(J$6,'Restaurant Base (Hidden)'!$A$1:$Z$1,0)),"")</f>
        <v>1</v>
      </c>
      <c r="K274" s="20" t="str">
        <f>+IFERROR(INDEX('Restaurant Base (Hidden)'!$A$2:$Z$1048576,MATCH($C274,'Restaurant Base (Hidden)'!$C$2:$C$1048576,0),MATCH(K$6,'Restaurant Base (Hidden)'!$A$1:$Z$1,0)),"")</f>
        <v>0,187</v>
      </c>
      <c r="L274" s="51">
        <f>+IFERROR(INDEX('Restaurant Base (Hidden)'!$A$2:$Z$1048576,MATCH($C274,'Restaurant Base (Hidden)'!$C$2:$C$1048576,0),MATCH(L$6,'Restaurant Base (Hidden)'!$A$1:$Z$1,0)),"")</f>
        <v>1</v>
      </c>
      <c r="M274" s="2" t="str">
        <f>+IFERROR(INDEX('Restaurant Base (Hidden)'!$A$2:$Z$1048576,MATCH($C274,'Restaurant Base (Hidden)'!$C$2:$C$1048576,0),MATCH(M$6,'Restaurant Base (Hidden)'!$A$1:$Z$1,0)),"")</f>
        <v/>
      </c>
      <c r="N274" s="234" t="str">
        <f>+IFERROR(INDEX('Restaurant Base (Hidden)'!$A$2:$Z$1048576,MATCH($C274,'Restaurant Base (Hidden)'!$C$2:$C$1048576,0),MATCH(N$6,'Restaurant Base (Hidden)'!$A$1:$Z$1,0)),"")</f>
        <v>65,00 %</v>
      </c>
      <c r="O274" s="1">
        <f>+IFERROR(INDEX('Restaurant Base (Hidden)'!$A$2:$Z$1048576,MATCH($C274,'Restaurant Base (Hidden)'!$C$2:$C$1048576,0),MATCH(O$6,'Restaurant Base (Hidden)'!$A$1:$Z$1,0)),"")</f>
        <v>3</v>
      </c>
      <c r="P274" s="2" t="str">
        <f>+IFERROR(INDEX('Restaurant Base (Hidden)'!$A$2:$Z$1048576,MATCH($C274,'Restaurant Base (Hidden)'!$C$2:$C$1048576,0),MATCH(P$6,'Restaurant Base (Hidden)'!$A$1:$Z$1,0)),"")</f>
        <v/>
      </c>
      <c r="Q274" s="234" t="str">
        <f>+IFERROR(INDEX('Restaurant Base (Hidden)'!$A$2:$Z$1048576,MATCH($C274,'Restaurant Base (Hidden)'!$C$2:$C$1048576,0),MATCH(Q$6,'Restaurant Base (Hidden)'!$A$1:$Z$1,0)),"")</f>
        <v>80,80 %</v>
      </c>
      <c r="R274" s="1">
        <f>+IFERROR(INDEX('Restaurant Base (Hidden)'!$A$2:$Z$1048576,MATCH($C274,'Restaurant Base (Hidden)'!$C$2:$C$1048576,0),MATCH(R$6,'Restaurant Base (Hidden)'!$A$1:$Z$1,0)),"")</f>
        <v>5</v>
      </c>
      <c r="S274" s="2" t="str">
        <f>+IFERROR(INDEX('Restaurant Base (Hidden)'!$A$2:$Z$1048576,MATCH($C274,'Restaurant Base (Hidden)'!$C$2:$C$1048576,0),MATCH(S$6,'Restaurant Base (Hidden)'!$A$1:$Z$1,0)),"")</f>
        <v/>
      </c>
      <c r="T274" s="62">
        <f>+IFERROR(INDEX('Restaurant Base (Hidden)'!$A$2:$Z$1048576,MATCH($C274,'Restaurant Base (Hidden)'!$C$2:$C$1048576,0),MATCH(T$6,'Restaurant Base (Hidden)'!$A$1:$Z$1,0)),"")</f>
        <v>55</v>
      </c>
      <c r="U274" s="1">
        <f>+IFERROR(INDEX('Restaurant Base (Hidden)'!$A$2:$Z$1048576,MATCH($C274,'Restaurant Base (Hidden)'!$C$2:$C$1048576,0),MATCH(U$6,'Restaurant Base (Hidden)'!$A$1:$Z$1,0)),"")</f>
        <v>1</v>
      </c>
      <c r="V274" s="2" t="str">
        <f>+IFERROR(INDEX('Restaurant Base (Hidden)'!$A$2:$Z$1048576,MATCH($C274,'Restaurant Base (Hidden)'!$C$2:$C$1048576,0),MATCH(V$6,'Restaurant Base (Hidden)'!$A$1:$Z$1,0)),"")</f>
        <v/>
      </c>
      <c r="W274" s="65" t="str">
        <f>+IFERROR(INDEX('Restaurant Base (Hidden)'!$A$2:$Z$1048576,MATCH($C274,'Restaurant Base (Hidden)'!$C$2:$C$1048576,0),MATCH(W$6,'Restaurant Base (Hidden)'!$A$1:$Z$1,0)),"")</f>
        <v>95,00 %</v>
      </c>
      <c r="X274" s="1">
        <f>+IFERROR(INDEX('Restaurant Base (Hidden)'!$A$2:$Z$1048576,MATCH($C274,'Restaurant Base (Hidden)'!$C$2:$C$1048576,0),MATCH(X$6,'Restaurant Base (Hidden)'!$A$1:$Z$1,0)),"")</f>
        <v>4</v>
      </c>
      <c r="Y274" s="65" t="str">
        <f>+IFERROR(INDEX('Restaurant Base (Hidden)'!$A$2:$Z$1048576,MATCH($C274,'Restaurant Base (Hidden)'!$C$2:$C$1048576,0),MATCH(Y$6,'Restaurant Base (Hidden)'!$A$1:$Z$1,0)),"")</f>
        <v>89,40 %</v>
      </c>
      <c r="Z274" s="106">
        <f>+IFERROR(INDEX('Restaurant Base (Hidden)'!$A$2:$Z$1048576,MATCH($C274,'Restaurant Base (Hidden)'!$C$2:$C$1048576,0),MATCH(Z$6,'Restaurant Base (Hidden)'!$A$1:$Z$1,0)),"")</f>
        <v>3</v>
      </c>
      <c r="AA274" s="65" t="str">
        <f>+IFERROR(INDEX('Restaurant Base (Hidden)'!$A$2:$Z$1048576,MATCH($C274,'Restaurant Base (Hidden)'!$C$2:$C$1048576,0),MATCH(AA$6,'Restaurant Base (Hidden)'!$A$1:$Z$1,0)),"")</f>
        <v>68,20 %</v>
      </c>
      <c r="AB274" s="1">
        <f>+IFERROR(INDEX('Restaurant Base (Hidden)'!$A$2:$Z$1048576,MATCH($C274,'Restaurant Base (Hidden)'!$C$2:$C$1048576,0),MATCH(AB$6,'Restaurant Base (Hidden)'!$A$1:$Z$1,0)),"")</f>
        <v>2</v>
      </c>
      <c r="AC274" s="20" t="str">
        <f>+IFERROR(INDEX('Restaurant Base (Hidden)'!$A$2:$Z$1048576,MATCH($C274,'Restaurant Base (Hidden)'!$C$2:$C$1048576,0),MATCH(AC$6,'Restaurant Base (Hidden)'!$A$1:$Z$1,0)),"")</f>
        <v/>
      </c>
      <c r="AD274" s="65" t="str">
        <f>+IFERROR(INDEX('Restaurant Base (Hidden)'!$A$2:$Z$1048576,MATCH($C274,'Restaurant Base (Hidden)'!$C$2:$C$1048576,0),MATCH(AD$6,'Restaurant Base (Hidden)'!$A$1:$Z$1,0)),"")</f>
        <v>96,00 %</v>
      </c>
      <c r="AE274" s="1">
        <f>+IFERROR(INDEX('Restaurant Base (Hidden)'!$A$2:$Z$1048576,MATCH($C274,'Restaurant Base (Hidden)'!$C$2:$C$1048576,0),MATCH(AE$6,'Restaurant Base (Hidden)'!$A$1:$Z$1,0)),"")</f>
        <v>5</v>
      </c>
      <c r="AF274" s="65" t="str">
        <f>+IFERROR(INDEX('Restaurant Base (Hidden)'!$A$2:$Z$1048576,MATCH($C274,'Restaurant Base (Hidden)'!$C$2:$C$1048576,0),MATCH(AF$6,'Restaurant Base (Hidden)'!$A$1:$Z$1,0)),"")</f>
        <v>70,40 %</v>
      </c>
      <c r="AG274" s="1">
        <f>+IFERROR(INDEX('Restaurant Base (Hidden)'!$A$2:$Z$1048576,MATCH($C274,'Restaurant Base (Hidden)'!$C$2:$C$1048576,0),MATCH(AG$6,'Restaurant Base (Hidden)'!$A$1:$Z$1,0)),"")</f>
        <v>1</v>
      </c>
    </row>
    <row r="275" spans="1:33" x14ac:dyDescent="0.4">
      <c r="A275" s="163" t="str">
        <f>IF('Restaurant Base (Hidden)'!A322=0,"", 'Restaurant Base (Hidden)'!A322)</f>
        <v>Blake Bellamy</v>
      </c>
      <c r="B275" s="163" t="str">
        <f>IF('Restaurant Base (Hidden)'!B322=0,"", 'Restaurant Base (Hidden)'!B322)</f>
        <v>Northstar Dining Group</v>
      </c>
      <c r="C275" s="163" t="str">
        <f>IF('Restaurant Base (Hidden)'!C322=0,"", 'Restaurant Base (Hidden)'!C322)</f>
        <v>Hilltop Hollow</v>
      </c>
      <c r="D275" s="104">
        <f t="shared" si="4"/>
        <v>266</v>
      </c>
      <c r="E275" s="105">
        <f>+IFERROR(INDEX('Restaurant Base (Hidden)'!$A$2:$Z$1048576,MATCH($C275,'Restaurant Base (Hidden)'!$C$2:$C$1048576,0),MATCH(E$6,'Restaurant Base (Hidden)'!$A$1:$Z$1,0)),"")</f>
        <v>2.83</v>
      </c>
      <c r="F275" s="2" t="str">
        <f>+IFERROR(INDEX('Restaurant Base (Hidden)'!$A$2:$Z$1048576,MATCH($C275,'Restaurant Base (Hidden)'!$C$2:$C$1048576,0),MATCH(F$6,'Restaurant Base (Hidden)'!$A$1:$Z$1,0)),"")</f>
        <v/>
      </c>
      <c r="G275" s="20" t="str">
        <f>+IFERROR(INDEX('Restaurant Base (Hidden)'!$A$2:$Z$1048576,MATCH($C275,'Restaurant Base (Hidden)'!$C$2:$C$1048576,0),MATCH(G$6,'Restaurant Base (Hidden)'!$A$1:$Z$1,0)),"")</f>
        <v>4,038</v>
      </c>
      <c r="H275" s="50">
        <f>+IFERROR(INDEX('Restaurant Base (Hidden)'!$A$2:$Z$1048576,MATCH($C275,'Restaurant Base (Hidden)'!$C$2:$C$1048576,0),MATCH(H$6,'Restaurant Base (Hidden)'!$A$1:$Z$1,0)),"")</f>
        <v>1</v>
      </c>
      <c r="I275" s="20" t="str">
        <f>+IFERROR(INDEX('Restaurant Base (Hidden)'!$A$2:$Z$1048576,MATCH($C275,'Restaurant Base (Hidden)'!$C$2:$C$1048576,0),MATCH(I$6,'Restaurant Base (Hidden)'!$A$1:$Z$1,0)),"")</f>
        <v>87,60 %</v>
      </c>
      <c r="J275" s="49">
        <f>+IFERROR(INDEX('Restaurant Base (Hidden)'!$A$2:$Z$1048576,MATCH($C275,'Restaurant Base (Hidden)'!$C$2:$C$1048576,0),MATCH(J$6,'Restaurant Base (Hidden)'!$A$1:$Z$1,0)),"")</f>
        <v>3</v>
      </c>
      <c r="K275" s="20" t="str">
        <f>+IFERROR(INDEX('Restaurant Base (Hidden)'!$A$2:$Z$1048576,MATCH($C275,'Restaurant Base (Hidden)'!$C$2:$C$1048576,0),MATCH(K$6,'Restaurant Base (Hidden)'!$A$1:$Z$1,0)),"")</f>
        <v>0,179</v>
      </c>
      <c r="L275" s="51">
        <f>+IFERROR(INDEX('Restaurant Base (Hidden)'!$A$2:$Z$1048576,MATCH($C275,'Restaurant Base (Hidden)'!$C$2:$C$1048576,0),MATCH(L$6,'Restaurant Base (Hidden)'!$A$1:$Z$1,0)),"")</f>
        <v>2</v>
      </c>
      <c r="M275" s="2" t="str">
        <f>+IFERROR(INDEX('Restaurant Base (Hidden)'!$A$2:$Z$1048576,MATCH($C275,'Restaurant Base (Hidden)'!$C$2:$C$1048576,0),MATCH(M$6,'Restaurant Base (Hidden)'!$A$1:$Z$1,0)),"")</f>
        <v/>
      </c>
      <c r="N275" s="234" t="str">
        <f>+IFERROR(INDEX('Restaurant Base (Hidden)'!$A$2:$Z$1048576,MATCH($C275,'Restaurant Base (Hidden)'!$C$2:$C$1048576,0),MATCH(N$6,'Restaurant Base (Hidden)'!$A$1:$Z$1,0)),"")</f>
        <v>76,70 %</v>
      </c>
      <c r="O275" s="1">
        <f>+IFERROR(INDEX('Restaurant Base (Hidden)'!$A$2:$Z$1048576,MATCH($C275,'Restaurant Base (Hidden)'!$C$2:$C$1048576,0),MATCH(O$6,'Restaurant Base (Hidden)'!$A$1:$Z$1,0)),"")</f>
        <v>5</v>
      </c>
      <c r="P275" s="2" t="str">
        <f>+IFERROR(INDEX('Restaurant Base (Hidden)'!$A$2:$Z$1048576,MATCH($C275,'Restaurant Base (Hidden)'!$C$2:$C$1048576,0),MATCH(P$6,'Restaurant Base (Hidden)'!$A$1:$Z$1,0)),"")</f>
        <v/>
      </c>
      <c r="Q275" s="234" t="str">
        <f>+IFERROR(INDEX('Restaurant Base (Hidden)'!$A$2:$Z$1048576,MATCH($C275,'Restaurant Base (Hidden)'!$C$2:$C$1048576,0),MATCH(Q$6,'Restaurant Base (Hidden)'!$A$1:$Z$1,0)),"")</f>
        <v>73,90 %</v>
      </c>
      <c r="R275" s="1">
        <f>+IFERROR(INDEX('Restaurant Base (Hidden)'!$A$2:$Z$1048576,MATCH($C275,'Restaurant Base (Hidden)'!$C$2:$C$1048576,0),MATCH(R$6,'Restaurant Base (Hidden)'!$A$1:$Z$1,0)),"")</f>
        <v>5</v>
      </c>
      <c r="S275" s="2" t="str">
        <f>+IFERROR(INDEX('Restaurant Base (Hidden)'!$A$2:$Z$1048576,MATCH($C275,'Restaurant Base (Hidden)'!$C$2:$C$1048576,0),MATCH(S$6,'Restaurant Base (Hidden)'!$A$1:$Z$1,0)),"")</f>
        <v/>
      </c>
      <c r="T275" s="62">
        <f>+IFERROR(INDEX('Restaurant Base (Hidden)'!$A$2:$Z$1048576,MATCH($C275,'Restaurant Base (Hidden)'!$C$2:$C$1048576,0),MATCH(T$6,'Restaurant Base (Hidden)'!$A$1:$Z$1,0)),"")</f>
        <v>60.9</v>
      </c>
      <c r="U275" s="1">
        <f>+IFERROR(INDEX('Restaurant Base (Hidden)'!$A$2:$Z$1048576,MATCH($C275,'Restaurant Base (Hidden)'!$C$2:$C$1048576,0),MATCH(U$6,'Restaurant Base (Hidden)'!$A$1:$Z$1,0)),"")</f>
        <v>2</v>
      </c>
      <c r="V275" s="2" t="str">
        <f>+IFERROR(INDEX('Restaurant Base (Hidden)'!$A$2:$Z$1048576,MATCH($C275,'Restaurant Base (Hidden)'!$C$2:$C$1048576,0),MATCH(V$6,'Restaurant Base (Hidden)'!$A$1:$Z$1,0)),"")</f>
        <v/>
      </c>
      <c r="W275" s="65" t="str">
        <f>+IFERROR(INDEX('Restaurant Base (Hidden)'!$A$2:$Z$1048576,MATCH($C275,'Restaurant Base (Hidden)'!$C$2:$C$1048576,0),MATCH(W$6,'Restaurant Base (Hidden)'!$A$1:$Z$1,0)),"")</f>
        <v>91,70 %</v>
      </c>
      <c r="X275" s="1">
        <f>+IFERROR(INDEX('Restaurant Base (Hidden)'!$A$2:$Z$1048576,MATCH($C275,'Restaurant Base (Hidden)'!$C$2:$C$1048576,0),MATCH(X$6,'Restaurant Base (Hidden)'!$A$1:$Z$1,0)),"")</f>
        <v>3</v>
      </c>
      <c r="Y275" s="65" t="str">
        <f>+IFERROR(INDEX('Restaurant Base (Hidden)'!$A$2:$Z$1048576,MATCH($C275,'Restaurant Base (Hidden)'!$C$2:$C$1048576,0),MATCH(Y$6,'Restaurant Base (Hidden)'!$A$1:$Z$1,0)),"")</f>
        <v>60,20 %</v>
      </c>
      <c r="Z275" s="106">
        <f>+IFERROR(INDEX('Restaurant Base (Hidden)'!$A$2:$Z$1048576,MATCH($C275,'Restaurant Base (Hidden)'!$C$2:$C$1048576,0),MATCH(Z$6,'Restaurant Base (Hidden)'!$A$1:$Z$1,0)),"")</f>
        <v>2</v>
      </c>
      <c r="AA275" s="65" t="str">
        <f>+IFERROR(INDEX('Restaurant Base (Hidden)'!$A$2:$Z$1048576,MATCH($C275,'Restaurant Base (Hidden)'!$C$2:$C$1048576,0),MATCH(AA$6,'Restaurant Base (Hidden)'!$A$1:$Z$1,0)),"")</f>
        <v>72,30 %</v>
      </c>
      <c r="AB275" s="1">
        <f>+IFERROR(INDEX('Restaurant Base (Hidden)'!$A$2:$Z$1048576,MATCH($C275,'Restaurant Base (Hidden)'!$C$2:$C$1048576,0),MATCH(AB$6,'Restaurant Base (Hidden)'!$A$1:$Z$1,0)),"")</f>
        <v>2</v>
      </c>
      <c r="AC275" s="20" t="str">
        <f>+IFERROR(INDEX('Restaurant Base (Hidden)'!$A$2:$Z$1048576,MATCH($C275,'Restaurant Base (Hidden)'!$C$2:$C$1048576,0),MATCH(AC$6,'Restaurant Base (Hidden)'!$A$1:$Z$1,0)),"")</f>
        <v/>
      </c>
      <c r="AD275" s="65" t="str">
        <f>+IFERROR(INDEX('Restaurant Base (Hidden)'!$A$2:$Z$1048576,MATCH($C275,'Restaurant Base (Hidden)'!$C$2:$C$1048576,0),MATCH(AD$6,'Restaurant Base (Hidden)'!$A$1:$Z$1,0)),"")</f>
        <v>79,00 %</v>
      </c>
      <c r="AE275" s="1">
        <f>+IFERROR(INDEX('Restaurant Base (Hidden)'!$A$2:$Z$1048576,MATCH($C275,'Restaurant Base (Hidden)'!$C$2:$C$1048576,0),MATCH(AE$6,'Restaurant Base (Hidden)'!$A$1:$Z$1,0)),"")</f>
        <v>2</v>
      </c>
      <c r="AF275" s="65" t="str">
        <f>+IFERROR(INDEX('Restaurant Base (Hidden)'!$A$2:$Z$1048576,MATCH($C275,'Restaurant Base (Hidden)'!$C$2:$C$1048576,0),MATCH(AF$6,'Restaurant Base (Hidden)'!$A$1:$Z$1,0)),"")</f>
        <v>65,10 %</v>
      </c>
      <c r="AG275" s="1">
        <f>+IFERROR(INDEX('Restaurant Base (Hidden)'!$A$2:$Z$1048576,MATCH($C275,'Restaurant Base (Hidden)'!$C$2:$C$1048576,0),MATCH(AG$6,'Restaurant Base (Hidden)'!$A$1:$Z$1,0)),"")</f>
        <v>1</v>
      </c>
    </row>
    <row r="276" spans="1:33" x14ac:dyDescent="0.4">
      <c r="A276" s="163" t="str">
        <f>IF('Restaurant Base (Hidden)'!A343=0,"", 'Restaurant Base (Hidden)'!A343)</f>
        <v>Emerson Greenleigh</v>
      </c>
      <c r="B276" s="163" t="str">
        <f>IF('Restaurant Base (Hidden)'!B343=0,"", 'Restaurant Base (Hidden)'!B343)</f>
        <v>Goldenridge Hospitality</v>
      </c>
      <c r="C276" s="163" t="str">
        <f>IF('Restaurant Base (Hidden)'!C343=0,"", 'Restaurant Base (Hidden)'!C343)</f>
        <v>Evergreen View</v>
      </c>
      <c r="D276" s="104">
        <f t="shared" si="4"/>
        <v>266</v>
      </c>
      <c r="E276" s="105">
        <f>+IFERROR(INDEX('Restaurant Base (Hidden)'!$A$2:$Z$1048576,MATCH($C276,'Restaurant Base (Hidden)'!$C$2:$C$1048576,0),MATCH(E$6,'Restaurant Base (Hidden)'!$A$1:$Z$1,0)),"")</f>
        <v>2.83</v>
      </c>
      <c r="F276" s="2" t="str">
        <f>+IFERROR(INDEX('Restaurant Base (Hidden)'!$A$2:$Z$1048576,MATCH($C276,'Restaurant Base (Hidden)'!$C$2:$C$1048576,0),MATCH(F$6,'Restaurant Base (Hidden)'!$A$1:$Z$1,0)),"")</f>
        <v/>
      </c>
      <c r="G276" s="20" t="str">
        <f>+IFERROR(INDEX('Restaurant Base (Hidden)'!$A$2:$Z$1048576,MATCH($C276,'Restaurant Base (Hidden)'!$C$2:$C$1048576,0),MATCH(G$6,'Restaurant Base (Hidden)'!$A$1:$Z$1,0)),"")</f>
        <v>4,315</v>
      </c>
      <c r="H276" s="50">
        <f>+IFERROR(INDEX('Restaurant Base (Hidden)'!$A$2:$Z$1048576,MATCH($C276,'Restaurant Base (Hidden)'!$C$2:$C$1048576,0),MATCH(H$6,'Restaurant Base (Hidden)'!$A$1:$Z$1,0)),"")</f>
        <v>3</v>
      </c>
      <c r="I276" s="20" t="str">
        <f>+IFERROR(INDEX('Restaurant Base (Hidden)'!$A$2:$Z$1048576,MATCH($C276,'Restaurant Base (Hidden)'!$C$2:$C$1048576,0),MATCH(I$6,'Restaurant Base (Hidden)'!$A$1:$Z$1,0)),"")</f>
        <v>65,40 %</v>
      </c>
      <c r="J276" s="49">
        <f>+IFERROR(INDEX('Restaurant Base (Hidden)'!$A$2:$Z$1048576,MATCH($C276,'Restaurant Base (Hidden)'!$C$2:$C$1048576,0),MATCH(J$6,'Restaurant Base (Hidden)'!$A$1:$Z$1,0)),"")</f>
        <v>1</v>
      </c>
      <c r="K276" s="20" t="str">
        <f>+IFERROR(INDEX('Restaurant Base (Hidden)'!$A$2:$Z$1048576,MATCH($C276,'Restaurant Base (Hidden)'!$C$2:$C$1048576,0),MATCH(K$6,'Restaurant Base (Hidden)'!$A$1:$Z$1,0)),"")</f>
        <v>0,061</v>
      </c>
      <c r="L276" s="51">
        <f>+IFERROR(INDEX('Restaurant Base (Hidden)'!$A$2:$Z$1048576,MATCH($C276,'Restaurant Base (Hidden)'!$C$2:$C$1048576,0),MATCH(L$6,'Restaurant Base (Hidden)'!$A$1:$Z$1,0)),"")</f>
        <v>4</v>
      </c>
      <c r="M276" s="2" t="str">
        <f>+IFERROR(INDEX('Restaurant Base (Hidden)'!$A$2:$Z$1048576,MATCH($C276,'Restaurant Base (Hidden)'!$C$2:$C$1048576,0),MATCH(M$6,'Restaurant Base (Hidden)'!$A$1:$Z$1,0)),"")</f>
        <v/>
      </c>
      <c r="N276" s="234" t="str">
        <f>+IFERROR(INDEX('Restaurant Base (Hidden)'!$A$2:$Z$1048576,MATCH($C276,'Restaurant Base (Hidden)'!$C$2:$C$1048576,0),MATCH(N$6,'Restaurant Base (Hidden)'!$A$1:$Z$1,0)),"")</f>
        <v>62,80 %</v>
      </c>
      <c r="O276" s="1">
        <f>+IFERROR(INDEX('Restaurant Base (Hidden)'!$A$2:$Z$1048576,MATCH($C276,'Restaurant Base (Hidden)'!$C$2:$C$1048576,0),MATCH(O$6,'Restaurant Base (Hidden)'!$A$1:$Z$1,0)),"")</f>
        <v>2</v>
      </c>
      <c r="P276" s="2" t="str">
        <f>+IFERROR(INDEX('Restaurant Base (Hidden)'!$A$2:$Z$1048576,MATCH($C276,'Restaurant Base (Hidden)'!$C$2:$C$1048576,0),MATCH(P$6,'Restaurant Base (Hidden)'!$A$1:$Z$1,0)),"")</f>
        <v/>
      </c>
      <c r="Q276" s="234" t="str">
        <f>+IFERROR(INDEX('Restaurant Base (Hidden)'!$A$2:$Z$1048576,MATCH($C276,'Restaurant Base (Hidden)'!$C$2:$C$1048576,0),MATCH(Q$6,'Restaurant Base (Hidden)'!$A$1:$Z$1,0)),"")</f>
        <v>74,50 %</v>
      </c>
      <c r="R276" s="1">
        <f>+IFERROR(INDEX('Restaurant Base (Hidden)'!$A$2:$Z$1048576,MATCH($C276,'Restaurant Base (Hidden)'!$C$2:$C$1048576,0),MATCH(R$6,'Restaurant Base (Hidden)'!$A$1:$Z$1,0)),"")</f>
        <v>5</v>
      </c>
      <c r="S276" s="2" t="str">
        <f>+IFERROR(INDEX('Restaurant Base (Hidden)'!$A$2:$Z$1048576,MATCH($C276,'Restaurant Base (Hidden)'!$C$2:$C$1048576,0),MATCH(S$6,'Restaurant Base (Hidden)'!$A$1:$Z$1,0)),"")</f>
        <v/>
      </c>
      <c r="T276" s="62">
        <f>+IFERROR(INDEX('Restaurant Base (Hidden)'!$A$2:$Z$1048576,MATCH($C276,'Restaurant Base (Hidden)'!$C$2:$C$1048576,0),MATCH(T$6,'Restaurant Base (Hidden)'!$A$1:$Z$1,0)),"")</f>
        <v>70.599999999999994</v>
      </c>
      <c r="U276" s="1">
        <f>+IFERROR(INDEX('Restaurant Base (Hidden)'!$A$2:$Z$1048576,MATCH($C276,'Restaurant Base (Hidden)'!$C$2:$C$1048576,0),MATCH(U$6,'Restaurant Base (Hidden)'!$A$1:$Z$1,0)),"")</f>
        <v>5</v>
      </c>
      <c r="V276" s="2" t="str">
        <f>+IFERROR(INDEX('Restaurant Base (Hidden)'!$A$2:$Z$1048576,MATCH($C276,'Restaurant Base (Hidden)'!$C$2:$C$1048576,0),MATCH(V$6,'Restaurant Base (Hidden)'!$A$1:$Z$1,0)),"")</f>
        <v/>
      </c>
      <c r="W276" s="65" t="str">
        <f>+IFERROR(INDEX('Restaurant Base (Hidden)'!$A$2:$Z$1048576,MATCH($C276,'Restaurant Base (Hidden)'!$C$2:$C$1048576,0),MATCH(W$6,'Restaurant Base (Hidden)'!$A$1:$Z$1,0)),"")</f>
        <v>76,70 %</v>
      </c>
      <c r="X276" s="1">
        <f>+IFERROR(INDEX('Restaurant Base (Hidden)'!$A$2:$Z$1048576,MATCH($C276,'Restaurant Base (Hidden)'!$C$2:$C$1048576,0),MATCH(X$6,'Restaurant Base (Hidden)'!$A$1:$Z$1,0)),"")</f>
        <v>2</v>
      </c>
      <c r="Y276" s="65" t="str">
        <f>+IFERROR(INDEX('Restaurant Base (Hidden)'!$A$2:$Z$1048576,MATCH($C276,'Restaurant Base (Hidden)'!$C$2:$C$1048576,0),MATCH(Y$6,'Restaurant Base (Hidden)'!$A$1:$Z$1,0)),"")</f>
        <v>66,50 %</v>
      </c>
      <c r="Z276" s="106">
        <f>+IFERROR(INDEX('Restaurant Base (Hidden)'!$A$2:$Z$1048576,MATCH($C276,'Restaurant Base (Hidden)'!$C$2:$C$1048576,0),MATCH(Z$6,'Restaurant Base (Hidden)'!$A$1:$Z$1,0)),"")</f>
        <v>2</v>
      </c>
      <c r="AA276" s="65" t="str">
        <f>+IFERROR(INDEX('Restaurant Base (Hidden)'!$A$2:$Z$1048576,MATCH($C276,'Restaurant Base (Hidden)'!$C$2:$C$1048576,0),MATCH(AA$6,'Restaurant Base (Hidden)'!$A$1:$Z$1,0)),"")</f>
        <v>76,40 %</v>
      </c>
      <c r="AB276" s="1">
        <f>+IFERROR(INDEX('Restaurant Base (Hidden)'!$A$2:$Z$1048576,MATCH($C276,'Restaurant Base (Hidden)'!$C$2:$C$1048576,0),MATCH(AB$6,'Restaurant Base (Hidden)'!$A$1:$Z$1,0)),"")</f>
        <v>2</v>
      </c>
      <c r="AC276" s="20" t="str">
        <f>+IFERROR(INDEX('Restaurant Base (Hidden)'!$A$2:$Z$1048576,MATCH($C276,'Restaurant Base (Hidden)'!$C$2:$C$1048576,0),MATCH(AC$6,'Restaurant Base (Hidden)'!$A$1:$Z$1,0)),"")</f>
        <v/>
      </c>
      <c r="AD276" s="65" t="str">
        <f>+IFERROR(INDEX('Restaurant Base (Hidden)'!$A$2:$Z$1048576,MATCH($C276,'Restaurant Base (Hidden)'!$C$2:$C$1048576,0),MATCH(AD$6,'Restaurant Base (Hidden)'!$A$1:$Z$1,0)),"")</f>
        <v>75,30 %</v>
      </c>
      <c r="AE276" s="1">
        <f>+IFERROR(INDEX('Restaurant Base (Hidden)'!$A$2:$Z$1048576,MATCH($C276,'Restaurant Base (Hidden)'!$C$2:$C$1048576,0),MATCH(AE$6,'Restaurant Base (Hidden)'!$A$1:$Z$1,0)),"")</f>
        <v>2</v>
      </c>
      <c r="AF276" s="65" t="str">
        <f>+IFERROR(INDEX('Restaurant Base (Hidden)'!$A$2:$Z$1048576,MATCH($C276,'Restaurant Base (Hidden)'!$C$2:$C$1048576,0),MATCH(AF$6,'Restaurant Base (Hidden)'!$A$1:$Z$1,0)),"")</f>
        <v>82,90 %</v>
      </c>
      <c r="AG276" s="1">
        <f>+IFERROR(INDEX('Restaurant Base (Hidden)'!$A$2:$Z$1048576,MATCH($C276,'Restaurant Base (Hidden)'!$C$2:$C$1048576,0),MATCH(AG$6,'Restaurant Base (Hidden)'!$A$1:$Z$1,0)),"")</f>
        <v>2</v>
      </c>
    </row>
    <row r="277" spans="1:33" x14ac:dyDescent="0.4">
      <c r="A277" s="163" t="str">
        <f>IF('Restaurant Base (Hidden)'!A68=0,"", 'Restaurant Base (Hidden)'!A68)</f>
        <v>Hayden Merriton</v>
      </c>
      <c r="B277" s="163" t="str">
        <f>IF('Restaurant Base (Hidden)'!B68=0,"", 'Restaurant Base (Hidden)'!B68)</f>
        <v>Silverbrook Dining</v>
      </c>
      <c r="C277" s="163" t="str">
        <f>IF('Restaurant Base (Hidden)'!C68=0,"", 'Restaurant Base (Hidden)'!C68)</f>
        <v>Greenfield Junction</v>
      </c>
      <c r="D277" s="104">
        <f t="shared" si="4"/>
        <v>271</v>
      </c>
      <c r="E277" s="105">
        <f>+IFERROR(INDEX('Restaurant Base (Hidden)'!$A$2:$Z$1048576,MATCH($C277,'Restaurant Base (Hidden)'!$C$2:$C$1048576,0),MATCH(E$6,'Restaurant Base (Hidden)'!$A$1:$Z$1,0)),"")</f>
        <v>2.82</v>
      </c>
      <c r="F277" s="64" t="str">
        <f>+IFERROR(INDEX('Restaurant Base (Hidden)'!$A$2:$Z$1048576,MATCH($C277,'Restaurant Base (Hidden)'!$C$2:$C$1048576,0),MATCH(F$6,'Restaurant Base (Hidden)'!$A$1:$Z$1,0)),"")</f>
        <v/>
      </c>
      <c r="G277" s="20" t="str">
        <f>+IFERROR(INDEX('Restaurant Base (Hidden)'!$A$2:$Z$1048576,MATCH($C277,'Restaurant Base (Hidden)'!$C$2:$C$1048576,0),MATCH(G$6,'Restaurant Base (Hidden)'!$A$1:$Z$1,0)),"")</f>
        <v>4,415</v>
      </c>
      <c r="H277" s="50">
        <f>+IFERROR(INDEX('Restaurant Base (Hidden)'!$A$2:$Z$1048576,MATCH($C277,'Restaurant Base (Hidden)'!$C$2:$C$1048576,0),MATCH(H$6,'Restaurant Base (Hidden)'!$A$1:$Z$1,0)),"")</f>
        <v>4</v>
      </c>
      <c r="I277" s="20" t="str">
        <f>+IFERROR(INDEX('Restaurant Base (Hidden)'!$A$2:$Z$1048576,MATCH($C277,'Restaurant Base (Hidden)'!$C$2:$C$1048576,0),MATCH(I$6,'Restaurant Base (Hidden)'!$A$1:$Z$1,0)),"")</f>
        <v>64,80 %</v>
      </c>
      <c r="J277" s="49">
        <f>+IFERROR(INDEX('Restaurant Base (Hidden)'!$A$2:$Z$1048576,MATCH($C277,'Restaurant Base (Hidden)'!$C$2:$C$1048576,0),MATCH(J$6,'Restaurant Base (Hidden)'!$A$1:$Z$1,0)),"")</f>
        <v>1</v>
      </c>
      <c r="K277" s="20" t="str">
        <f>+IFERROR(INDEX('Restaurant Base (Hidden)'!$A$2:$Z$1048576,MATCH($C277,'Restaurant Base (Hidden)'!$C$2:$C$1048576,0),MATCH(K$6,'Restaurant Base (Hidden)'!$A$1:$Z$1,0)),"")</f>
        <v>0,068</v>
      </c>
      <c r="L277" s="51">
        <f>+IFERROR(INDEX('Restaurant Base (Hidden)'!$A$2:$Z$1048576,MATCH($C277,'Restaurant Base (Hidden)'!$C$2:$C$1048576,0),MATCH(L$6,'Restaurant Base (Hidden)'!$A$1:$Z$1,0)),"")</f>
        <v>4</v>
      </c>
      <c r="M277" s="2" t="str">
        <f>+IFERROR(INDEX('Restaurant Base (Hidden)'!$A$2:$Z$1048576,MATCH($C277,'Restaurant Base (Hidden)'!$C$2:$C$1048576,0),MATCH(M$6,'Restaurant Base (Hidden)'!$A$1:$Z$1,0)),"")</f>
        <v/>
      </c>
      <c r="N277" s="234" t="str">
        <f>+IFERROR(INDEX('Restaurant Base (Hidden)'!$A$2:$Z$1048576,MATCH($C277,'Restaurant Base (Hidden)'!$C$2:$C$1048576,0),MATCH(N$6,'Restaurant Base (Hidden)'!$A$1:$Z$1,0)),"")</f>
        <v>60,70 %</v>
      </c>
      <c r="O277" s="1">
        <f>+IFERROR(INDEX('Restaurant Base (Hidden)'!$A$2:$Z$1048576,MATCH($C277,'Restaurant Base (Hidden)'!$C$2:$C$1048576,0),MATCH(O$6,'Restaurant Base (Hidden)'!$A$1:$Z$1,0)),"")</f>
        <v>2</v>
      </c>
      <c r="P277" s="2" t="str">
        <f>+IFERROR(INDEX('Restaurant Base (Hidden)'!$A$2:$Z$1048576,MATCH($C277,'Restaurant Base (Hidden)'!$C$2:$C$1048576,0),MATCH(P$6,'Restaurant Base (Hidden)'!$A$1:$Z$1,0)),"")</f>
        <v/>
      </c>
      <c r="Q277" s="234" t="str">
        <f>+IFERROR(INDEX('Restaurant Base (Hidden)'!$A$2:$Z$1048576,MATCH($C277,'Restaurant Base (Hidden)'!$C$2:$C$1048576,0),MATCH(Q$6,'Restaurant Base (Hidden)'!$A$1:$Z$1,0)),"")</f>
        <v>68,10 %</v>
      </c>
      <c r="R277" s="1">
        <f>+IFERROR(INDEX('Restaurant Base (Hidden)'!$A$2:$Z$1048576,MATCH($C277,'Restaurant Base (Hidden)'!$C$2:$C$1048576,0),MATCH(R$6,'Restaurant Base (Hidden)'!$A$1:$Z$1,0)),"")</f>
        <v>3</v>
      </c>
      <c r="S277" s="2" t="str">
        <f>+IFERROR(INDEX('Restaurant Base (Hidden)'!$A$2:$Z$1048576,MATCH($C277,'Restaurant Base (Hidden)'!$C$2:$C$1048576,0),MATCH(S$6,'Restaurant Base (Hidden)'!$A$1:$Z$1,0)),"")</f>
        <v/>
      </c>
      <c r="T277" s="62">
        <f>+IFERROR(INDEX('Restaurant Base (Hidden)'!$A$2:$Z$1048576,MATCH($C277,'Restaurant Base (Hidden)'!$C$2:$C$1048576,0),MATCH(T$6,'Restaurant Base (Hidden)'!$A$1:$Z$1,0)),"")</f>
        <v>75.099999999999994</v>
      </c>
      <c r="U277" s="1">
        <f>+IFERROR(INDEX('Restaurant Base (Hidden)'!$A$2:$Z$1048576,MATCH($C277,'Restaurant Base (Hidden)'!$C$2:$C$1048576,0),MATCH(U$6,'Restaurant Base (Hidden)'!$A$1:$Z$1,0)),"")</f>
        <v>5</v>
      </c>
      <c r="V277" s="2" t="str">
        <f>+IFERROR(INDEX('Restaurant Base (Hidden)'!$A$2:$Z$1048576,MATCH($C277,'Restaurant Base (Hidden)'!$C$2:$C$1048576,0),MATCH(V$6,'Restaurant Base (Hidden)'!$A$1:$Z$1,0)),"")</f>
        <v/>
      </c>
      <c r="W277" s="65" t="str">
        <f>+IFERROR(INDEX('Restaurant Base (Hidden)'!$A$2:$Z$1048576,MATCH($C277,'Restaurant Base (Hidden)'!$C$2:$C$1048576,0),MATCH(W$6,'Restaurant Base (Hidden)'!$A$1:$Z$1,0)),"")</f>
        <v>95,80 %</v>
      </c>
      <c r="X277" s="1">
        <f>+IFERROR(INDEX('Restaurant Base (Hidden)'!$A$2:$Z$1048576,MATCH($C277,'Restaurant Base (Hidden)'!$C$2:$C$1048576,0),MATCH(X$6,'Restaurant Base (Hidden)'!$A$1:$Z$1,0)),"")</f>
        <v>4</v>
      </c>
      <c r="Y277" s="65" t="str">
        <f>+IFERROR(INDEX('Restaurant Base (Hidden)'!$A$2:$Z$1048576,MATCH($C277,'Restaurant Base (Hidden)'!$C$2:$C$1048576,0),MATCH(Y$6,'Restaurant Base (Hidden)'!$A$1:$Z$1,0)),"")</f>
        <v>79,00 %</v>
      </c>
      <c r="Z277" s="106">
        <f>+IFERROR(INDEX('Restaurant Base (Hidden)'!$A$2:$Z$1048576,MATCH($C277,'Restaurant Base (Hidden)'!$C$2:$C$1048576,0),MATCH(Z$6,'Restaurant Base (Hidden)'!$A$1:$Z$1,0)),"")</f>
        <v>2</v>
      </c>
      <c r="AA277" s="65" t="str">
        <f>+IFERROR(INDEX('Restaurant Base (Hidden)'!$A$2:$Z$1048576,MATCH($C277,'Restaurant Base (Hidden)'!$C$2:$C$1048576,0),MATCH(AA$6,'Restaurant Base (Hidden)'!$A$1:$Z$1,0)),"")</f>
        <v>75,10 %</v>
      </c>
      <c r="AB277" s="1">
        <f>+IFERROR(INDEX('Restaurant Base (Hidden)'!$A$2:$Z$1048576,MATCH($C277,'Restaurant Base (Hidden)'!$C$2:$C$1048576,0),MATCH(AB$6,'Restaurant Base (Hidden)'!$A$1:$Z$1,0)),"")</f>
        <v>2</v>
      </c>
      <c r="AC277" s="20" t="str">
        <f>+IFERROR(INDEX('Restaurant Base (Hidden)'!$A$2:$Z$1048576,MATCH($C277,'Restaurant Base (Hidden)'!$C$2:$C$1048576,0),MATCH(AC$6,'Restaurant Base (Hidden)'!$A$1:$Z$1,0)),"")</f>
        <v/>
      </c>
      <c r="AD277" s="65" t="str">
        <f>+IFERROR(INDEX('Restaurant Base (Hidden)'!$A$2:$Z$1048576,MATCH($C277,'Restaurant Base (Hidden)'!$C$2:$C$1048576,0),MATCH(AD$6,'Restaurant Base (Hidden)'!$A$1:$Z$1,0)),"")</f>
        <v>85,50 %</v>
      </c>
      <c r="AE277" s="1">
        <f>+IFERROR(INDEX('Restaurant Base (Hidden)'!$A$2:$Z$1048576,MATCH($C277,'Restaurant Base (Hidden)'!$C$2:$C$1048576,0),MATCH(AE$6,'Restaurant Base (Hidden)'!$A$1:$Z$1,0)),"")</f>
        <v>3</v>
      </c>
      <c r="AF277" s="65" t="str">
        <f>+IFERROR(INDEX('Restaurant Base (Hidden)'!$A$2:$Z$1048576,MATCH($C277,'Restaurant Base (Hidden)'!$C$2:$C$1048576,0),MATCH(AF$6,'Restaurant Base (Hidden)'!$A$1:$Z$1,0)),"")</f>
        <v>78,10 %</v>
      </c>
      <c r="AG277" s="1">
        <f>+IFERROR(INDEX('Restaurant Base (Hidden)'!$A$2:$Z$1048576,MATCH($C277,'Restaurant Base (Hidden)'!$C$2:$C$1048576,0),MATCH(AG$6,'Restaurant Base (Hidden)'!$A$1:$Z$1,0)),"")</f>
        <v>2</v>
      </c>
    </row>
    <row r="278" spans="1:33" x14ac:dyDescent="0.4">
      <c r="A278" s="163" t="str">
        <f>IF('Restaurant Base (Hidden)'!A57=0,"", 'Restaurant Base (Hidden)'!A57)</f>
        <v>Sage Rosemont</v>
      </c>
      <c r="B278" s="163" t="str">
        <f>IF('Restaurant Base (Hidden)'!B57=0,"", 'Restaurant Base (Hidden)'!B57)</f>
        <v>Greenhaven Restaurants</v>
      </c>
      <c r="C278" s="163" t="str">
        <f>IF('Restaurant Base (Hidden)'!C57=0,"", 'Restaurant Base (Hidden)'!C57)</f>
        <v>Harbor Mews</v>
      </c>
      <c r="D278" s="104">
        <f t="shared" si="4"/>
        <v>272</v>
      </c>
      <c r="E278" s="105">
        <f>+IFERROR(INDEX('Restaurant Base (Hidden)'!$A$2:$Z$1048576,MATCH($C278,'Restaurant Base (Hidden)'!$C$2:$C$1048576,0),MATCH(E$6,'Restaurant Base (Hidden)'!$A$1:$Z$1,0)),"")</f>
        <v>2.81</v>
      </c>
      <c r="F278" s="64" t="str">
        <f>+IFERROR(INDEX('Restaurant Base (Hidden)'!$A$2:$Z$1048576,MATCH($C278,'Restaurant Base (Hidden)'!$C$2:$C$1048576,0),MATCH(F$6,'Restaurant Base (Hidden)'!$A$1:$Z$1,0)),"")</f>
        <v/>
      </c>
      <c r="G278" s="20" t="str">
        <f>+IFERROR(INDEX('Restaurant Base (Hidden)'!$A$2:$Z$1048576,MATCH($C278,'Restaurant Base (Hidden)'!$C$2:$C$1048576,0),MATCH(G$6,'Restaurant Base (Hidden)'!$A$1:$Z$1,0)),"")</f>
        <v>4,330</v>
      </c>
      <c r="H278" s="50">
        <f>+IFERROR(INDEX('Restaurant Base (Hidden)'!$A$2:$Z$1048576,MATCH($C278,'Restaurant Base (Hidden)'!$C$2:$C$1048576,0),MATCH(H$6,'Restaurant Base (Hidden)'!$A$1:$Z$1,0)),"")</f>
        <v>3</v>
      </c>
      <c r="I278" s="20" t="str">
        <f>+IFERROR(INDEX('Restaurant Base (Hidden)'!$A$2:$Z$1048576,MATCH($C278,'Restaurant Base (Hidden)'!$C$2:$C$1048576,0),MATCH(I$6,'Restaurant Base (Hidden)'!$A$1:$Z$1,0)),"")</f>
        <v>90,60 %</v>
      </c>
      <c r="J278" s="49">
        <f>+IFERROR(INDEX('Restaurant Base (Hidden)'!$A$2:$Z$1048576,MATCH($C278,'Restaurant Base (Hidden)'!$C$2:$C$1048576,0),MATCH(J$6,'Restaurant Base (Hidden)'!$A$1:$Z$1,0)),"")</f>
        <v>4</v>
      </c>
      <c r="K278" s="20" t="str">
        <f>+IFERROR(INDEX('Restaurant Base (Hidden)'!$A$2:$Z$1048576,MATCH($C278,'Restaurant Base (Hidden)'!$C$2:$C$1048576,0),MATCH(K$6,'Restaurant Base (Hidden)'!$A$1:$Z$1,0)),"")</f>
        <v>0,078</v>
      </c>
      <c r="L278" s="51">
        <f>+IFERROR(INDEX('Restaurant Base (Hidden)'!$A$2:$Z$1048576,MATCH($C278,'Restaurant Base (Hidden)'!$C$2:$C$1048576,0),MATCH(L$6,'Restaurant Base (Hidden)'!$A$1:$Z$1,0)),"")</f>
        <v>4</v>
      </c>
      <c r="M278" s="2" t="str">
        <f>+IFERROR(INDEX('Restaurant Base (Hidden)'!$A$2:$Z$1048576,MATCH($C278,'Restaurant Base (Hidden)'!$C$2:$C$1048576,0),MATCH(M$6,'Restaurant Base (Hidden)'!$A$1:$Z$1,0)),"")</f>
        <v/>
      </c>
      <c r="N278" s="234" t="str">
        <f>+IFERROR(INDEX('Restaurant Base (Hidden)'!$A$2:$Z$1048576,MATCH($C278,'Restaurant Base (Hidden)'!$C$2:$C$1048576,0),MATCH(N$6,'Restaurant Base (Hidden)'!$A$1:$Z$1,0)),"")</f>
        <v>97,80 %</v>
      </c>
      <c r="O278" s="1">
        <f>+IFERROR(INDEX('Restaurant Base (Hidden)'!$A$2:$Z$1048576,MATCH($C278,'Restaurant Base (Hidden)'!$C$2:$C$1048576,0),MATCH(O$6,'Restaurant Base (Hidden)'!$A$1:$Z$1,0)),"")</f>
        <v>5</v>
      </c>
      <c r="P278" s="2" t="str">
        <f>+IFERROR(INDEX('Restaurant Base (Hidden)'!$A$2:$Z$1048576,MATCH($C278,'Restaurant Base (Hidden)'!$C$2:$C$1048576,0),MATCH(P$6,'Restaurant Base (Hidden)'!$A$1:$Z$1,0)),"")</f>
        <v/>
      </c>
      <c r="Q278" s="234" t="str">
        <f>+IFERROR(INDEX('Restaurant Base (Hidden)'!$A$2:$Z$1048576,MATCH($C278,'Restaurant Base (Hidden)'!$C$2:$C$1048576,0),MATCH(Q$6,'Restaurant Base (Hidden)'!$A$1:$Z$1,0)),"")</f>
        <v>64,60 %</v>
      </c>
      <c r="R278" s="1">
        <f>+IFERROR(INDEX('Restaurant Base (Hidden)'!$A$2:$Z$1048576,MATCH($C278,'Restaurant Base (Hidden)'!$C$2:$C$1048576,0),MATCH(R$6,'Restaurant Base (Hidden)'!$A$1:$Z$1,0)),"")</f>
        <v>2</v>
      </c>
      <c r="S278" s="2" t="str">
        <f>+IFERROR(INDEX('Restaurant Base (Hidden)'!$A$2:$Z$1048576,MATCH($C278,'Restaurant Base (Hidden)'!$C$2:$C$1048576,0),MATCH(S$6,'Restaurant Base (Hidden)'!$A$1:$Z$1,0)),"")</f>
        <v/>
      </c>
      <c r="T278" s="62">
        <f>+IFERROR(INDEX('Restaurant Base (Hidden)'!$A$2:$Z$1048576,MATCH($C278,'Restaurant Base (Hidden)'!$C$2:$C$1048576,0),MATCH(T$6,'Restaurant Base (Hidden)'!$A$1:$Z$1,0)),"")</f>
        <v>58.9</v>
      </c>
      <c r="U278" s="1">
        <f>+IFERROR(INDEX('Restaurant Base (Hidden)'!$A$2:$Z$1048576,MATCH($C278,'Restaurant Base (Hidden)'!$C$2:$C$1048576,0),MATCH(U$6,'Restaurant Base (Hidden)'!$A$1:$Z$1,0)),"")</f>
        <v>2</v>
      </c>
      <c r="V278" s="2" t="str">
        <f>+IFERROR(INDEX('Restaurant Base (Hidden)'!$A$2:$Z$1048576,MATCH($C278,'Restaurant Base (Hidden)'!$C$2:$C$1048576,0),MATCH(V$6,'Restaurant Base (Hidden)'!$A$1:$Z$1,0)),"")</f>
        <v/>
      </c>
      <c r="W278" s="65" t="str">
        <f>+IFERROR(INDEX('Restaurant Base (Hidden)'!$A$2:$Z$1048576,MATCH($C278,'Restaurant Base (Hidden)'!$C$2:$C$1048576,0),MATCH(W$6,'Restaurant Base (Hidden)'!$A$1:$Z$1,0)),"")</f>
        <v>86,60 %</v>
      </c>
      <c r="X278" s="1">
        <f>+IFERROR(INDEX('Restaurant Base (Hidden)'!$A$2:$Z$1048576,MATCH($C278,'Restaurant Base (Hidden)'!$C$2:$C$1048576,0),MATCH(X$6,'Restaurant Base (Hidden)'!$A$1:$Z$1,0)),"")</f>
        <v>3</v>
      </c>
      <c r="Y278" s="65" t="str">
        <f>+IFERROR(INDEX('Restaurant Base (Hidden)'!$A$2:$Z$1048576,MATCH($C278,'Restaurant Base (Hidden)'!$C$2:$C$1048576,0),MATCH(Y$6,'Restaurant Base (Hidden)'!$A$1:$Z$1,0)),"")</f>
        <v>60,40 %</v>
      </c>
      <c r="Z278" s="106">
        <f>+IFERROR(INDEX('Restaurant Base (Hidden)'!$A$2:$Z$1048576,MATCH($C278,'Restaurant Base (Hidden)'!$C$2:$C$1048576,0),MATCH(Z$6,'Restaurant Base (Hidden)'!$A$1:$Z$1,0)),"")</f>
        <v>2</v>
      </c>
      <c r="AA278" s="65" t="str">
        <f>+IFERROR(INDEX('Restaurant Base (Hidden)'!$A$2:$Z$1048576,MATCH($C278,'Restaurant Base (Hidden)'!$C$2:$C$1048576,0),MATCH(AA$6,'Restaurant Base (Hidden)'!$A$1:$Z$1,0)),"")</f>
        <v>71,50 %</v>
      </c>
      <c r="AB278" s="1">
        <f>+IFERROR(INDEX('Restaurant Base (Hidden)'!$A$2:$Z$1048576,MATCH($C278,'Restaurant Base (Hidden)'!$C$2:$C$1048576,0),MATCH(AB$6,'Restaurant Base (Hidden)'!$A$1:$Z$1,0)),"")</f>
        <v>2</v>
      </c>
      <c r="AC278" s="20" t="str">
        <f>+IFERROR(INDEX('Restaurant Base (Hidden)'!$A$2:$Z$1048576,MATCH($C278,'Restaurant Base (Hidden)'!$C$2:$C$1048576,0),MATCH(AC$6,'Restaurant Base (Hidden)'!$A$1:$Z$1,0)),"")</f>
        <v/>
      </c>
      <c r="AD278" s="65" t="str">
        <f>+IFERROR(INDEX('Restaurant Base (Hidden)'!$A$2:$Z$1048576,MATCH($C278,'Restaurant Base (Hidden)'!$C$2:$C$1048576,0),MATCH(AD$6,'Restaurant Base (Hidden)'!$A$1:$Z$1,0)),"")</f>
        <v>76,60 %</v>
      </c>
      <c r="AE278" s="1">
        <f>+IFERROR(INDEX('Restaurant Base (Hidden)'!$A$2:$Z$1048576,MATCH($C278,'Restaurant Base (Hidden)'!$C$2:$C$1048576,0),MATCH(AE$6,'Restaurant Base (Hidden)'!$A$1:$Z$1,0)),"")</f>
        <v>2</v>
      </c>
      <c r="AF278" s="65" t="str">
        <f>+IFERROR(INDEX('Restaurant Base (Hidden)'!$A$2:$Z$1048576,MATCH($C278,'Restaurant Base (Hidden)'!$C$2:$C$1048576,0),MATCH(AF$6,'Restaurant Base (Hidden)'!$A$1:$Z$1,0)),"")</f>
        <v>66,20 %</v>
      </c>
      <c r="AG278" s="1">
        <f>+IFERROR(INDEX('Restaurant Base (Hidden)'!$A$2:$Z$1048576,MATCH($C278,'Restaurant Base (Hidden)'!$C$2:$C$1048576,0),MATCH(AG$6,'Restaurant Base (Hidden)'!$A$1:$Z$1,0)),"")</f>
        <v>1</v>
      </c>
    </row>
    <row r="279" spans="1:33" x14ac:dyDescent="0.4">
      <c r="A279" s="163" t="str">
        <f>IF('Restaurant Base (Hidden)'!A98=0,"", 'Restaurant Base (Hidden)'!A98)</f>
        <v>Jamie Northcott</v>
      </c>
      <c r="B279" s="163" t="str">
        <f>IF('Restaurant Base (Hidden)'!B98=0,"", 'Restaurant Base (Hidden)'!B98)</f>
        <v>Crownfield Hospitality</v>
      </c>
      <c r="C279" s="163" t="str">
        <f>IF('Restaurant Base (Hidden)'!C98=0,"", 'Restaurant Base (Hidden)'!C98)</f>
        <v>Rosewood Village</v>
      </c>
      <c r="D279" s="104">
        <f t="shared" si="4"/>
        <v>272</v>
      </c>
      <c r="E279" s="105">
        <f>+IFERROR(INDEX('Restaurant Base (Hidden)'!$A$2:$Z$1048576,MATCH($C279,'Restaurant Base (Hidden)'!$C$2:$C$1048576,0),MATCH(E$6,'Restaurant Base (Hidden)'!$A$1:$Z$1,0)),"")</f>
        <v>2.81</v>
      </c>
      <c r="F279" s="2" t="str">
        <f>+IFERROR(INDEX('Restaurant Base (Hidden)'!$A$2:$Z$1048576,MATCH($C279,'Restaurant Base (Hidden)'!$C$2:$C$1048576,0),MATCH(F$6,'Restaurant Base (Hidden)'!$A$1:$Z$1,0)),"")</f>
        <v/>
      </c>
      <c r="G279" s="20" t="str">
        <f>+IFERROR(INDEX('Restaurant Base (Hidden)'!$A$2:$Z$1048576,MATCH($C279,'Restaurant Base (Hidden)'!$C$2:$C$1048576,0),MATCH(G$6,'Restaurant Base (Hidden)'!$A$1:$Z$1,0)),"")</f>
        <v>4,411</v>
      </c>
      <c r="H279" s="50">
        <f>+IFERROR(INDEX('Restaurant Base (Hidden)'!$A$2:$Z$1048576,MATCH($C279,'Restaurant Base (Hidden)'!$C$2:$C$1048576,0),MATCH(H$6,'Restaurant Base (Hidden)'!$A$1:$Z$1,0)),"")</f>
        <v>4</v>
      </c>
      <c r="I279" s="20" t="str">
        <f>+IFERROR(INDEX('Restaurant Base (Hidden)'!$A$2:$Z$1048576,MATCH($C279,'Restaurant Base (Hidden)'!$C$2:$C$1048576,0),MATCH(I$6,'Restaurant Base (Hidden)'!$A$1:$Z$1,0)),"")</f>
        <v>76,80 %</v>
      </c>
      <c r="J279" s="49">
        <f>+IFERROR(INDEX('Restaurant Base (Hidden)'!$A$2:$Z$1048576,MATCH($C279,'Restaurant Base (Hidden)'!$C$2:$C$1048576,0),MATCH(J$6,'Restaurant Base (Hidden)'!$A$1:$Z$1,0)),"")</f>
        <v>1</v>
      </c>
      <c r="K279" s="20" t="str">
        <f>+IFERROR(INDEX('Restaurant Base (Hidden)'!$A$2:$Z$1048576,MATCH($C279,'Restaurant Base (Hidden)'!$C$2:$C$1048576,0),MATCH(K$6,'Restaurant Base (Hidden)'!$A$1:$Z$1,0)),"")</f>
        <v>0,088</v>
      </c>
      <c r="L279" s="51">
        <f>+IFERROR(INDEX('Restaurant Base (Hidden)'!$A$2:$Z$1048576,MATCH($C279,'Restaurant Base (Hidden)'!$C$2:$C$1048576,0),MATCH(L$6,'Restaurant Base (Hidden)'!$A$1:$Z$1,0)),"")</f>
        <v>4</v>
      </c>
      <c r="M279" s="2" t="str">
        <f>+IFERROR(INDEX('Restaurant Base (Hidden)'!$A$2:$Z$1048576,MATCH($C279,'Restaurant Base (Hidden)'!$C$2:$C$1048576,0),MATCH(M$6,'Restaurant Base (Hidden)'!$A$1:$Z$1,0)),"")</f>
        <v/>
      </c>
      <c r="N279" s="234" t="str">
        <f>+IFERROR(INDEX('Restaurant Base (Hidden)'!$A$2:$Z$1048576,MATCH($C279,'Restaurant Base (Hidden)'!$C$2:$C$1048576,0),MATCH(N$6,'Restaurant Base (Hidden)'!$A$1:$Z$1,0)),"")</f>
        <v>64,70 %</v>
      </c>
      <c r="O279" s="1">
        <f>+IFERROR(INDEX('Restaurant Base (Hidden)'!$A$2:$Z$1048576,MATCH($C279,'Restaurant Base (Hidden)'!$C$2:$C$1048576,0),MATCH(O$6,'Restaurant Base (Hidden)'!$A$1:$Z$1,0)),"")</f>
        <v>3</v>
      </c>
      <c r="P279" s="2" t="str">
        <f>+IFERROR(INDEX('Restaurant Base (Hidden)'!$A$2:$Z$1048576,MATCH($C279,'Restaurant Base (Hidden)'!$C$2:$C$1048576,0),MATCH(P$6,'Restaurant Base (Hidden)'!$A$1:$Z$1,0)),"")</f>
        <v/>
      </c>
      <c r="Q279" s="234" t="str">
        <f>+IFERROR(INDEX('Restaurant Base (Hidden)'!$A$2:$Z$1048576,MATCH($C279,'Restaurant Base (Hidden)'!$C$2:$C$1048576,0),MATCH(Q$6,'Restaurant Base (Hidden)'!$A$1:$Z$1,0)),"")</f>
        <v>79,10 %</v>
      </c>
      <c r="R279" s="1">
        <f>+IFERROR(INDEX('Restaurant Base (Hidden)'!$A$2:$Z$1048576,MATCH($C279,'Restaurant Base (Hidden)'!$C$2:$C$1048576,0),MATCH(R$6,'Restaurant Base (Hidden)'!$A$1:$Z$1,0)),"")</f>
        <v>5</v>
      </c>
      <c r="S279" s="2" t="str">
        <f>+IFERROR(INDEX('Restaurant Base (Hidden)'!$A$2:$Z$1048576,MATCH($C279,'Restaurant Base (Hidden)'!$C$2:$C$1048576,0),MATCH(S$6,'Restaurant Base (Hidden)'!$A$1:$Z$1,0)),"")</f>
        <v/>
      </c>
      <c r="T279" s="62">
        <f>+IFERROR(INDEX('Restaurant Base (Hidden)'!$A$2:$Z$1048576,MATCH($C279,'Restaurant Base (Hidden)'!$C$2:$C$1048576,0),MATCH(T$6,'Restaurant Base (Hidden)'!$A$1:$Z$1,0)),"")</f>
        <v>66.099999999999994</v>
      </c>
      <c r="U279" s="1">
        <f>+IFERROR(INDEX('Restaurant Base (Hidden)'!$A$2:$Z$1048576,MATCH($C279,'Restaurant Base (Hidden)'!$C$2:$C$1048576,0),MATCH(U$6,'Restaurant Base (Hidden)'!$A$1:$Z$1,0)),"")</f>
        <v>4</v>
      </c>
      <c r="V279" s="2" t="str">
        <f>+IFERROR(INDEX('Restaurant Base (Hidden)'!$A$2:$Z$1048576,MATCH($C279,'Restaurant Base (Hidden)'!$C$2:$C$1048576,0),MATCH(V$6,'Restaurant Base (Hidden)'!$A$1:$Z$1,0)),"")</f>
        <v/>
      </c>
      <c r="W279" s="65" t="str">
        <f>+IFERROR(INDEX('Restaurant Base (Hidden)'!$A$2:$Z$1048576,MATCH($C279,'Restaurant Base (Hidden)'!$C$2:$C$1048576,0),MATCH(W$6,'Restaurant Base (Hidden)'!$A$1:$Z$1,0)),"")</f>
        <v>58,10 %</v>
      </c>
      <c r="X279" s="1">
        <f>+IFERROR(INDEX('Restaurant Base (Hidden)'!$A$2:$Z$1048576,MATCH($C279,'Restaurant Base (Hidden)'!$C$2:$C$1048576,0),MATCH(X$6,'Restaurant Base (Hidden)'!$A$1:$Z$1,0)),"")</f>
        <v>1</v>
      </c>
      <c r="Y279" s="65" t="str">
        <f>+IFERROR(INDEX('Restaurant Base (Hidden)'!$A$2:$Z$1048576,MATCH($C279,'Restaurant Base (Hidden)'!$C$2:$C$1048576,0),MATCH(Y$6,'Restaurant Base (Hidden)'!$A$1:$Z$1,0)),"")</f>
        <v>87,30 %</v>
      </c>
      <c r="Z279" s="106">
        <f>+IFERROR(INDEX('Restaurant Base (Hidden)'!$A$2:$Z$1048576,MATCH($C279,'Restaurant Base (Hidden)'!$C$2:$C$1048576,0),MATCH(Z$6,'Restaurant Base (Hidden)'!$A$1:$Z$1,0)),"")</f>
        <v>3</v>
      </c>
      <c r="AA279" s="65" t="str">
        <f>+IFERROR(INDEX('Restaurant Base (Hidden)'!$A$2:$Z$1048576,MATCH($C279,'Restaurant Base (Hidden)'!$C$2:$C$1048576,0),MATCH(AA$6,'Restaurant Base (Hidden)'!$A$1:$Z$1,0)),"")</f>
        <v>87,70 %</v>
      </c>
      <c r="AB279" s="1">
        <f>+IFERROR(INDEX('Restaurant Base (Hidden)'!$A$2:$Z$1048576,MATCH($C279,'Restaurant Base (Hidden)'!$C$2:$C$1048576,0),MATCH(AB$6,'Restaurant Base (Hidden)'!$A$1:$Z$1,0)),"")</f>
        <v>3</v>
      </c>
      <c r="AC279" s="20" t="str">
        <f>+IFERROR(INDEX('Restaurant Base (Hidden)'!$A$2:$Z$1048576,MATCH($C279,'Restaurant Base (Hidden)'!$C$2:$C$1048576,0),MATCH(AC$6,'Restaurant Base (Hidden)'!$A$1:$Z$1,0)),"")</f>
        <v/>
      </c>
      <c r="AD279" s="65" t="str">
        <f>+IFERROR(INDEX('Restaurant Base (Hidden)'!$A$2:$Z$1048576,MATCH($C279,'Restaurant Base (Hidden)'!$C$2:$C$1048576,0),MATCH(AD$6,'Restaurant Base (Hidden)'!$A$1:$Z$1,0)),"")</f>
        <v>64,20 %</v>
      </c>
      <c r="AE279" s="1">
        <f>+IFERROR(INDEX('Restaurant Base (Hidden)'!$A$2:$Z$1048576,MATCH($C279,'Restaurant Base (Hidden)'!$C$2:$C$1048576,0),MATCH(AE$6,'Restaurant Base (Hidden)'!$A$1:$Z$1,0)),"")</f>
        <v>1</v>
      </c>
      <c r="AF279" s="65" t="str">
        <f>+IFERROR(INDEX('Restaurant Base (Hidden)'!$A$2:$Z$1048576,MATCH($C279,'Restaurant Base (Hidden)'!$C$2:$C$1048576,0),MATCH(AF$6,'Restaurant Base (Hidden)'!$A$1:$Z$1,0)),"")</f>
        <v>70,10 %</v>
      </c>
      <c r="AG279" s="1">
        <f>+IFERROR(INDEX('Restaurant Base (Hidden)'!$A$2:$Z$1048576,MATCH($C279,'Restaurant Base (Hidden)'!$C$2:$C$1048576,0),MATCH(AG$6,'Restaurant Base (Hidden)'!$A$1:$Z$1,0)),"")</f>
        <v>1</v>
      </c>
    </row>
    <row r="280" spans="1:33" ht="18" customHeight="1" x14ac:dyDescent="0.4">
      <c r="A280" s="163" t="str">
        <f>IF('Restaurant Base (Hidden)'!A188=0,"", 'Restaurant Base (Hidden)'!A188)</f>
        <v>Logan Redford</v>
      </c>
      <c r="B280" s="163" t="str">
        <f>IF('Restaurant Base (Hidden)'!B188=0,"", 'Restaurant Base (Hidden)'!B188)</f>
        <v>Silverbrook Dining</v>
      </c>
      <c r="C280" s="163" t="str">
        <f>IF('Restaurant Base (Hidden)'!C188=0,"", 'Restaurant Base (Hidden)'!C188)</f>
        <v>Eastwood Gate</v>
      </c>
      <c r="D280" s="104">
        <f t="shared" si="4"/>
        <v>274</v>
      </c>
      <c r="E280" s="105">
        <f>+IFERROR(INDEX('Restaurant Base (Hidden)'!$A$2:$Z$1048576,MATCH($C280,'Restaurant Base (Hidden)'!$C$2:$C$1048576,0),MATCH(E$6,'Restaurant Base (Hidden)'!$A$1:$Z$1,0)),"")</f>
        <v>2.79</v>
      </c>
      <c r="F280" s="2" t="str">
        <f>+IFERROR(INDEX('Restaurant Base (Hidden)'!$A$2:$Z$1048576,MATCH($C280,'Restaurant Base (Hidden)'!$C$2:$C$1048576,0),MATCH(F$6,'Restaurant Base (Hidden)'!$A$1:$Z$1,0)),"")</f>
        <v/>
      </c>
      <c r="G280" s="20" t="str">
        <f>+IFERROR(INDEX('Restaurant Base (Hidden)'!$A$2:$Z$1048576,MATCH($C280,'Restaurant Base (Hidden)'!$C$2:$C$1048576,0),MATCH(G$6,'Restaurant Base (Hidden)'!$A$1:$Z$1,0)),"")</f>
        <v>4,526</v>
      </c>
      <c r="H280" s="50">
        <f>+IFERROR(INDEX('Restaurant Base (Hidden)'!$A$2:$Z$1048576,MATCH($C280,'Restaurant Base (Hidden)'!$C$2:$C$1048576,0),MATCH(H$6,'Restaurant Base (Hidden)'!$A$1:$Z$1,0)),"")</f>
        <v>5</v>
      </c>
      <c r="I280" s="20" t="str">
        <f>+IFERROR(INDEX('Restaurant Base (Hidden)'!$A$2:$Z$1048576,MATCH($C280,'Restaurant Base (Hidden)'!$C$2:$C$1048576,0),MATCH(I$6,'Restaurant Base (Hidden)'!$A$1:$Z$1,0)),"")</f>
        <v>70,80 %</v>
      </c>
      <c r="J280" s="49">
        <f>+IFERROR(INDEX('Restaurant Base (Hidden)'!$A$2:$Z$1048576,MATCH($C280,'Restaurant Base (Hidden)'!$C$2:$C$1048576,0),MATCH(J$6,'Restaurant Base (Hidden)'!$A$1:$Z$1,0)),"")</f>
        <v>1</v>
      </c>
      <c r="K280" s="20" t="str">
        <f>+IFERROR(INDEX('Restaurant Base (Hidden)'!$A$2:$Z$1048576,MATCH($C280,'Restaurant Base (Hidden)'!$C$2:$C$1048576,0),MATCH(K$6,'Restaurant Base (Hidden)'!$A$1:$Z$1,0)),"")</f>
        <v>0,080</v>
      </c>
      <c r="L280" s="51">
        <f>+IFERROR(INDEX('Restaurant Base (Hidden)'!$A$2:$Z$1048576,MATCH($C280,'Restaurant Base (Hidden)'!$C$2:$C$1048576,0),MATCH(L$6,'Restaurant Base (Hidden)'!$A$1:$Z$1,0)),"")</f>
        <v>4</v>
      </c>
      <c r="M280" s="2" t="str">
        <f>+IFERROR(INDEX('Restaurant Base (Hidden)'!$A$2:$Z$1048576,MATCH($C280,'Restaurant Base (Hidden)'!$C$2:$C$1048576,0),MATCH(M$6,'Restaurant Base (Hidden)'!$A$1:$Z$1,0)),"")</f>
        <v/>
      </c>
      <c r="N280" s="234" t="str">
        <f>+IFERROR(INDEX('Restaurant Base (Hidden)'!$A$2:$Z$1048576,MATCH($C280,'Restaurant Base (Hidden)'!$C$2:$C$1048576,0),MATCH(N$6,'Restaurant Base (Hidden)'!$A$1:$Z$1,0)),"")</f>
        <v>63,60 %</v>
      </c>
      <c r="O280" s="1">
        <f>+IFERROR(INDEX('Restaurant Base (Hidden)'!$A$2:$Z$1048576,MATCH($C280,'Restaurant Base (Hidden)'!$C$2:$C$1048576,0),MATCH(O$6,'Restaurant Base (Hidden)'!$A$1:$Z$1,0)),"")</f>
        <v>2</v>
      </c>
      <c r="P280" s="2" t="str">
        <f>+IFERROR(INDEX('Restaurant Base (Hidden)'!$A$2:$Z$1048576,MATCH($C280,'Restaurant Base (Hidden)'!$C$2:$C$1048576,0),MATCH(P$6,'Restaurant Base (Hidden)'!$A$1:$Z$1,0)),"")</f>
        <v/>
      </c>
      <c r="Q280" s="234" t="str">
        <f>+IFERROR(INDEX('Restaurant Base (Hidden)'!$A$2:$Z$1048576,MATCH($C280,'Restaurant Base (Hidden)'!$C$2:$C$1048576,0),MATCH(Q$6,'Restaurant Base (Hidden)'!$A$1:$Z$1,0)),"")</f>
        <v>64,90 %</v>
      </c>
      <c r="R280" s="1">
        <f>+IFERROR(INDEX('Restaurant Base (Hidden)'!$A$2:$Z$1048576,MATCH($C280,'Restaurant Base (Hidden)'!$C$2:$C$1048576,0),MATCH(R$6,'Restaurant Base (Hidden)'!$A$1:$Z$1,0)),"")</f>
        <v>2</v>
      </c>
      <c r="S280" s="2" t="str">
        <f>+IFERROR(INDEX('Restaurant Base (Hidden)'!$A$2:$Z$1048576,MATCH($C280,'Restaurant Base (Hidden)'!$C$2:$C$1048576,0),MATCH(S$6,'Restaurant Base (Hidden)'!$A$1:$Z$1,0)),"")</f>
        <v/>
      </c>
      <c r="T280" s="62">
        <f>+IFERROR(INDEX('Restaurant Base (Hidden)'!$A$2:$Z$1048576,MATCH($C280,'Restaurant Base (Hidden)'!$C$2:$C$1048576,0),MATCH(T$6,'Restaurant Base (Hidden)'!$A$1:$Z$1,0)),"")</f>
        <v>58.4</v>
      </c>
      <c r="U280" s="1">
        <f>+IFERROR(INDEX('Restaurant Base (Hidden)'!$A$2:$Z$1048576,MATCH($C280,'Restaurant Base (Hidden)'!$C$2:$C$1048576,0),MATCH(U$6,'Restaurant Base (Hidden)'!$A$1:$Z$1,0)),"")</f>
        <v>2</v>
      </c>
      <c r="V280" s="2" t="str">
        <f>+IFERROR(INDEX('Restaurant Base (Hidden)'!$A$2:$Z$1048576,MATCH($C280,'Restaurant Base (Hidden)'!$C$2:$C$1048576,0),MATCH(V$6,'Restaurant Base (Hidden)'!$A$1:$Z$1,0)),"")</f>
        <v/>
      </c>
      <c r="W280" s="65" t="str">
        <f>+IFERROR(INDEX('Restaurant Base (Hidden)'!$A$2:$Z$1048576,MATCH($C280,'Restaurant Base (Hidden)'!$C$2:$C$1048576,0),MATCH(W$6,'Restaurant Base (Hidden)'!$A$1:$Z$1,0)),"")</f>
        <v>82,10 %</v>
      </c>
      <c r="X280" s="1">
        <f>+IFERROR(INDEX('Restaurant Base (Hidden)'!$A$2:$Z$1048576,MATCH($C280,'Restaurant Base (Hidden)'!$C$2:$C$1048576,0),MATCH(X$6,'Restaurant Base (Hidden)'!$A$1:$Z$1,0)),"")</f>
        <v>3</v>
      </c>
      <c r="Y280" s="65" t="str">
        <f>+IFERROR(INDEX('Restaurant Base (Hidden)'!$A$2:$Z$1048576,MATCH($C280,'Restaurant Base (Hidden)'!$C$2:$C$1048576,0),MATCH(Y$6,'Restaurant Base (Hidden)'!$A$1:$Z$1,0)),"")</f>
        <v>80,10 %</v>
      </c>
      <c r="Z280" s="106">
        <f>+IFERROR(INDEX('Restaurant Base (Hidden)'!$A$2:$Z$1048576,MATCH($C280,'Restaurant Base (Hidden)'!$C$2:$C$1048576,0),MATCH(Z$6,'Restaurant Base (Hidden)'!$A$1:$Z$1,0)),"")</f>
        <v>2</v>
      </c>
      <c r="AA280" s="65" t="str">
        <f>+IFERROR(INDEX('Restaurant Base (Hidden)'!$A$2:$Z$1048576,MATCH($C280,'Restaurant Base (Hidden)'!$C$2:$C$1048576,0),MATCH(AA$6,'Restaurant Base (Hidden)'!$A$1:$Z$1,0)),"")</f>
        <v>96,70 %</v>
      </c>
      <c r="AB280" s="1">
        <f>+IFERROR(INDEX('Restaurant Base (Hidden)'!$A$2:$Z$1048576,MATCH($C280,'Restaurant Base (Hidden)'!$C$2:$C$1048576,0),MATCH(AB$6,'Restaurant Base (Hidden)'!$A$1:$Z$1,0)),"")</f>
        <v>4</v>
      </c>
      <c r="AC280" s="20" t="str">
        <f>+IFERROR(INDEX('Restaurant Base (Hidden)'!$A$2:$Z$1048576,MATCH($C280,'Restaurant Base (Hidden)'!$C$2:$C$1048576,0),MATCH(AC$6,'Restaurant Base (Hidden)'!$A$1:$Z$1,0)),"")</f>
        <v/>
      </c>
      <c r="AD280" s="65" t="str">
        <f>+IFERROR(INDEX('Restaurant Base (Hidden)'!$A$2:$Z$1048576,MATCH($C280,'Restaurant Base (Hidden)'!$C$2:$C$1048576,0),MATCH(AD$6,'Restaurant Base (Hidden)'!$A$1:$Z$1,0)),"")</f>
        <v>91,00 %</v>
      </c>
      <c r="AE280" s="1">
        <f>+IFERROR(INDEX('Restaurant Base (Hidden)'!$A$2:$Z$1048576,MATCH($C280,'Restaurant Base (Hidden)'!$C$2:$C$1048576,0),MATCH(AE$6,'Restaurant Base (Hidden)'!$A$1:$Z$1,0)),"")</f>
        <v>4</v>
      </c>
      <c r="AF280" s="65" t="str">
        <f>+IFERROR(INDEX('Restaurant Base (Hidden)'!$A$2:$Z$1048576,MATCH($C280,'Restaurant Base (Hidden)'!$C$2:$C$1048576,0),MATCH(AF$6,'Restaurant Base (Hidden)'!$A$1:$Z$1,0)),"")</f>
        <v>97,50 %</v>
      </c>
      <c r="AG280" s="1">
        <f>+IFERROR(INDEX('Restaurant Base (Hidden)'!$A$2:$Z$1048576,MATCH($C280,'Restaurant Base (Hidden)'!$C$2:$C$1048576,0),MATCH(AG$6,'Restaurant Base (Hidden)'!$A$1:$Z$1,0)),"")</f>
        <v>4</v>
      </c>
    </row>
    <row r="281" spans="1:33" x14ac:dyDescent="0.4">
      <c r="A281" s="163" t="str">
        <f>IF('Restaurant Base (Hidden)'!A142=0,"", 'Restaurant Base (Hidden)'!A142)</f>
        <v>Dakota Cavendish</v>
      </c>
      <c r="B281" s="163" t="str">
        <f>IF('Restaurant Base (Hidden)'!B142=0,"", 'Restaurant Base (Hidden)'!B142)</f>
        <v>Eastmere Foods</v>
      </c>
      <c r="C281" s="163" t="str">
        <f>IF('Restaurant Base (Hidden)'!C142=0,"", 'Restaurant Base (Hidden)'!C142)</f>
        <v>Silver Station</v>
      </c>
      <c r="D281" s="104">
        <f t="shared" si="4"/>
        <v>275</v>
      </c>
      <c r="E281" s="105">
        <f>+IFERROR(INDEX('Restaurant Base (Hidden)'!$A$2:$Z$1048576,MATCH($C281,'Restaurant Base (Hidden)'!$C$2:$C$1048576,0),MATCH(E$6,'Restaurant Base (Hidden)'!$A$1:$Z$1,0)),"")</f>
        <v>2.78</v>
      </c>
      <c r="F281" s="2" t="str">
        <f>+IFERROR(INDEX('Restaurant Base (Hidden)'!$A$2:$Z$1048576,MATCH($C281,'Restaurant Base (Hidden)'!$C$2:$C$1048576,0),MATCH(F$6,'Restaurant Base (Hidden)'!$A$1:$Z$1,0)),"")</f>
        <v/>
      </c>
      <c r="G281" s="20" t="str">
        <f>+IFERROR(INDEX('Restaurant Base (Hidden)'!$A$2:$Z$1048576,MATCH($C281,'Restaurant Base (Hidden)'!$C$2:$C$1048576,0),MATCH(G$6,'Restaurant Base (Hidden)'!$A$1:$Z$1,0)),"")</f>
        <v>4,149</v>
      </c>
      <c r="H281" s="50">
        <f>+IFERROR(INDEX('Restaurant Base (Hidden)'!$A$2:$Z$1048576,MATCH($C281,'Restaurant Base (Hidden)'!$C$2:$C$1048576,0),MATCH(H$6,'Restaurant Base (Hidden)'!$A$1:$Z$1,0)),"")</f>
        <v>2</v>
      </c>
      <c r="I281" s="20" t="str">
        <f>+IFERROR(INDEX('Restaurant Base (Hidden)'!$A$2:$Z$1048576,MATCH($C281,'Restaurant Base (Hidden)'!$C$2:$C$1048576,0),MATCH(I$6,'Restaurant Base (Hidden)'!$A$1:$Z$1,0)),"")</f>
        <v>71,40 %</v>
      </c>
      <c r="J281" s="49">
        <f>+IFERROR(INDEX('Restaurant Base (Hidden)'!$A$2:$Z$1048576,MATCH($C281,'Restaurant Base (Hidden)'!$C$2:$C$1048576,0),MATCH(J$6,'Restaurant Base (Hidden)'!$A$1:$Z$1,0)),"")</f>
        <v>1</v>
      </c>
      <c r="K281" s="20" t="str">
        <f>+IFERROR(INDEX('Restaurant Base (Hidden)'!$A$2:$Z$1048576,MATCH($C281,'Restaurant Base (Hidden)'!$C$2:$C$1048576,0),MATCH(K$6,'Restaurant Base (Hidden)'!$A$1:$Z$1,0)),"")</f>
        <v>0,157</v>
      </c>
      <c r="L281" s="51">
        <f>+IFERROR(INDEX('Restaurant Base (Hidden)'!$A$2:$Z$1048576,MATCH($C281,'Restaurant Base (Hidden)'!$C$2:$C$1048576,0),MATCH(L$6,'Restaurant Base (Hidden)'!$A$1:$Z$1,0)),"")</f>
        <v>2</v>
      </c>
      <c r="M281" s="2" t="str">
        <f>+IFERROR(INDEX('Restaurant Base (Hidden)'!$A$2:$Z$1048576,MATCH($C281,'Restaurant Base (Hidden)'!$C$2:$C$1048576,0),MATCH(M$6,'Restaurant Base (Hidden)'!$A$1:$Z$1,0)),"")</f>
        <v/>
      </c>
      <c r="N281" s="234" t="str">
        <f>+IFERROR(INDEX('Restaurant Base (Hidden)'!$A$2:$Z$1048576,MATCH($C281,'Restaurant Base (Hidden)'!$C$2:$C$1048576,0),MATCH(N$6,'Restaurant Base (Hidden)'!$A$1:$Z$1,0)),"")</f>
        <v>79,40 %</v>
      </c>
      <c r="O281" s="1">
        <f>+IFERROR(INDEX('Restaurant Base (Hidden)'!$A$2:$Z$1048576,MATCH($C281,'Restaurant Base (Hidden)'!$C$2:$C$1048576,0),MATCH(O$6,'Restaurant Base (Hidden)'!$A$1:$Z$1,0)),"")</f>
        <v>5</v>
      </c>
      <c r="P281" s="2" t="str">
        <f>+IFERROR(INDEX('Restaurant Base (Hidden)'!$A$2:$Z$1048576,MATCH($C281,'Restaurant Base (Hidden)'!$C$2:$C$1048576,0),MATCH(P$6,'Restaurant Base (Hidden)'!$A$1:$Z$1,0)),"")</f>
        <v/>
      </c>
      <c r="Q281" s="234" t="str">
        <f>+IFERROR(INDEX('Restaurant Base (Hidden)'!$A$2:$Z$1048576,MATCH($C281,'Restaurant Base (Hidden)'!$C$2:$C$1048576,0),MATCH(Q$6,'Restaurant Base (Hidden)'!$A$1:$Z$1,0)),"")</f>
        <v>87,90 %</v>
      </c>
      <c r="R281" s="1">
        <f>+IFERROR(INDEX('Restaurant Base (Hidden)'!$A$2:$Z$1048576,MATCH($C281,'Restaurant Base (Hidden)'!$C$2:$C$1048576,0),MATCH(R$6,'Restaurant Base (Hidden)'!$A$1:$Z$1,0)),"")</f>
        <v>5</v>
      </c>
      <c r="S281" s="2" t="str">
        <f>+IFERROR(INDEX('Restaurant Base (Hidden)'!$A$2:$Z$1048576,MATCH($C281,'Restaurant Base (Hidden)'!$C$2:$C$1048576,0),MATCH(S$6,'Restaurant Base (Hidden)'!$A$1:$Z$1,0)),"")</f>
        <v/>
      </c>
      <c r="T281" s="62">
        <f>+IFERROR(INDEX('Restaurant Base (Hidden)'!$A$2:$Z$1048576,MATCH($C281,'Restaurant Base (Hidden)'!$C$2:$C$1048576,0),MATCH(T$6,'Restaurant Base (Hidden)'!$A$1:$Z$1,0)),"")</f>
        <v>61.4</v>
      </c>
      <c r="U281" s="1">
        <f>+IFERROR(INDEX('Restaurant Base (Hidden)'!$A$2:$Z$1048576,MATCH($C281,'Restaurant Base (Hidden)'!$C$2:$C$1048576,0),MATCH(U$6,'Restaurant Base (Hidden)'!$A$1:$Z$1,0)),"")</f>
        <v>3</v>
      </c>
      <c r="V281" s="2" t="str">
        <f>+IFERROR(INDEX('Restaurant Base (Hidden)'!$A$2:$Z$1048576,MATCH($C281,'Restaurant Base (Hidden)'!$C$2:$C$1048576,0),MATCH(V$6,'Restaurant Base (Hidden)'!$A$1:$Z$1,0)),"")</f>
        <v/>
      </c>
      <c r="W281" s="65" t="str">
        <f>+IFERROR(INDEX('Restaurant Base (Hidden)'!$A$2:$Z$1048576,MATCH($C281,'Restaurant Base (Hidden)'!$C$2:$C$1048576,0),MATCH(W$6,'Restaurant Base (Hidden)'!$A$1:$Z$1,0)),"")</f>
        <v>62,10 %</v>
      </c>
      <c r="X281" s="1">
        <f>+IFERROR(INDEX('Restaurant Base (Hidden)'!$A$2:$Z$1048576,MATCH($C281,'Restaurant Base (Hidden)'!$C$2:$C$1048576,0),MATCH(X$6,'Restaurant Base (Hidden)'!$A$1:$Z$1,0)),"")</f>
        <v>2</v>
      </c>
      <c r="Y281" s="65" t="str">
        <f>+IFERROR(INDEX('Restaurant Base (Hidden)'!$A$2:$Z$1048576,MATCH($C281,'Restaurant Base (Hidden)'!$C$2:$C$1048576,0),MATCH(Y$6,'Restaurant Base (Hidden)'!$A$1:$Z$1,0)),"")</f>
        <v>88,50 %</v>
      </c>
      <c r="Z281" s="106">
        <f>+IFERROR(INDEX('Restaurant Base (Hidden)'!$A$2:$Z$1048576,MATCH($C281,'Restaurant Base (Hidden)'!$C$2:$C$1048576,0),MATCH(Z$6,'Restaurant Base (Hidden)'!$A$1:$Z$1,0)),"")</f>
        <v>3</v>
      </c>
      <c r="AA281" s="65" t="str">
        <f>+IFERROR(INDEX('Restaurant Base (Hidden)'!$A$2:$Z$1048576,MATCH($C281,'Restaurant Base (Hidden)'!$C$2:$C$1048576,0),MATCH(AA$6,'Restaurant Base (Hidden)'!$A$1:$Z$1,0)),"")</f>
        <v>84,60 %</v>
      </c>
      <c r="AB281" s="1">
        <f>+IFERROR(INDEX('Restaurant Base (Hidden)'!$A$2:$Z$1048576,MATCH($C281,'Restaurant Base (Hidden)'!$C$2:$C$1048576,0),MATCH(AB$6,'Restaurant Base (Hidden)'!$A$1:$Z$1,0)),"")</f>
        <v>2</v>
      </c>
      <c r="AC281" s="20" t="str">
        <f>+IFERROR(INDEX('Restaurant Base (Hidden)'!$A$2:$Z$1048576,MATCH($C281,'Restaurant Base (Hidden)'!$C$2:$C$1048576,0),MATCH(AC$6,'Restaurant Base (Hidden)'!$A$1:$Z$1,0)),"")</f>
        <v/>
      </c>
      <c r="AD281" s="65" t="str">
        <f>+IFERROR(INDEX('Restaurant Base (Hidden)'!$A$2:$Z$1048576,MATCH($C281,'Restaurant Base (Hidden)'!$C$2:$C$1048576,0),MATCH(AD$6,'Restaurant Base (Hidden)'!$A$1:$Z$1,0)),"")</f>
        <v>80,00 %</v>
      </c>
      <c r="AE281" s="1">
        <f>+IFERROR(INDEX('Restaurant Base (Hidden)'!$A$2:$Z$1048576,MATCH($C281,'Restaurant Base (Hidden)'!$C$2:$C$1048576,0),MATCH(AE$6,'Restaurant Base (Hidden)'!$A$1:$Z$1,0)),"")</f>
        <v>2</v>
      </c>
      <c r="AF281" s="65" t="str">
        <f>+IFERROR(INDEX('Restaurant Base (Hidden)'!$A$2:$Z$1048576,MATCH($C281,'Restaurant Base (Hidden)'!$C$2:$C$1048576,0),MATCH(AF$6,'Restaurant Base (Hidden)'!$A$1:$Z$1,0)),"")</f>
        <v>67,70 %</v>
      </c>
      <c r="AG281" s="1">
        <f>+IFERROR(INDEX('Restaurant Base (Hidden)'!$A$2:$Z$1048576,MATCH($C281,'Restaurant Base (Hidden)'!$C$2:$C$1048576,0),MATCH(AG$6,'Restaurant Base (Hidden)'!$A$1:$Z$1,0)),"")</f>
        <v>1</v>
      </c>
    </row>
    <row r="282" spans="1:33" ht="15" customHeight="1" x14ac:dyDescent="0.4">
      <c r="A282" s="163" t="str">
        <f>IF('Restaurant Base (Hidden)'!A11=0,"", 'Restaurant Base (Hidden)'!A11)</f>
        <v>Jamie Northcott</v>
      </c>
      <c r="B282" s="163" t="str">
        <f>IF('Restaurant Base (Hidden)'!B11=0,"", 'Restaurant Base (Hidden)'!B11)</f>
        <v>Harborline Dining</v>
      </c>
      <c r="C282" s="163" t="str">
        <f>IF('Restaurant Base (Hidden)'!C11=0,"", 'Restaurant Base (Hidden)'!C11)</f>
        <v>Royal Crossing</v>
      </c>
      <c r="D282" s="104">
        <f t="shared" si="4"/>
        <v>276</v>
      </c>
      <c r="E282" s="105">
        <f>+IFERROR(INDEX('Restaurant Base (Hidden)'!$A$2:$Z$1048576,MATCH($C282,'Restaurant Base (Hidden)'!$C$2:$C$1048576,0),MATCH(E$6,'Restaurant Base (Hidden)'!$A$1:$Z$1,0)),"")</f>
        <v>2.77</v>
      </c>
      <c r="F282" s="64" t="str">
        <f>+IFERROR(INDEX('Restaurant Base (Hidden)'!$A$2:$Z$1048576,MATCH($C282,'Restaurant Base (Hidden)'!$C$2:$C$1048576,0),MATCH(F$6,'Restaurant Base (Hidden)'!$A$1:$Z$1,0)),"")</f>
        <v/>
      </c>
      <c r="G282" s="20" t="str">
        <f>+IFERROR(INDEX('Restaurant Base (Hidden)'!$A$2:$Z$1048576,MATCH($C282,'Restaurant Base (Hidden)'!$C$2:$C$1048576,0),MATCH(G$6,'Restaurant Base (Hidden)'!$A$1:$Z$1,0)),"")</f>
        <v>4,729</v>
      </c>
      <c r="H282" s="50">
        <f>+IFERROR(INDEX('Restaurant Base (Hidden)'!$A$2:$Z$1048576,MATCH($C282,'Restaurant Base (Hidden)'!$C$2:$C$1048576,0),MATCH(H$6,'Restaurant Base (Hidden)'!$A$1:$Z$1,0)),"")</f>
        <v>5</v>
      </c>
      <c r="I282" s="20" t="str">
        <f>+IFERROR(INDEX('Restaurant Base (Hidden)'!$A$2:$Z$1048576,MATCH($C282,'Restaurant Base (Hidden)'!$C$2:$C$1048576,0),MATCH(I$6,'Restaurant Base (Hidden)'!$A$1:$Z$1,0)),"")</f>
        <v>68,40 %</v>
      </c>
      <c r="J282" s="49">
        <f>+IFERROR(INDEX('Restaurant Base (Hidden)'!$A$2:$Z$1048576,MATCH($C282,'Restaurant Base (Hidden)'!$C$2:$C$1048576,0),MATCH(J$6,'Restaurant Base (Hidden)'!$A$1:$Z$1,0)),"")</f>
        <v>1</v>
      </c>
      <c r="K282" s="20" t="str">
        <f>+IFERROR(INDEX('Restaurant Base (Hidden)'!$A$2:$Z$1048576,MATCH($C282,'Restaurant Base (Hidden)'!$C$2:$C$1048576,0),MATCH(K$6,'Restaurant Base (Hidden)'!$A$1:$Z$1,0)),"")</f>
        <v>0,113</v>
      </c>
      <c r="L282" s="51">
        <f>+IFERROR(INDEX('Restaurant Base (Hidden)'!$A$2:$Z$1048576,MATCH($C282,'Restaurant Base (Hidden)'!$C$2:$C$1048576,0),MATCH(L$6,'Restaurant Base (Hidden)'!$A$1:$Z$1,0)),"")</f>
        <v>3</v>
      </c>
      <c r="M282" s="2" t="str">
        <f>+IFERROR(INDEX('Restaurant Base (Hidden)'!$A$2:$Z$1048576,MATCH($C282,'Restaurant Base (Hidden)'!$C$2:$C$1048576,0),MATCH(M$6,'Restaurant Base (Hidden)'!$A$1:$Z$1,0)),"")</f>
        <v/>
      </c>
      <c r="N282" s="234" t="str">
        <f>+IFERROR(INDEX('Restaurant Base (Hidden)'!$A$2:$Z$1048576,MATCH($C282,'Restaurant Base (Hidden)'!$C$2:$C$1048576,0),MATCH(N$6,'Restaurant Base (Hidden)'!$A$1:$Z$1,0)),"")</f>
        <v>57,50 %</v>
      </c>
      <c r="O282" s="1">
        <f>+IFERROR(INDEX('Restaurant Base (Hidden)'!$A$2:$Z$1048576,MATCH($C282,'Restaurant Base (Hidden)'!$C$2:$C$1048576,0),MATCH(O$6,'Restaurant Base (Hidden)'!$A$1:$Z$1,0)),"")</f>
        <v>1</v>
      </c>
      <c r="P282" s="2" t="str">
        <f>+IFERROR(INDEX('Restaurant Base (Hidden)'!$A$2:$Z$1048576,MATCH($C282,'Restaurant Base (Hidden)'!$C$2:$C$1048576,0),MATCH(P$6,'Restaurant Base (Hidden)'!$A$1:$Z$1,0)),"")</f>
        <v/>
      </c>
      <c r="Q282" s="234" t="str">
        <f>+IFERROR(INDEX('Restaurant Base (Hidden)'!$A$2:$Z$1048576,MATCH($C282,'Restaurant Base (Hidden)'!$C$2:$C$1048576,0),MATCH(Q$6,'Restaurant Base (Hidden)'!$A$1:$Z$1,0)),"")</f>
        <v>94,10 %</v>
      </c>
      <c r="R282" s="1">
        <f>+IFERROR(INDEX('Restaurant Base (Hidden)'!$A$2:$Z$1048576,MATCH($C282,'Restaurant Base (Hidden)'!$C$2:$C$1048576,0),MATCH(R$6,'Restaurant Base (Hidden)'!$A$1:$Z$1,0)),"")</f>
        <v>5</v>
      </c>
      <c r="S282" s="2" t="str">
        <f>+IFERROR(INDEX('Restaurant Base (Hidden)'!$A$2:$Z$1048576,MATCH($C282,'Restaurant Base (Hidden)'!$C$2:$C$1048576,0),MATCH(S$6,'Restaurant Base (Hidden)'!$A$1:$Z$1,0)),"")</f>
        <v/>
      </c>
      <c r="T282" s="62">
        <f>+IFERROR(INDEX('Restaurant Base (Hidden)'!$A$2:$Z$1048576,MATCH($C282,'Restaurant Base (Hidden)'!$C$2:$C$1048576,0),MATCH(T$6,'Restaurant Base (Hidden)'!$A$1:$Z$1,0)),"")</f>
        <v>72.400000000000006</v>
      </c>
      <c r="U282" s="1">
        <f>+IFERROR(INDEX('Restaurant Base (Hidden)'!$A$2:$Z$1048576,MATCH($C282,'Restaurant Base (Hidden)'!$C$2:$C$1048576,0),MATCH(U$6,'Restaurant Base (Hidden)'!$A$1:$Z$1,0)),"")</f>
        <v>5</v>
      </c>
      <c r="V282" s="2" t="str">
        <f>+IFERROR(INDEX('Restaurant Base (Hidden)'!$A$2:$Z$1048576,MATCH($C282,'Restaurant Base (Hidden)'!$C$2:$C$1048576,0),MATCH(V$6,'Restaurant Base (Hidden)'!$A$1:$Z$1,0)),"")</f>
        <v/>
      </c>
      <c r="W282" s="65" t="str">
        <f>+IFERROR(INDEX('Restaurant Base (Hidden)'!$A$2:$Z$1048576,MATCH($C282,'Restaurant Base (Hidden)'!$C$2:$C$1048576,0),MATCH(W$6,'Restaurant Base (Hidden)'!$A$1:$Z$1,0)),"")</f>
        <v>74,80 %</v>
      </c>
      <c r="X282" s="1">
        <f>+IFERROR(INDEX('Restaurant Base (Hidden)'!$A$2:$Z$1048576,MATCH($C282,'Restaurant Base (Hidden)'!$C$2:$C$1048576,0),MATCH(X$6,'Restaurant Base (Hidden)'!$A$1:$Z$1,0)),"")</f>
        <v>2</v>
      </c>
      <c r="Y282" s="65" t="str">
        <f>+IFERROR(INDEX('Restaurant Base (Hidden)'!$A$2:$Z$1048576,MATCH($C282,'Restaurant Base (Hidden)'!$C$2:$C$1048576,0),MATCH(Y$6,'Restaurant Base (Hidden)'!$A$1:$Z$1,0)),"")</f>
        <v>89,80 %</v>
      </c>
      <c r="Z282" s="106">
        <f>+IFERROR(INDEX('Restaurant Base (Hidden)'!$A$2:$Z$1048576,MATCH($C282,'Restaurant Base (Hidden)'!$C$2:$C$1048576,0),MATCH(Z$6,'Restaurant Base (Hidden)'!$A$1:$Z$1,0)),"")</f>
        <v>3</v>
      </c>
      <c r="AA282" s="65" t="str">
        <f>+IFERROR(INDEX('Restaurant Base (Hidden)'!$A$2:$Z$1048576,MATCH($C282,'Restaurant Base (Hidden)'!$C$2:$C$1048576,0),MATCH(AA$6,'Restaurant Base (Hidden)'!$A$1:$Z$1,0)),"")</f>
        <v>96,30 %</v>
      </c>
      <c r="AB282" s="1">
        <f>+IFERROR(INDEX('Restaurant Base (Hidden)'!$A$2:$Z$1048576,MATCH($C282,'Restaurant Base (Hidden)'!$C$2:$C$1048576,0),MATCH(AB$6,'Restaurant Base (Hidden)'!$A$1:$Z$1,0)),"")</f>
        <v>4</v>
      </c>
      <c r="AC282" s="20" t="str">
        <f>+IFERROR(INDEX('Restaurant Base (Hidden)'!$A$2:$Z$1048576,MATCH($C282,'Restaurant Base (Hidden)'!$C$2:$C$1048576,0),MATCH(AC$6,'Restaurant Base (Hidden)'!$A$1:$Z$1,0)),"")</f>
        <v/>
      </c>
      <c r="AD282" s="65" t="str">
        <f>+IFERROR(INDEX('Restaurant Base (Hidden)'!$A$2:$Z$1048576,MATCH($C282,'Restaurant Base (Hidden)'!$C$2:$C$1048576,0),MATCH(AD$6,'Restaurant Base (Hidden)'!$A$1:$Z$1,0)),"")</f>
        <v>66,30 %</v>
      </c>
      <c r="AE282" s="1">
        <f>+IFERROR(INDEX('Restaurant Base (Hidden)'!$A$2:$Z$1048576,MATCH($C282,'Restaurant Base (Hidden)'!$C$2:$C$1048576,0),MATCH(AE$6,'Restaurant Base (Hidden)'!$A$1:$Z$1,0)),"")</f>
        <v>1</v>
      </c>
      <c r="AF282" s="65" t="str">
        <f>+IFERROR(INDEX('Restaurant Base (Hidden)'!$A$2:$Z$1048576,MATCH($C282,'Restaurant Base (Hidden)'!$C$2:$C$1048576,0),MATCH(AF$6,'Restaurant Base (Hidden)'!$A$1:$Z$1,0)),"")</f>
        <v>62,70 %</v>
      </c>
      <c r="AG282" s="1">
        <f>+IFERROR(INDEX('Restaurant Base (Hidden)'!$A$2:$Z$1048576,MATCH($C282,'Restaurant Base (Hidden)'!$C$2:$C$1048576,0),MATCH(AG$6,'Restaurant Base (Hidden)'!$A$1:$Z$1,0)),"")</f>
        <v>1</v>
      </c>
    </row>
    <row r="283" spans="1:33" ht="15" customHeight="1" x14ac:dyDescent="0.4">
      <c r="A283" s="163" t="str">
        <f>IF('Restaurant Base (Hidden)'!A41=0,"", 'Restaurant Base (Hidden)'!A41)</f>
        <v>Jordan Oakley</v>
      </c>
      <c r="B283" s="163" t="str">
        <f>IF('Restaurant Base (Hidden)'!B41=0,"", 'Restaurant Base (Hidden)'!B41)</f>
        <v>Sunridge Food Partners</v>
      </c>
      <c r="C283" s="163" t="str">
        <f>IF('Restaurant Base (Hidden)'!C41=0,"", 'Restaurant Base (Hidden)'!C41)</f>
        <v>Northvale Heath</v>
      </c>
      <c r="D283" s="104">
        <f t="shared" si="4"/>
        <v>276</v>
      </c>
      <c r="E283" s="105">
        <f>+IFERROR(INDEX('Restaurant Base (Hidden)'!$A$2:$Z$1048576,MATCH($C283,'Restaurant Base (Hidden)'!$C$2:$C$1048576,0),MATCH(E$6,'Restaurant Base (Hidden)'!$A$1:$Z$1,0)),"")</f>
        <v>2.77</v>
      </c>
      <c r="F283" s="64" t="str">
        <f>+IFERROR(INDEX('Restaurant Base (Hidden)'!$A$2:$Z$1048576,MATCH($C283,'Restaurant Base (Hidden)'!$C$2:$C$1048576,0),MATCH(F$6,'Restaurant Base (Hidden)'!$A$1:$Z$1,0)),"")</f>
        <v/>
      </c>
      <c r="G283" s="20" t="str">
        <f>+IFERROR(INDEX('Restaurant Base (Hidden)'!$A$2:$Z$1048576,MATCH($C283,'Restaurant Base (Hidden)'!$C$2:$C$1048576,0),MATCH(G$6,'Restaurant Base (Hidden)'!$A$1:$Z$1,0)),"")</f>
        <v>4,212</v>
      </c>
      <c r="H283" s="50">
        <f>+IFERROR(INDEX('Restaurant Base (Hidden)'!$A$2:$Z$1048576,MATCH($C283,'Restaurant Base (Hidden)'!$C$2:$C$1048576,0),MATCH(H$6,'Restaurant Base (Hidden)'!$A$1:$Z$1,0)),"")</f>
        <v>3</v>
      </c>
      <c r="I283" s="20" t="str">
        <f>+IFERROR(INDEX('Restaurant Base (Hidden)'!$A$2:$Z$1048576,MATCH($C283,'Restaurant Base (Hidden)'!$C$2:$C$1048576,0),MATCH(I$6,'Restaurant Base (Hidden)'!$A$1:$Z$1,0)),"")</f>
        <v>65,70 %</v>
      </c>
      <c r="J283" s="49">
        <f>+IFERROR(INDEX('Restaurant Base (Hidden)'!$A$2:$Z$1048576,MATCH($C283,'Restaurant Base (Hidden)'!$C$2:$C$1048576,0),MATCH(J$6,'Restaurant Base (Hidden)'!$A$1:$Z$1,0)),"")</f>
        <v>1</v>
      </c>
      <c r="K283" s="20" t="str">
        <f>+IFERROR(INDEX('Restaurant Base (Hidden)'!$A$2:$Z$1048576,MATCH($C283,'Restaurant Base (Hidden)'!$C$2:$C$1048576,0),MATCH(K$6,'Restaurant Base (Hidden)'!$A$1:$Z$1,0)),"")</f>
        <v>0,037</v>
      </c>
      <c r="L283" s="51">
        <f>+IFERROR(INDEX('Restaurant Base (Hidden)'!$A$2:$Z$1048576,MATCH($C283,'Restaurant Base (Hidden)'!$C$2:$C$1048576,0),MATCH(L$6,'Restaurant Base (Hidden)'!$A$1:$Z$1,0)),"")</f>
        <v>5</v>
      </c>
      <c r="M283" s="2" t="str">
        <f>+IFERROR(INDEX('Restaurant Base (Hidden)'!$A$2:$Z$1048576,MATCH($C283,'Restaurant Base (Hidden)'!$C$2:$C$1048576,0),MATCH(M$6,'Restaurant Base (Hidden)'!$A$1:$Z$1,0)),"")</f>
        <v/>
      </c>
      <c r="N283" s="234" t="str">
        <f>+IFERROR(INDEX('Restaurant Base (Hidden)'!$A$2:$Z$1048576,MATCH($C283,'Restaurant Base (Hidden)'!$C$2:$C$1048576,0),MATCH(N$6,'Restaurant Base (Hidden)'!$A$1:$Z$1,0)),"")</f>
        <v>64,20 %</v>
      </c>
      <c r="O283" s="1">
        <f>+IFERROR(INDEX('Restaurant Base (Hidden)'!$A$2:$Z$1048576,MATCH($C283,'Restaurant Base (Hidden)'!$C$2:$C$1048576,0),MATCH(O$6,'Restaurant Base (Hidden)'!$A$1:$Z$1,0)),"")</f>
        <v>3</v>
      </c>
      <c r="P283" s="2" t="str">
        <f>+IFERROR(INDEX('Restaurant Base (Hidden)'!$A$2:$Z$1048576,MATCH($C283,'Restaurant Base (Hidden)'!$C$2:$C$1048576,0),MATCH(P$6,'Restaurant Base (Hidden)'!$A$1:$Z$1,0)),"")</f>
        <v/>
      </c>
      <c r="Q283" s="234" t="str">
        <f>+IFERROR(INDEX('Restaurant Base (Hidden)'!$A$2:$Z$1048576,MATCH($C283,'Restaurant Base (Hidden)'!$C$2:$C$1048576,0),MATCH(Q$6,'Restaurant Base (Hidden)'!$A$1:$Z$1,0)),"")</f>
        <v>67,10 %</v>
      </c>
      <c r="R283" s="1">
        <f>+IFERROR(INDEX('Restaurant Base (Hidden)'!$A$2:$Z$1048576,MATCH($C283,'Restaurant Base (Hidden)'!$C$2:$C$1048576,0),MATCH(R$6,'Restaurant Base (Hidden)'!$A$1:$Z$1,0)),"")</f>
        <v>3</v>
      </c>
      <c r="S283" s="2" t="str">
        <f>+IFERROR(INDEX('Restaurant Base (Hidden)'!$A$2:$Z$1048576,MATCH($C283,'Restaurant Base (Hidden)'!$C$2:$C$1048576,0),MATCH(S$6,'Restaurant Base (Hidden)'!$A$1:$Z$1,0)),"")</f>
        <v/>
      </c>
      <c r="T283" s="62">
        <f>+IFERROR(INDEX('Restaurant Base (Hidden)'!$A$2:$Z$1048576,MATCH($C283,'Restaurant Base (Hidden)'!$C$2:$C$1048576,0),MATCH(T$6,'Restaurant Base (Hidden)'!$A$1:$Z$1,0)),"")</f>
        <v>74.599999999999994</v>
      </c>
      <c r="U283" s="1">
        <f>+IFERROR(INDEX('Restaurant Base (Hidden)'!$A$2:$Z$1048576,MATCH($C283,'Restaurant Base (Hidden)'!$C$2:$C$1048576,0),MATCH(U$6,'Restaurant Base (Hidden)'!$A$1:$Z$1,0)),"")</f>
        <v>5</v>
      </c>
      <c r="V283" s="2" t="str">
        <f>+IFERROR(INDEX('Restaurant Base (Hidden)'!$A$2:$Z$1048576,MATCH($C283,'Restaurant Base (Hidden)'!$C$2:$C$1048576,0),MATCH(V$6,'Restaurant Base (Hidden)'!$A$1:$Z$1,0)),"")</f>
        <v/>
      </c>
      <c r="W283" s="65" t="str">
        <f>+IFERROR(INDEX('Restaurant Base (Hidden)'!$A$2:$Z$1048576,MATCH($C283,'Restaurant Base (Hidden)'!$C$2:$C$1048576,0),MATCH(W$6,'Restaurant Base (Hidden)'!$A$1:$Z$1,0)),"")</f>
        <v>96,10 %</v>
      </c>
      <c r="X283" s="1">
        <f>+IFERROR(INDEX('Restaurant Base (Hidden)'!$A$2:$Z$1048576,MATCH($C283,'Restaurant Base (Hidden)'!$C$2:$C$1048576,0),MATCH(X$6,'Restaurant Base (Hidden)'!$A$1:$Z$1,0)),"")</f>
        <v>4</v>
      </c>
      <c r="Y283" s="65" t="str">
        <f>+IFERROR(INDEX('Restaurant Base (Hidden)'!$A$2:$Z$1048576,MATCH($C283,'Restaurant Base (Hidden)'!$C$2:$C$1048576,0),MATCH(Y$6,'Restaurant Base (Hidden)'!$A$1:$Z$1,0)),"")</f>
        <v>82,10 %</v>
      </c>
      <c r="Z283" s="106">
        <f>+IFERROR(INDEX('Restaurant Base (Hidden)'!$A$2:$Z$1048576,MATCH($C283,'Restaurant Base (Hidden)'!$C$2:$C$1048576,0),MATCH(Z$6,'Restaurant Base (Hidden)'!$A$1:$Z$1,0)),"")</f>
        <v>3</v>
      </c>
      <c r="AA283" s="65" t="str">
        <f>+IFERROR(INDEX('Restaurant Base (Hidden)'!$A$2:$Z$1048576,MATCH($C283,'Restaurant Base (Hidden)'!$C$2:$C$1048576,0),MATCH(AA$6,'Restaurant Base (Hidden)'!$A$1:$Z$1,0)),"")</f>
        <v>90,60 %</v>
      </c>
      <c r="AB283" s="1">
        <f>+IFERROR(INDEX('Restaurant Base (Hidden)'!$A$2:$Z$1048576,MATCH($C283,'Restaurant Base (Hidden)'!$C$2:$C$1048576,0),MATCH(AB$6,'Restaurant Base (Hidden)'!$A$1:$Z$1,0)),"")</f>
        <v>3</v>
      </c>
      <c r="AC283" s="20" t="str">
        <f>+IFERROR(INDEX('Restaurant Base (Hidden)'!$A$2:$Z$1048576,MATCH($C283,'Restaurant Base (Hidden)'!$C$2:$C$1048576,0),MATCH(AC$6,'Restaurant Base (Hidden)'!$A$1:$Z$1,0)),"")</f>
        <v/>
      </c>
      <c r="AD283" s="65" t="str">
        <f>+IFERROR(INDEX('Restaurant Base (Hidden)'!$A$2:$Z$1048576,MATCH($C283,'Restaurant Base (Hidden)'!$C$2:$C$1048576,0),MATCH(AD$6,'Restaurant Base (Hidden)'!$A$1:$Z$1,0)),"")</f>
        <v>67,90 %</v>
      </c>
      <c r="AE283" s="1">
        <f>+IFERROR(INDEX('Restaurant Base (Hidden)'!$A$2:$Z$1048576,MATCH($C283,'Restaurant Base (Hidden)'!$C$2:$C$1048576,0),MATCH(AE$6,'Restaurant Base (Hidden)'!$A$1:$Z$1,0)),"")</f>
        <v>1</v>
      </c>
      <c r="AF283" s="65" t="str">
        <f>+IFERROR(INDEX('Restaurant Base (Hidden)'!$A$2:$Z$1048576,MATCH($C283,'Restaurant Base (Hidden)'!$C$2:$C$1048576,0),MATCH(AF$6,'Restaurant Base (Hidden)'!$A$1:$Z$1,0)),"")</f>
        <v>72,40 %</v>
      </c>
      <c r="AG283" s="1">
        <f>+IFERROR(INDEX('Restaurant Base (Hidden)'!$A$2:$Z$1048576,MATCH($C283,'Restaurant Base (Hidden)'!$C$2:$C$1048576,0),MATCH(AG$6,'Restaurant Base (Hidden)'!$A$1:$Z$1,0)),"")</f>
        <v>1</v>
      </c>
    </row>
    <row r="284" spans="1:33" ht="15" customHeight="1" x14ac:dyDescent="0.4">
      <c r="A284" s="163" t="str">
        <f>IF('Restaurant Base (Hidden)'!A281=0,"", 'Restaurant Base (Hidden)'!A281)</f>
        <v>Rowan Kingsley</v>
      </c>
      <c r="B284" s="163" t="str">
        <f>IF('Restaurant Base (Hidden)'!B281=0,"", 'Restaurant Base (Hidden)'!B281)</f>
        <v>Sunridge Food Partners</v>
      </c>
      <c r="C284" s="163" t="str">
        <f>IF('Restaurant Base (Hidden)'!C281=0,"", 'Restaurant Base (Hidden)'!C281)</f>
        <v>Cedar Plaza</v>
      </c>
      <c r="D284" s="104">
        <f t="shared" si="4"/>
        <v>276</v>
      </c>
      <c r="E284" s="105">
        <f>+IFERROR(INDEX('Restaurant Base (Hidden)'!$A$2:$Z$1048576,MATCH($C284,'Restaurant Base (Hidden)'!$C$2:$C$1048576,0),MATCH(E$6,'Restaurant Base (Hidden)'!$A$1:$Z$1,0)),"")</f>
        <v>2.77</v>
      </c>
      <c r="F284" s="2" t="str">
        <f>+IFERROR(INDEX('Restaurant Base (Hidden)'!$A$2:$Z$1048576,MATCH($C284,'Restaurant Base (Hidden)'!$C$2:$C$1048576,0),MATCH(F$6,'Restaurant Base (Hidden)'!$A$1:$Z$1,0)),"")</f>
        <v/>
      </c>
      <c r="G284" s="20" t="str">
        <f>+IFERROR(INDEX('Restaurant Base (Hidden)'!$A$2:$Z$1048576,MATCH($C284,'Restaurant Base (Hidden)'!$C$2:$C$1048576,0),MATCH(G$6,'Restaurant Base (Hidden)'!$A$1:$Z$1,0)),"")</f>
        <v>4,103</v>
      </c>
      <c r="H284" s="50">
        <f>+IFERROR(INDEX('Restaurant Base (Hidden)'!$A$2:$Z$1048576,MATCH($C284,'Restaurant Base (Hidden)'!$C$2:$C$1048576,0),MATCH(H$6,'Restaurant Base (Hidden)'!$A$1:$Z$1,0)),"")</f>
        <v>2</v>
      </c>
      <c r="I284" s="20" t="str">
        <f>+IFERROR(INDEX('Restaurant Base (Hidden)'!$A$2:$Z$1048576,MATCH($C284,'Restaurant Base (Hidden)'!$C$2:$C$1048576,0),MATCH(I$6,'Restaurant Base (Hidden)'!$A$1:$Z$1,0)),"")</f>
        <v>75,90 %</v>
      </c>
      <c r="J284" s="49">
        <f>+IFERROR(INDEX('Restaurant Base (Hidden)'!$A$2:$Z$1048576,MATCH($C284,'Restaurant Base (Hidden)'!$C$2:$C$1048576,0),MATCH(J$6,'Restaurant Base (Hidden)'!$A$1:$Z$1,0)),"")</f>
        <v>1</v>
      </c>
      <c r="K284" s="20" t="str">
        <f>+IFERROR(INDEX('Restaurant Base (Hidden)'!$A$2:$Z$1048576,MATCH($C284,'Restaurant Base (Hidden)'!$C$2:$C$1048576,0),MATCH(K$6,'Restaurant Base (Hidden)'!$A$1:$Z$1,0)),"")</f>
        <v>0,110</v>
      </c>
      <c r="L284" s="51">
        <f>+IFERROR(INDEX('Restaurant Base (Hidden)'!$A$2:$Z$1048576,MATCH($C284,'Restaurant Base (Hidden)'!$C$2:$C$1048576,0),MATCH(L$6,'Restaurant Base (Hidden)'!$A$1:$Z$1,0)),"")</f>
        <v>3</v>
      </c>
      <c r="M284" s="2" t="str">
        <f>+IFERROR(INDEX('Restaurant Base (Hidden)'!$A$2:$Z$1048576,MATCH($C284,'Restaurant Base (Hidden)'!$C$2:$C$1048576,0),MATCH(M$6,'Restaurant Base (Hidden)'!$A$1:$Z$1,0)),"")</f>
        <v/>
      </c>
      <c r="N284" s="234" t="str">
        <f>+IFERROR(INDEX('Restaurant Base (Hidden)'!$A$2:$Z$1048576,MATCH($C284,'Restaurant Base (Hidden)'!$C$2:$C$1048576,0),MATCH(N$6,'Restaurant Base (Hidden)'!$A$1:$Z$1,0)),"")</f>
        <v>70,50 %</v>
      </c>
      <c r="O284" s="1">
        <f>+IFERROR(INDEX('Restaurant Base (Hidden)'!$A$2:$Z$1048576,MATCH($C284,'Restaurant Base (Hidden)'!$C$2:$C$1048576,0),MATCH(O$6,'Restaurant Base (Hidden)'!$A$1:$Z$1,0)),"")</f>
        <v>4</v>
      </c>
      <c r="P284" s="2" t="str">
        <f>+IFERROR(INDEX('Restaurant Base (Hidden)'!$A$2:$Z$1048576,MATCH($C284,'Restaurant Base (Hidden)'!$C$2:$C$1048576,0),MATCH(P$6,'Restaurant Base (Hidden)'!$A$1:$Z$1,0)),"")</f>
        <v/>
      </c>
      <c r="Q284" s="234" t="str">
        <f>+IFERROR(INDEX('Restaurant Base (Hidden)'!$A$2:$Z$1048576,MATCH($C284,'Restaurant Base (Hidden)'!$C$2:$C$1048576,0),MATCH(Q$6,'Restaurant Base (Hidden)'!$A$1:$Z$1,0)),"")</f>
        <v>97,50 %</v>
      </c>
      <c r="R284" s="1">
        <f>+IFERROR(INDEX('Restaurant Base (Hidden)'!$A$2:$Z$1048576,MATCH($C284,'Restaurant Base (Hidden)'!$C$2:$C$1048576,0),MATCH(R$6,'Restaurant Base (Hidden)'!$A$1:$Z$1,0)),"")</f>
        <v>5</v>
      </c>
      <c r="S284" s="2" t="str">
        <f>+IFERROR(INDEX('Restaurant Base (Hidden)'!$A$2:$Z$1048576,MATCH($C284,'Restaurant Base (Hidden)'!$C$2:$C$1048576,0),MATCH(S$6,'Restaurant Base (Hidden)'!$A$1:$Z$1,0)),"")</f>
        <v/>
      </c>
      <c r="T284" s="62">
        <f>+IFERROR(INDEX('Restaurant Base (Hidden)'!$A$2:$Z$1048576,MATCH($C284,'Restaurant Base (Hidden)'!$C$2:$C$1048576,0),MATCH(T$6,'Restaurant Base (Hidden)'!$A$1:$Z$1,0)),"")</f>
        <v>75.7</v>
      </c>
      <c r="U284" s="1">
        <f>+IFERROR(INDEX('Restaurant Base (Hidden)'!$A$2:$Z$1048576,MATCH($C284,'Restaurant Base (Hidden)'!$C$2:$C$1048576,0),MATCH(U$6,'Restaurant Base (Hidden)'!$A$1:$Z$1,0)),"")</f>
        <v>5</v>
      </c>
      <c r="V284" s="2" t="str">
        <f>+IFERROR(INDEX('Restaurant Base (Hidden)'!$A$2:$Z$1048576,MATCH($C284,'Restaurant Base (Hidden)'!$C$2:$C$1048576,0),MATCH(V$6,'Restaurant Base (Hidden)'!$A$1:$Z$1,0)),"")</f>
        <v/>
      </c>
      <c r="W284" s="65" t="str">
        <f>+IFERROR(INDEX('Restaurant Base (Hidden)'!$A$2:$Z$1048576,MATCH($C284,'Restaurant Base (Hidden)'!$C$2:$C$1048576,0),MATCH(W$6,'Restaurant Base (Hidden)'!$A$1:$Z$1,0)),"")</f>
        <v>91,50 %</v>
      </c>
      <c r="X284" s="1">
        <f>+IFERROR(INDEX('Restaurant Base (Hidden)'!$A$2:$Z$1048576,MATCH($C284,'Restaurant Base (Hidden)'!$C$2:$C$1048576,0),MATCH(X$6,'Restaurant Base (Hidden)'!$A$1:$Z$1,0)),"")</f>
        <v>3</v>
      </c>
      <c r="Y284" s="65" t="str">
        <f>+IFERROR(INDEX('Restaurant Base (Hidden)'!$A$2:$Z$1048576,MATCH($C284,'Restaurant Base (Hidden)'!$C$2:$C$1048576,0),MATCH(Y$6,'Restaurant Base (Hidden)'!$A$1:$Z$1,0)),"")</f>
        <v>62,00 %</v>
      </c>
      <c r="Z284" s="106">
        <f>+IFERROR(INDEX('Restaurant Base (Hidden)'!$A$2:$Z$1048576,MATCH($C284,'Restaurant Base (Hidden)'!$C$2:$C$1048576,0),MATCH(Z$6,'Restaurant Base (Hidden)'!$A$1:$Z$1,0)),"")</f>
        <v>2</v>
      </c>
      <c r="AA284" s="65" t="str">
        <f>+IFERROR(INDEX('Restaurant Base (Hidden)'!$A$2:$Z$1048576,MATCH($C284,'Restaurant Base (Hidden)'!$C$2:$C$1048576,0),MATCH(AA$6,'Restaurant Base (Hidden)'!$A$1:$Z$1,0)),"")</f>
        <v>57,00 %</v>
      </c>
      <c r="AB284" s="1">
        <f>+IFERROR(INDEX('Restaurant Base (Hidden)'!$A$2:$Z$1048576,MATCH($C284,'Restaurant Base (Hidden)'!$C$2:$C$1048576,0),MATCH(AB$6,'Restaurant Base (Hidden)'!$A$1:$Z$1,0)),"")</f>
        <v>1</v>
      </c>
      <c r="AC284" s="20" t="str">
        <f>+IFERROR(INDEX('Restaurant Base (Hidden)'!$A$2:$Z$1048576,MATCH($C284,'Restaurant Base (Hidden)'!$C$2:$C$1048576,0),MATCH(AC$6,'Restaurant Base (Hidden)'!$A$1:$Z$1,0)),"")</f>
        <v/>
      </c>
      <c r="AD284" s="65" t="str">
        <f>+IFERROR(INDEX('Restaurant Base (Hidden)'!$A$2:$Z$1048576,MATCH($C284,'Restaurant Base (Hidden)'!$C$2:$C$1048576,0),MATCH(AD$6,'Restaurant Base (Hidden)'!$A$1:$Z$1,0)),"")</f>
        <v>68,20 %</v>
      </c>
      <c r="AE284" s="1">
        <f>+IFERROR(INDEX('Restaurant Base (Hidden)'!$A$2:$Z$1048576,MATCH($C284,'Restaurant Base (Hidden)'!$C$2:$C$1048576,0),MATCH(AE$6,'Restaurant Base (Hidden)'!$A$1:$Z$1,0)),"")</f>
        <v>1</v>
      </c>
      <c r="AF284" s="65" t="str">
        <f>+IFERROR(INDEX('Restaurant Base (Hidden)'!$A$2:$Z$1048576,MATCH($C284,'Restaurant Base (Hidden)'!$C$2:$C$1048576,0),MATCH(AF$6,'Restaurant Base (Hidden)'!$A$1:$Z$1,0)),"")</f>
        <v>66,00 %</v>
      </c>
      <c r="AG284" s="1">
        <f>+IFERROR(INDEX('Restaurant Base (Hidden)'!$A$2:$Z$1048576,MATCH($C284,'Restaurant Base (Hidden)'!$C$2:$C$1048576,0),MATCH(AG$6,'Restaurant Base (Hidden)'!$A$1:$Z$1,0)),"")</f>
        <v>1</v>
      </c>
    </row>
    <row r="285" spans="1:33" ht="15" customHeight="1" x14ac:dyDescent="0.4">
      <c r="A285" s="163" t="str">
        <f>IF('Restaurant Base (Hidden)'!A317=0,"", 'Restaurant Base (Hidden)'!A317)</f>
        <v>Marlowe Ellington</v>
      </c>
      <c r="B285" s="163" t="str">
        <f>IF('Restaurant Base (Hidden)'!B317=0,"", 'Restaurant Base (Hidden)'!B317)</f>
        <v>Riverstone Food Partners</v>
      </c>
      <c r="C285" s="163" t="str">
        <f>IF('Restaurant Base (Hidden)'!C317=0,"", 'Restaurant Base (Hidden)'!C317)</f>
        <v>Haven Ridge</v>
      </c>
      <c r="D285" s="104">
        <f t="shared" si="4"/>
        <v>276</v>
      </c>
      <c r="E285" s="105">
        <f>+IFERROR(INDEX('Restaurant Base (Hidden)'!$A$2:$Z$1048576,MATCH($C285,'Restaurant Base (Hidden)'!$C$2:$C$1048576,0),MATCH(E$6,'Restaurant Base (Hidden)'!$A$1:$Z$1,0)),"")</f>
        <v>2.77</v>
      </c>
      <c r="F285" s="2" t="str">
        <f>+IFERROR(INDEX('Restaurant Base (Hidden)'!$A$2:$Z$1048576,MATCH($C285,'Restaurant Base (Hidden)'!$C$2:$C$1048576,0),MATCH(F$6,'Restaurant Base (Hidden)'!$A$1:$Z$1,0)),"")</f>
        <v/>
      </c>
      <c r="G285" s="20" t="str">
        <f>+IFERROR(INDEX('Restaurant Base (Hidden)'!$A$2:$Z$1048576,MATCH($C285,'Restaurant Base (Hidden)'!$C$2:$C$1048576,0),MATCH(G$6,'Restaurant Base (Hidden)'!$A$1:$Z$1,0)),"")</f>
        <v>4,130</v>
      </c>
      <c r="H285" s="50">
        <f>+IFERROR(INDEX('Restaurant Base (Hidden)'!$A$2:$Z$1048576,MATCH($C285,'Restaurant Base (Hidden)'!$C$2:$C$1048576,0),MATCH(H$6,'Restaurant Base (Hidden)'!$A$1:$Z$1,0)),"")</f>
        <v>2</v>
      </c>
      <c r="I285" s="20" t="str">
        <f>+IFERROR(INDEX('Restaurant Base (Hidden)'!$A$2:$Z$1048576,MATCH($C285,'Restaurant Base (Hidden)'!$C$2:$C$1048576,0),MATCH(I$6,'Restaurant Base (Hidden)'!$A$1:$Z$1,0)),"")</f>
        <v>72,90 %</v>
      </c>
      <c r="J285" s="49">
        <f>+IFERROR(INDEX('Restaurant Base (Hidden)'!$A$2:$Z$1048576,MATCH($C285,'Restaurant Base (Hidden)'!$C$2:$C$1048576,0),MATCH(J$6,'Restaurant Base (Hidden)'!$A$1:$Z$1,0)),"")</f>
        <v>1</v>
      </c>
      <c r="K285" s="20" t="str">
        <f>+IFERROR(INDEX('Restaurant Base (Hidden)'!$A$2:$Z$1048576,MATCH($C285,'Restaurant Base (Hidden)'!$C$2:$C$1048576,0),MATCH(K$6,'Restaurant Base (Hidden)'!$A$1:$Z$1,0)),"")</f>
        <v>0,178</v>
      </c>
      <c r="L285" s="51">
        <f>+IFERROR(INDEX('Restaurant Base (Hidden)'!$A$2:$Z$1048576,MATCH($C285,'Restaurant Base (Hidden)'!$C$2:$C$1048576,0),MATCH(L$6,'Restaurant Base (Hidden)'!$A$1:$Z$1,0)),"")</f>
        <v>2</v>
      </c>
      <c r="M285" s="2" t="str">
        <f>+IFERROR(INDEX('Restaurant Base (Hidden)'!$A$2:$Z$1048576,MATCH($C285,'Restaurant Base (Hidden)'!$C$2:$C$1048576,0),MATCH(M$6,'Restaurant Base (Hidden)'!$A$1:$Z$1,0)),"")</f>
        <v/>
      </c>
      <c r="N285" s="234" t="str">
        <f>+IFERROR(INDEX('Restaurant Base (Hidden)'!$A$2:$Z$1048576,MATCH($C285,'Restaurant Base (Hidden)'!$C$2:$C$1048576,0),MATCH(N$6,'Restaurant Base (Hidden)'!$A$1:$Z$1,0)),"")</f>
        <v>68,60 %</v>
      </c>
      <c r="O285" s="1">
        <f>+IFERROR(INDEX('Restaurant Base (Hidden)'!$A$2:$Z$1048576,MATCH($C285,'Restaurant Base (Hidden)'!$C$2:$C$1048576,0),MATCH(O$6,'Restaurant Base (Hidden)'!$A$1:$Z$1,0)),"")</f>
        <v>4</v>
      </c>
      <c r="P285" s="2" t="str">
        <f>+IFERROR(INDEX('Restaurant Base (Hidden)'!$A$2:$Z$1048576,MATCH($C285,'Restaurant Base (Hidden)'!$C$2:$C$1048576,0),MATCH(P$6,'Restaurant Base (Hidden)'!$A$1:$Z$1,0)),"")</f>
        <v/>
      </c>
      <c r="Q285" s="234" t="str">
        <f>+IFERROR(INDEX('Restaurant Base (Hidden)'!$A$2:$Z$1048576,MATCH($C285,'Restaurant Base (Hidden)'!$C$2:$C$1048576,0),MATCH(Q$6,'Restaurant Base (Hidden)'!$A$1:$Z$1,0)),"")</f>
        <v>78,30 %</v>
      </c>
      <c r="R285" s="1">
        <f>+IFERROR(INDEX('Restaurant Base (Hidden)'!$A$2:$Z$1048576,MATCH($C285,'Restaurant Base (Hidden)'!$C$2:$C$1048576,0),MATCH(R$6,'Restaurant Base (Hidden)'!$A$1:$Z$1,0)),"")</f>
        <v>5</v>
      </c>
      <c r="S285" s="2" t="str">
        <f>+IFERROR(INDEX('Restaurant Base (Hidden)'!$A$2:$Z$1048576,MATCH($C285,'Restaurant Base (Hidden)'!$C$2:$C$1048576,0),MATCH(S$6,'Restaurant Base (Hidden)'!$A$1:$Z$1,0)),"")</f>
        <v/>
      </c>
      <c r="T285" s="62">
        <f>+IFERROR(INDEX('Restaurant Base (Hidden)'!$A$2:$Z$1048576,MATCH($C285,'Restaurant Base (Hidden)'!$C$2:$C$1048576,0),MATCH(T$6,'Restaurant Base (Hidden)'!$A$1:$Z$1,0)),"")</f>
        <v>55.5</v>
      </c>
      <c r="U285" s="1">
        <f>+IFERROR(INDEX('Restaurant Base (Hidden)'!$A$2:$Z$1048576,MATCH($C285,'Restaurant Base (Hidden)'!$C$2:$C$1048576,0),MATCH(U$6,'Restaurant Base (Hidden)'!$A$1:$Z$1,0)),"")</f>
        <v>1</v>
      </c>
      <c r="V285" s="2" t="str">
        <f>+IFERROR(INDEX('Restaurant Base (Hidden)'!$A$2:$Z$1048576,MATCH($C285,'Restaurant Base (Hidden)'!$C$2:$C$1048576,0),MATCH(V$6,'Restaurant Base (Hidden)'!$A$1:$Z$1,0)),"")</f>
        <v/>
      </c>
      <c r="W285" s="65" t="str">
        <f>+IFERROR(INDEX('Restaurant Base (Hidden)'!$A$2:$Z$1048576,MATCH($C285,'Restaurant Base (Hidden)'!$C$2:$C$1048576,0),MATCH(W$6,'Restaurant Base (Hidden)'!$A$1:$Z$1,0)),"")</f>
        <v>99,20 %</v>
      </c>
      <c r="X285" s="1">
        <f>+IFERROR(INDEX('Restaurant Base (Hidden)'!$A$2:$Z$1048576,MATCH($C285,'Restaurant Base (Hidden)'!$C$2:$C$1048576,0),MATCH(X$6,'Restaurant Base (Hidden)'!$A$1:$Z$1,0)),"")</f>
        <v>5</v>
      </c>
      <c r="Y285" s="65" t="str">
        <f>+IFERROR(INDEX('Restaurant Base (Hidden)'!$A$2:$Z$1048576,MATCH($C285,'Restaurant Base (Hidden)'!$C$2:$C$1048576,0),MATCH(Y$6,'Restaurant Base (Hidden)'!$A$1:$Z$1,0)),"")</f>
        <v>86,90 %</v>
      </c>
      <c r="Z285" s="106">
        <f>+IFERROR(INDEX('Restaurant Base (Hidden)'!$A$2:$Z$1048576,MATCH($C285,'Restaurant Base (Hidden)'!$C$2:$C$1048576,0),MATCH(Z$6,'Restaurant Base (Hidden)'!$A$1:$Z$1,0)),"")</f>
        <v>3</v>
      </c>
      <c r="AA285" s="65" t="str">
        <f>+IFERROR(INDEX('Restaurant Base (Hidden)'!$A$2:$Z$1048576,MATCH($C285,'Restaurant Base (Hidden)'!$C$2:$C$1048576,0),MATCH(AA$6,'Restaurant Base (Hidden)'!$A$1:$Z$1,0)),"")</f>
        <v>65,10 %</v>
      </c>
      <c r="AB285" s="1">
        <f>+IFERROR(INDEX('Restaurant Base (Hidden)'!$A$2:$Z$1048576,MATCH($C285,'Restaurant Base (Hidden)'!$C$2:$C$1048576,0),MATCH(AB$6,'Restaurant Base (Hidden)'!$A$1:$Z$1,0)),"")</f>
        <v>2</v>
      </c>
      <c r="AC285" s="20" t="str">
        <f>+IFERROR(INDEX('Restaurant Base (Hidden)'!$A$2:$Z$1048576,MATCH($C285,'Restaurant Base (Hidden)'!$C$2:$C$1048576,0),MATCH(AC$6,'Restaurant Base (Hidden)'!$A$1:$Z$1,0)),"")</f>
        <v/>
      </c>
      <c r="AD285" s="65" t="str">
        <f>+IFERROR(INDEX('Restaurant Base (Hidden)'!$A$2:$Z$1048576,MATCH($C285,'Restaurant Base (Hidden)'!$C$2:$C$1048576,0),MATCH(AD$6,'Restaurant Base (Hidden)'!$A$1:$Z$1,0)),"")</f>
        <v>75,20 %</v>
      </c>
      <c r="AE285" s="1">
        <f>+IFERROR(INDEX('Restaurant Base (Hidden)'!$A$2:$Z$1048576,MATCH($C285,'Restaurant Base (Hidden)'!$C$2:$C$1048576,0),MATCH(AE$6,'Restaurant Base (Hidden)'!$A$1:$Z$1,0)),"")</f>
        <v>2</v>
      </c>
      <c r="AF285" s="65" t="str">
        <f>+IFERROR(INDEX('Restaurant Base (Hidden)'!$A$2:$Z$1048576,MATCH($C285,'Restaurant Base (Hidden)'!$C$2:$C$1048576,0),MATCH(AF$6,'Restaurant Base (Hidden)'!$A$1:$Z$1,0)),"")</f>
        <v>89,70 %</v>
      </c>
      <c r="AG285" s="1">
        <f>+IFERROR(INDEX('Restaurant Base (Hidden)'!$A$2:$Z$1048576,MATCH($C285,'Restaurant Base (Hidden)'!$C$2:$C$1048576,0),MATCH(AG$6,'Restaurant Base (Hidden)'!$A$1:$Z$1,0)),"")</f>
        <v>3</v>
      </c>
    </row>
    <row r="286" spans="1:33" ht="15" customHeight="1" x14ac:dyDescent="0.4">
      <c r="A286" s="163" t="str">
        <f>IF('Restaurant Base (Hidden)'!A365=0,"", 'Restaurant Base (Hidden)'!A365)</f>
        <v>Quinn Westbrook</v>
      </c>
      <c r="B286" s="163" t="str">
        <f>IF('Restaurant Base (Hidden)'!B365=0,"", 'Restaurant Base (Hidden)'!B365)</f>
        <v>Oakbridge Restaurant Group</v>
      </c>
      <c r="C286" s="163" t="str">
        <f>IF('Restaurant Base (Hidden)'!C365=0,"", 'Restaurant Base (Hidden)'!C365)</f>
        <v>Highland Pines</v>
      </c>
      <c r="D286" s="104">
        <f t="shared" si="4"/>
        <v>276</v>
      </c>
      <c r="E286" s="105">
        <f>+IFERROR(INDEX('Restaurant Base (Hidden)'!$A$2:$Z$1048576,MATCH($C286,'Restaurant Base (Hidden)'!$C$2:$C$1048576,0),MATCH(E$6,'Restaurant Base (Hidden)'!$A$1:$Z$1,0)),"")</f>
        <v>2.77</v>
      </c>
      <c r="F286" s="2" t="str">
        <f>+IFERROR(INDEX('Restaurant Base (Hidden)'!$A$2:$Z$1048576,MATCH($C286,'Restaurant Base (Hidden)'!$C$2:$C$1048576,0),MATCH(F$6,'Restaurant Base (Hidden)'!$A$1:$Z$1,0)),"")</f>
        <v/>
      </c>
      <c r="G286" s="20" t="str">
        <f>+IFERROR(INDEX('Restaurant Base (Hidden)'!$A$2:$Z$1048576,MATCH($C286,'Restaurant Base (Hidden)'!$C$2:$C$1048576,0),MATCH(G$6,'Restaurant Base (Hidden)'!$A$1:$Z$1,0)),"")</f>
        <v>4,308</v>
      </c>
      <c r="H286" s="50">
        <f>+IFERROR(INDEX('Restaurant Base (Hidden)'!$A$2:$Z$1048576,MATCH($C286,'Restaurant Base (Hidden)'!$C$2:$C$1048576,0),MATCH(H$6,'Restaurant Base (Hidden)'!$A$1:$Z$1,0)),"")</f>
        <v>3</v>
      </c>
      <c r="I286" s="20" t="str">
        <f>+IFERROR(INDEX('Restaurant Base (Hidden)'!$A$2:$Z$1048576,MATCH($C286,'Restaurant Base (Hidden)'!$C$2:$C$1048576,0),MATCH(I$6,'Restaurant Base (Hidden)'!$A$1:$Z$1,0)),"")</f>
        <v>93,50 %</v>
      </c>
      <c r="J286" s="49">
        <f>+IFERROR(INDEX('Restaurant Base (Hidden)'!$A$2:$Z$1048576,MATCH($C286,'Restaurant Base (Hidden)'!$C$2:$C$1048576,0),MATCH(J$6,'Restaurant Base (Hidden)'!$A$1:$Z$1,0)),"")</f>
        <v>4</v>
      </c>
      <c r="K286" s="20" t="str">
        <f>+IFERROR(INDEX('Restaurant Base (Hidden)'!$A$2:$Z$1048576,MATCH($C286,'Restaurant Base (Hidden)'!$C$2:$C$1048576,0),MATCH(K$6,'Restaurant Base (Hidden)'!$A$1:$Z$1,0)),"")</f>
        <v>0,171</v>
      </c>
      <c r="L286" s="51">
        <f>+IFERROR(INDEX('Restaurant Base (Hidden)'!$A$2:$Z$1048576,MATCH($C286,'Restaurant Base (Hidden)'!$C$2:$C$1048576,0),MATCH(L$6,'Restaurant Base (Hidden)'!$A$1:$Z$1,0)),"")</f>
        <v>2</v>
      </c>
      <c r="M286" s="2" t="str">
        <f>+IFERROR(INDEX('Restaurant Base (Hidden)'!$A$2:$Z$1048576,MATCH($C286,'Restaurant Base (Hidden)'!$C$2:$C$1048576,0),MATCH(M$6,'Restaurant Base (Hidden)'!$A$1:$Z$1,0)),"")</f>
        <v/>
      </c>
      <c r="N286" s="234" t="str">
        <f>+IFERROR(INDEX('Restaurant Base (Hidden)'!$A$2:$Z$1048576,MATCH($C286,'Restaurant Base (Hidden)'!$C$2:$C$1048576,0),MATCH(N$6,'Restaurant Base (Hidden)'!$A$1:$Z$1,0)),"")</f>
        <v>64,80 %</v>
      </c>
      <c r="O286" s="1">
        <f>+IFERROR(INDEX('Restaurant Base (Hidden)'!$A$2:$Z$1048576,MATCH($C286,'Restaurant Base (Hidden)'!$C$2:$C$1048576,0),MATCH(O$6,'Restaurant Base (Hidden)'!$A$1:$Z$1,0)),"")</f>
        <v>3</v>
      </c>
      <c r="P286" s="2" t="str">
        <f>+IFERROR(INDEX('Restaurant Base (Hidden)'!$A$2:$Z$1048576,MATCH($C286,'Restaurant Base (Hidden)'!$C$2:$C$1048576,0),MATCH(P$6,'Restaurant Base (Hidden)'!$A$1:$Z$1,0)),"")</f>
        <v/>
      </c>
      <c r="Q286" s="234" t="str">
        <f>+IFERROR(INDEX('Restaurant Base (Hidden)'!$A$2:$Z$1048576,MATCH($C286,'Restaurant Base (Hidden)'!$C$2:$C$1048576,0),MATCH(Q$6,'Restaurant Base (Hidden)'!$A$1:$Z$1,0)),"")</f>
        <v>59,40 %</v>
      </c>
      <c r="R286" s="1">
        <f>+IFERROR(INDEX('Restaurant Base (Hidden)'!$A$2:$Z$1048576,MATCH($C286,'Restaurant Base (Hidden)'!$C$2:$C$1048576,0),MATCH(R$6,'Restaurant Base (Hidden)'!$A$1:$Z$1,0)),"")</f>
        <v>1</v>
      </c>
      <c r="S286" s="2" t="str">
        <f>+IFERROR(INDEX('Restaurant Base (Hidden)'!$A$2:$Z$1048576,MATCH($C286,'Restaurant Base (Hidden)'!$C$2:$C$1048576,0),MATCH(S$6,'Restaurant Base (Hidden)'!$A$1:$Z$1,0)),"")</f>
        <v/>
      </c>
      <c r="T286" s="62">
        <f>+IFERROR(INDEX('Restaurant Base (Hidden)'!$A$2:$Z$1048576,MATCH($C286,'Restaurant Base (Hidden)'!$C$2:$C$1048576,0),MATCH(T$6,'Restaurant Base (Hidden)'!$A$1:$Z$1,0)),"")</f>
        <v>62.7</v>
      </c>
      <c r="U286" s="1">
        <f>+IFERROR(INDEX('Restaurant Base (Hidden)'!$A$2:$Z$1048576,MATCH($C286,'Restaurant Base (Hidden)'!$C$2:$C$1048576,0),MATCH(U$6,'Restaurant Base (Hidden)'!$A$1:$Z$1,0)),"")</f>
        <v>3</v>
      </c>
      <c r="V286" s="2" t="str">
        <f>+IFERROR(INDEX('Restaurant Base (Hidden)'!$A$2:$Z$1048576,MATCH($C286,'Restaurant Base (Hidden)'!$C$2:$C$1048576,0),MATCH(V$6,'Restaurant Base (Hidden)'!$A$1:$Z$1,0)),"")</f>
        <v/>
      </c>
      <c r="W286" s="65" t="str">
        <f>+IFERROR(INDEX('Restaurant Base (Hidden)'!$A$2:$Z$1048576,MATCH($C286,'Restaurant Base (Hidden)'!$C$2:$C$1048576,0),MATCH(W$6,'Restaurant Base (Hidden)'!$A$1:$Z$1,0)),"")</f>
        <v>80,40 %</v>
      </c>
      <c r="X286" s="1">
        <f>+IFERROR(INDEX('Restaurant Base (Hidden)'!$A$2:$Z$1048576,MATCH($C286,'Restaurant Base (Hidden)'!$C$2:$C$1048576,0),MATCH(X$6,'Restaurant Base (Hidden)'!$A$1:$Z$1,0)),"")</f>
        <v>3</v>
      </c>
      <c r="Y286" s="65" t="str">
        <f>+IFERROR(INDEX('Restaurant Base (Hidden)'!$A$2:$Z$1048576,MATCH($C286,'Restaurant Base (Hidden)'!$C$2:$C$1048576,0),MATCH(Y$6,'Restaurant Base (Hidden)'!$A$1:$Z$1,0)),"")</f>
        <v>85,70 %</v>
      </c>
      <c r="Z286" s="106">
        <f>+IFERROR(INDEX('Restaurant Base (Hidden)'!$A$2:$Z$1048576,MATCH($C286,'Restaurant Base (Hidden)'!$C$2:$C$1048576,0),MATCH(Z$6,'Restaurant Base (Hidden)'!$A$1:$Z$1,0)),"")</f>
        <v>3</v>
      </c>
      <c r="AA286" s="65" t="str">
        <f>+IFERROR(INDEX('Restaurant Base (Hidden)'!$A$2:$Z$1048576,MATCH($C286,'Restaurant Base (Hidden)'!$C$2:$C$1048576,0),MATCH(AA$6,'Restaurant Base (Hidden)'!$A$1:$Z$1,0)),"")</f>
        <v>95,80 %</v>
      </c>
      <c r="AB286" s="1">
        <f>+IFERROR(INDEX('Restaurant Base (Hidden)'!$A$2:$Z$1048576,MATCH($C286,'Restaurant Base (Hidden)'!$C$2:$C$1048576,0),MATCH(AB$6,'Restaurant Base (Hidden)'!$A$1:$Z$1,0)),"")</f>
        <v>3</v>
      </c>
      <c r="AC286" s="20" t="str">
        <f>+IFERROR(INDEX('Restaurant Base (Hidden)'!$A$2:$Z$1048576,MATCH($C286,'Restaurant Base (Hidden)'!$C$2:$C$1048576,0),MATCH(AC$6,'Restaurant Base (Hidden)'!$A$1:$Z$1,0)),"")</f>
        <v/>
      </c>
      <c r="AD286" s="65" t="str">
        <f>+IFERROR(INDEX('Restaurant Base (Hidden)'!$A$2:$Z$1048576,MATCH($C286,'Restaurant Base (Hidden)'!$C$2:$C$1048576,0),MATCH(AD$6,'Restaurant Base (Hidden)'!$A$1:$Z$1,0)),"")</f>
        <v>94,60 %</v>
      </c>
      <c r="AE286" s="1">
        <f>+IFERROR(INDEX('Restaurant Base (Hidden)'!$A$2:$Z$1048576,MATCH($C286,'Restaurant Base (Hidden)'!$C$2:$C$1048576,0),MATCH(AE$6,'Restaurant Base (Hidden)'!$A$1:$Z$1,0)),"")</f>
        <v>4</v>
      </c>
      <c r="AF286" s="65" t="str">
        <f>+IFERROR(INDEX('Restaurant Base (Hidden)'!$A$2:$Z$1048576,MATCH($C286,'Restaurant Base (Hidden)'!$C$2:$C$1048576,0),MATCH(AF$6,'Restaurant Base (Hidden)'!$A$1:$Z$1,0)),"")</f>
        <v>79,30 %</v>
      </c>
      <c r="AG286" s="1">
        <f>+IFERROR(INDEX('Restaurant Base (Hidden)'!$A$2:$Z$1048576,MATCH($C286,'Restaurant Base (Hidden)'!$C$2:$C$1048576,0),MATCH(AG$6,'Restaurant Base (Hidden)'!$A$1:$Z$1,0)),"")</f>
        <v>2</v>
      </c>
    </row>
    <row r="287" spans="1:33" ht="15" customHeight="1" x14ac:dyDescent="0.4">
      <c r="A287" s="163" t="str">
        <f>IF('Restaurant Base (Hidden)'!A23=0,"", 'Restaurant Base (Hidden)'!A23)</f>
        <v>Arden Brookstone</v>
      </c>
      <c r="B287" s="163" t="str">
        <f>IF('Restaurant Base (Hidden)'!B23=0,"", 'Restaurant Base (Hidden)'!B23)</f>
        <v>Goldenridge Hospitality</v>
      </c>
      <c r="C287" s="163" t="str">
        <f>IF('Restaurant Base (Hidden)'!C23=0,"", 'Restaurant Base (Hidden)'!C23)</f>
        <v>Riverside House</v>
      </c>
      <c r="D287" s="104">
        <f t="shared" si="4"/>
        <v>281</v>
      </c>
      <c r="E287" s="105">
        <f>+IFERROR(INDEX('Restaurant Base (Hidden)'!$A$2:$Z$1048576,MATCH($C287,'Restaurant Base (Hidden)'!$C$2:$C$1048576,0),MATCH(E$6,'Restaurant Base (Hidden)'!$A$1:$Z$1,0)),"")</f>
        <v>2.76</v>
      </c>
      <c r="F287" s="64" t="str">
        <f>+IFERROR(INDEX('Restaurant Base (Hidden)'!$A$2:$Z$1048576,MATCH($C287,'Restaurant Base (Hidden)'!$C$2:$C$1048576,0),MATCH(F$6,'Restaurant Base (Hidden)'!$A$1:$Z$1,0)),"")</f>
        <v/>
      </c>
      <c r="G287" s="20" t="str">
        <f>+IFERROR(INDEX('Restaurant Base (Hidden)'!$A$2:$Z$1048576,MATCH($C287,'Restaurant Base (Hidden)'!$C$2:$C$1048576,0),MATCH(G$6,'Restaurant Base (Hidden)'!$A$1:$Z$1,0)),"")</f>
        <v>4,208</v>
      </c>
      <c r="H287" s="50">
        <f>+IFERROR(INDEX('Restaurant Base (Hidden)'!$A$2:$Z$1048576,MATCH($C287,'Restaurant Base (Hidden)'!$C$2:$C$1048576,0),MATCH(H$6,'Restaurant Base (Hidden)'!$A$1:$Z$1,0)),"")</f>
        <v>3</v>
      </c>
      <c r="I287" s="20" t="str">
        <f>+IFERROR(INDEX('Restaurant Base (Hidden)'!$A$2:$Z$1048576,MATCH($C287,'Restaurant Base (Hidden)'!$C$2:$C$1048576,0),MATCH(I$6,'Restaurant Base (Hidden)'!$A$1:$Z$1,0)),"")</f>
        <v>56,10 %</v>
      </c>
      <c r="J287" s="49">
        <f>+IFERROR(INDEX('Restaurant Base (Hidden)'!$A$2:$Z$1048576,MATCH($C287,'Restaurant Base (Hidden)'!$C$2:$C$1048576,0),MATCH(J$6,'Restaurant Base (Hidden)'!$A$1:$Z$1,0)),"")</f>
        <v>1</v>
      </c>
      <c r="K287" s="20" t="str">
        <f>+IFERROR(INDEX('Restaurant Base (Hidden)'!$A$2:$Z$1048576,MATCH($C287,'Restaurant Base (Hidden)'!$C$2:$C$1048576,0),MATCH(K$6,'Restaurant Base (Hidden)'!$A$1:$Z$1,0)),"")</f>
        <v>0,146</v>
      </c>
      <c r="L287" s="51">
        <f>+IFERROR(INDEX('Restaurant Base (Hidden)'!$A$2:$Z$1048576,MATCH($C287,'Restaurant Base (Hidden)'!$C$2:$C$1048576,0),MATCH(L$6,'Restaurant Base (Hidden)'!$A$1:$Z$1,0)),"")</f>
        <v>2</v>
      </c>
      <c r="M287" s="2" t="str">
        <f>+IFERROR(INDEX('Restaurant Base (Hidden)'!$A$2:$Z$1048576,MATCH($C287,'Restaurant Base (Hidden)'!$C$2:$C$1048576,0),MATCH(M$6,'Restaurant Base (Hidden)'!$A$1:$Z$1,0)),"")</f>
        <v/>
      </c>
      <c r="N287" s="234" t="str">
        <f>+IFERROR(INDEX('Restaurant Base (Hidden)'!$A$2:$Z$1048576,MATCH($C287,'Restaurant Base (Hidden)'!$C$2:$C$1048576,0),MATCH(N$6,'Restaurant Base (Hidden)'!$A$1:$Z$1,0)),"")</f>
        <v>66,50 %</v>
      </c>
      <c r="O287" s="1">
        <f>+IFERROR(INDEX('Restaurant Base (Hidden)'!$A$2:$Z$1048576,MATCH($C287,'Restaurant Base (Hidden)'!$C$2:$C$1048576,0),MATCH(O$6,'Restaurant Base (Hidden)'!$A$1:$Z$1,0)),"")</f>
        <v>3</v>
      </c>
      <c r="P287" s="2" t="str">
        <f>+IFERROR(INDEX('Restaurant Base (Hidden)'!$A$2:$Z$1048576,MATCH($C287,'Restaurant Base (Hidden)'!$C$2:$C$1048576,0),MATCH(P$6,'Restaurant Base (Hidden)'!$A$1:$Z$1,0)),"")</f>
        <v/>
      </c>
      <c r="Q287" s="234" t="str">
        <f>+IFERROR(INDEX('Restaurant Base (Hidden)'!$A$2:$Z$1048576,MATCH($C287,'Restaurant Base (Hidden)'!$C$2:$C$1048576,0),MATCH(Q$6,'Restaurant Base (Hidden)'!$A$1:$Z$1,0)),"")</f>
        <v>77,40 %</v>
      </c>
      <c r="R287" s="1">
        <f>+IFERROR(INDEX('Restaurant Base (Hidden)'!$A$2:$Z$1048576,MATCH($C287,'Restaurant Base (Hidden)'!$C$2:$C$1048576,0),MATCH(R$6,'Restaurant Base (Hidden)'!$A$1:$Z$1,0)),"")</f>
        <v>5</v>
      </c>
      <c r="S287" s="2" t="str">
        <f>+IFERROR(INDEX('Restaurant Base (Hidden)'!$A$2:$Z$1048576,MATCH($C287,'Restaurant Base (Hidden)'!$C$2:$C$1048576,0),MATCH(S$6,'Restaurant Base (Hidden)'!$A$1:$Z$1,0)),"")</f>
        <v/>
      </c>
      <c r="T287" s="62">
        <f>+IFERROR(INDEX('Restaurant Base (Hidden)'!$A$2:$Z$1048576,MATCH($C287,'Restaurant Base (Hidden)'!$C$2:$C$1048576,0),MATCH(T$6,'Restaurant Base (Hidden)'!$A$1:$Z$1,0)),"")</f>
        <v>71</v>
      </c>
      <c r="U287" s="1">
        <f>+IFERROR(INDEX('Restaurant Base (Hidden)'!$A$2:$Z$1048576,MATCH($C287,'Restaurant Base (Hidden)'!$C$2:$C$1048576,0),MATCH(U$6,'Restaurant Base (Hidden)'!$A$1:$Z$1,0)),"")</f>
        <v>5</v>
      </c>
      <c r="V287" s="2" t="str">
        <f>+IFERROR(INDEX('Restaurant Base (Hidden)'!$A$2:$Z$1048576,MATCH($C287,'Restaurant Base (Hidden)'!$C$2:$C$1048576,0),MATCH(V$6,'Restaurant Base (Hidden)'!$A$1:$Z$1,0)),"")</f>
        <v/>
      </c>
      <c r="W287" s="65" t="str">
        <f>+IFERROR(INDEX('Restaurant Base (Hidden)'!$A$2:$Z$1048576,MATCH($C287,'Restaurant Base (Hidden)'!$C$2:$C$1048576,0),MATCH(W$6,'Restaurant Base (Hidden)'!$A$1:$Z$1,0)),"")</f>
        <v>55,40 %</v>
      </c>
      <c r="X287" s="1">
        <f>+IFERROR(INDEX('Restaurant Base (Hidden)'!$A$2:$Z$1048576,MATCH($C287,'Restaurant Base (Hidden)'!$C$2:$C$1048576,0),MATCH(X$6,'Restaurant Base (Hidden)'!$A$1:$Z$1,0)),"")</f>
        <v>1</v>
      </c>
      <c r="Y287" s="65" t="str">
        <f>+IFERROR(INDEX('Restaurant Base (Hidden)'!$A$2:$Z$1048576,MATCH($C287,'Restaurant Base (Hidden)'!$C$2:$C$1048576,0),MATCH(Y$6,'Restaurant Base (Hidden)'!$A$1:$Z$1,0)),"")</f>
        <v>86,10 %</v>
      </c>
      <c r="Z287" s="106">
        <f>+IFERROR(INDEX('Restaurant Base (Hidden)'!$A$2:$Z$1048576,MATCH($C287,'Restaurant Base (Hidden)'!$C$2:$C$1048576,0),MATCH(Z$6,'Restaurant Base (Hidden)'!$A$1:$Z$1,0)),"")</f>
        <v>3</v>
      </c>
      <c r="AA287" s="65" t="str">
        <f>+IFERROR(INDEX('Restaurant Base (Hidden)'!$A$2:$Z$1048576,MATCH($C287,'Restaurant Base (Hidden)'!$C$2:$C$1048576,0),MATCH(AA$6,'Restaurant Base (Hidden)'!$A$1:$Z$1,0)),"")</f>
        <v>75,70 %</v>
      </c>
      <c r="AB287" s="1">
        <f>+IFERROR(INDEX('Restaurant Base (Hidden)'!$A$2:$Z$1048576,MATCH($C287,'Restaurant Base (Hidden)'!$C$2:$C$1048576,0),MATCH(AB$6,'Restaurant Base (Hidden)'!$A$1:$Z$1,0)),"")</f>
        <v>2</v>
      </c>
      <c r="AC287" s="20" t="str">
        <f>+IFERROR(INDEX('Restaurant Base (Hidden)'!$A$2:$Z$1048576,MATCH($C287,'Restaurant Base (Hidden)'!$C$2:$C$1048576,0),MATCH(AC$6,'Restaurant Base (Hidden)'!$A$1:$Z$1,0)),"")</f>
        <v/>
      </c>
      <c r="AD287" s="65" t="str">
        <f>+IFERROR(INDEX('Restaurant Base (Hidden)'!$A$2:$Z$1048576,MATCH($C287,'Restaurant Base (Hidden)'!$C$2:$C$1048576,0),MATCH(AD$6,'Restaurant Base (Hidden)'!$A$1:$Z$1,0)),"")</f>
        <v>69,10 %</v>
      </c>
      <c r="AE287" s="1">
        <f>+IFERROR(INDEX('Restaurant Base (Hidden)'!$A$2:$Z$1048576,MATCH($C287,'Restaurant Base (Hidden)'!$C$2:$C$1048576,0),MATCH(AE$6,'Restaurant Base (Hidden)'!$A$1:$Z$1,0)),"")</f>
        <v>1</v>
      </c>
      <c r="AF287" s="65" t="str">
        <f>+IFERROR(INDEX('Restaurant Base (Hidden)'!$A$2:$Z$1048576,MATCH($C287,'Restaurant Base (Hidden)'!$C$2:$C$1048576,0),MATCH(AF$6,'Restaurant Base (Hidden)'!$A$1:$Z$1,0)),"")</f>
        <v>79,90 %</v>
      </c>
      <c r="AG287" s="1">
        <f>+IFERROR(INDEX('Restaurant Base (Hidden)'!$A$2:$Z$1048576,MATCH($C287,'Restaurant Base (Hidden)'!$C$2:$C$1048576,0),MATCH(AG$6,'Restaurant Base (Hidden)'!$A$1:$Z$1,0)),"")</f>
        <v>2</v>
      </c>
    </row>
    <row r="288" spans="1:33" x14ac:dyDescent="0.4">
      <c r="A288" s="163" t="str">
        <f>IF('Restaurant Base (Hidden)'!A297=0,"", 'Restaurant Base (Hidden)'!A297)</f>
        <v>Elliot Hawthorne</v>
      </c>
      <c r="B288" s="163" t="str">
        <f>IF('Restaurant Base (Hidden)'!B297=0,"", 'Restaurant Base (Hidden)'!B297)</f>
        <v>Greenhaven Restaurants</v>
      </c>
      <c r="C288" s="163" t="str">
        <f>IF('Restaurant Base (Hidden)'!C297=0,"", 'Restaurant Base (Hidden)'!C297)</f>
        <v>Willow Pines</v>
      </c>
      <c r="D288" s="104">
        <f t="shared" si="4"/>
        <v>281</v>
      </c>
      <c r="E288" s="105">
        <f>+IFERROR(INDEX('Restaurant Base (Hidden)'!$A$2:$Z$1048576,MATCH($C288,'Restaurant Base (Hidden)'!$C$2:$C$1048576,0),MATCH(E$6,'Restaurant Base (Hidden)'!$A$1:$Z$1,0)),"")</f>
        <v>2.76</v>
      </c>
      <c r="F288" s="2" t="str">
        <f>+IFERROR(INDEX('Restaurant Base (Hidden)'!$A$2:$Z$1048576,MATCH($C288,'Restaurant Base (Hidden)'!$C$2:$C$1048576,0),MATCH(F$6,'Restaurant Base (Hidden)'!$A$1:$Z$1,0)),"")</f>
        <v/>
      </c>
      <c r="G288" s="20" t="str">
        <f>+IFERROR(INDEX('Restaurant Base (Hidden)'!$A$2:$Z$1048576,MATCH($C288,'Restaurant Base (Hidden)'!$C$2:$C$1048576,0),MATCH(G$6,'Restaurant Base (Hidden)'!$A$1:$Z$1,0)),"")</f>
        <v>4,170</v>
      </c>
      <c r="H288" s="50">
        <f>+IFERROR(INDEX('Restaurant Base (Hidden)'!$A$2:$Z$1048576,MATCH($C288,'Restaurant Base (Hidden)'!$C$2:$C$1048576,0),MATCH(H$6,'Restaurant Base (Hidden)'!$A$1:$Z$1,0)),"")</f>
        <v>2</v>
      </c>
      <c r="I288" s="20" t="str">
        <f>+IFERROR(INDEX('Restaurant Base (Hidden)'!$A$2:$Z$1048576,MATCH($C288,'Restaurant Base (Hidden)'!$C$2:$C$1048576,0),MATCH(I$6,'Restaurant Base (Hidden)'!$A$1:$Z$1,0)),"")</f>
        <v>62,30 %</v>
      </c>
      <c r="J288" s="49">
        <f>+IFERROR(INDEX('Restaurant Base (Hidden)'!$A$2:$Z$1048576,MATCH($C288,'Restaurant Base (Hidden)'!$C$2:$C$1048576,0),MATCH(J$6,'Restaurant Base (Hidden)'!$A$1:$Z$1,0)),"")</f>
        <v>1</v>
      </c>
      <c r="K288" s="20" t="str">
        <f>+IFERROR(INDEX('Restaurant Base (Hidden)'!$A$2:$Z$1048576,MATCH($C288,'Restaurant Base (Hidden)'!$C$2:$C$1048576,0),MATCH(K$6,'Restaurant Base (Hidden)'!$A$1:$Z$1,0)),"")</f>
        <v>0,093</v>
      </c>
      <c r="L288" s="51">
        <f>+IFERROR(INDEX('Restaurant Base (Hidden)'!$A$2:$Z$1048576,MATCH($C288,'Restaurant Base (Hidden)'!$C$2:$C$1048576,0),MATCH(L$6,'Restaurant Base (Hidden)'!$A$1:$Z$1,0)),"")</f>
        <v>4</v>
      </c>
      <c r="M288" s="2" t="str">
        <f>+IFERROR(INDEX('Restaurant Base (Hidden)'!$A$2:$Z$1048576,MATCH($C288,'Restaurant Base (Hidden)'!$C$2:$C$1048576,0),MATCH(M$6,'Restaurant Base (Hidden)'!$A$1:$Z$1,0)),"")</f>
        <v/>
      </c>
      <c r="N288" s="234" t="str">
        <f>+IFERROR(INDEX('Restaurant Base (Hidden)'!$A$2:$Z$1048576,MATCH($C288,'Restaurant Base (Hidden)'!$C$2:$C$1048576,0),MATCH(N$6,'Restaurant Base (Hidden)'!$A$1:$Z$1,0)),"")</f>
        <v>88,10 %</v>
      </c>
      <c r="O288" s="1">
        <f>+IFERROR(INDEX('Restaurant Base (Hidden)'!$A$2:$Z$1048576,MATCH($C288,'Restaurant Base (Hidden)'!$C$2:$C$1048576,0),MATCH(O$6,'Restaurant Base (Hidden)'!$A$1:$Z$1,0)),"")</f>
        <v>5</v>
      </c>
      <c r="P288" s="2" t="str">
        <f>+IFERROR(INDEX('Restaurant Base (Hidden)'!$A$2:$Z$1048576,MATCH($C288,'Restaurant Base (Hidden)'!$C$2:$C$1048576,0),MATCH(P$6,'Restaurant Base (Hidden)'!$A$1:$Z$1,0)),"")</f>
        <v/>
      </c>
      <c r="Q288" s="234" t="str">
        <f>+IFERROR(INDEX('Restaurant Base (Hidden)'!$A$2:$Z$1048576,MATCH($C288,'Restaurant Base (Hidden)'!$C$2:$C$1048576,0),MATCH(Q$6,'Restaurant Base (Hidden)'!$A$1:$Z$1,0)),"")</f>
        <v>76,40 %</v>
      </c>
      <c r="R288" s="1">
        <f>+IFERROR(INDEX('Restaurant Base (Hidden)'!$A$2:$Z$1048576,MATCH($C288,'Restaurant Base (Hidden)'!$C$2:$C$1048576,0),MATCH(R$6,'Restaurant Base (Hidden)'!$A$1:$Z$1,0)),"")</f>
        <v>5</v>
      </c>
      <c r="S288" s="2" t="str">
        <f>+IFERROR(INDEX('Restaurant Base (Hidden)'!$A$2:$Z$1048576,MATCH($C288,'Restaurant Base (Hidden)'!$C$2:$C$1048576,0),MATCH(S$6,'Restaurant Base (Hidden)'!$A$1:$Z$1,0)),"")</f>
        <v/>
      </c>
      <c r="T288" s="62">
        <f>+IFERROR(INDEX('Restaurant Base (Hidden)'!$A$2:$Z$1048576,MATCH($C288,'Restaurant Base (Hidden)'!$C$2:$C$1048576,0),MATCH(T$6,'Restaurant Base (Hidden)'!$A$1:$Z$1,0)),"")</f>
        <v>55.3</v>
      </c>
      <c r="U288" s="1">
        <f>+IFERROR(INDEX('Restaurant Base (Hidden)'!$A$2:$Z$1048576,MATCH($C288,'Restaurant Base (Hidden)'!$C$2:$C$1048576,0),MATCH(U$6,'Restaurant Base (Hidden)'!$A$1:$Z$1,0)),"")</f>
        <v>1</v>
      </c>
      <c r="V288" s="2" t="str">
        <f>+IFERROR(INDEX('Restaurant Base (Hidden)'!$A$2:$Z$1048576,MATCH($C288,'Restaurant Base (Hidden)'!$C$2:$C$1048576,0),MATCH(V$6,'Restaurant Base (Hidden)'!$A$1:$Z$1,0)),"")</f>
        <v/>
      </c>
      <c r="W288" s="65" t="str">
        <f>+IFERROR(INDEX('Restaurant Base (Hidden)'!$A$2:$Z$1048576,MATCH($C288,'Restaurant Base (Hidden)'!$C$2:$C$1048576,0),MATCH(W$6,'Restaurant Base (Hidden)'!$A$1:$Z$1,0)),"")</f>
        <v>67,40 %</v>
      </c>
      <c r="X288" s="1">
        <f>+IFERROR(INDEX('Restaurant Base (Hidden)'!$A$2:$Z$1048576,MATCH($C288,'Restaurant Base (Hidden)'!$C$2:$C$1048576,0),MATCH(X$6,'Restaurant Base (Hidden)'!$A$1:$Z$1,0)),"")</f>
        <v>2</v>
      </c>
      <c r="Y288" s="65" t="str">
        <f>+IFERROR(INDEX('Restaurant Base (Hidden)'!$A$2:$Z$1048576,MATCH($C288,'Restaurant Base (Hidden)'!$C$2:$C$1048576,0),MATCH(Y$6,'Restaurant Base (Hidden)'!$A$1:$Z$1,0)),"")</f>
        <v>97,00 %</v>
      </c>
      <c r="Z288" s="106">
        <f>+IFERROR(INDEX('Restaurant Base (Hidden)'!$A$2:$Z$1048576,MATCH($C288,'Restaurant Base (Hidden)'!$C$2:$C$1048576,0),MATCH(Z$6,'Restaurant Base (Hidden)'!$A$1:$Z$1,0)),"")</f>
        <v>4</v>
      </c>
      <c r="AA288" s="65" t="str">
        <f>+IFERROR(INDEX('Restaurant Base (Hidden)'!$A$2:$Z$1048576,MATCH($C288,'Restaurant Base (Hidden)'!$C$2:$C$1048576,0),MATCH(AA$6,'Restaurant Base (Hidden)'!$A$1:$Z$1,0)),"")</f>
        <v>59,20 %</v>
      </c>
      <c r="AB288" s="1">
        <f>+IFERROR(INDEX('Restaurant Base (Hidden)'!$A$2:$Z$1048576,MATCH($C288,'Restaurant Base (Hidden)'!$C$2:$C$1048576,0),MATCH(AB$6,'Restaurant Base (Hidden)'!$A$1:$Z$1,0)),"")</f>
        <v>1</v>
      </c>
      <c r="AC288" s="20" t="str">
        <f>+IFERROR(INDEX('Restaurant Base (Hidden)'!$A$2:$Z$1048576,MATCH($C288,'Restaurant Base (Hidden)'!$C$2:$C$1048576,0),MATCH(AC$6,'Restaurant Base (Hidden)'!$A$1:$Z$1,0)),"")</f>
        <v/>
      </c>
      <c r="AD288" s="65" t="str">
        <f>+IFERROR(INDEX('Restaurant Base (Hidden)'!$A$2:$Z$1048576,MATCH($C288,'Restaurant Base (Hidden)'!$C$2:$C$1048576,0),MATCH(AD$6,'Restaurant Base (Hidden)'!$A$1:$Z$1,0)),"")</f>
        <v>84,20 %</v>
      </c>
      <c r="AE288" s="1">
        <f>+IFERROR(INDEX('Restaurant Base (Hidden)'!$A$2:$Z$1048576,MATCH($C288,'Restaurant Base (Hidden)'!$C$2:$C$1048576,0),MATCH(AE$6,'Restaurant Base (Hidden)'!$A$1:$Z$1,0)),"")</f>
        <v>3</v>
      </c>
      <c r="AF288" s="65" t="str">
        <f>+IFERROR(INDEX('Restaurant Base (Hidden)'!$A$2:$Z$1048576,MATCH($C288,'Restaurant Base (Hidden)'!$C$2:$C$1048576,0),MATCH(AF$6,'Restaurant Base (Hidden)'!$A$1:$Z$1,0)),"")</f>
        <v>74,10 %</v>
      </c>
      <c r="AG288" s="1">
        <f>+IFERROR(INDEX('Restaurant Base (Hidden)'!$A$2:$Z$1048576,MATCH($C288,'Restaurant Base (Hidden)'!$C$2:$C$1048576,0),MATCH(AG$6,'Restaurant Base (Hidden)'!$A$1:$Z$1,0)),"")</f>
        <v>1</v>
      </c>
    </row>
    <row r="289" spans="1:33" x14ac:dyDescent="0.4">
      <c r="A289" s="163" t="str">
        <f>IF('Restaurant Base (Hidden)'!A103=0,"", 'Restaurant Base (Hidden)'!A103)</f>
        <v>Parker Sterling</v>
      </c>
      <c r="B289" s="163" t="str">
        <f>IF('Restaurant Base (Hidden)'!B103=0,"", 'Restaurant Base (Hidden)'!B103)</f>
        <v>Goldenridge Hospitality</v>
      </c>
      <c r="C289" s="163" t="str">
        <f>IF('Restaurant Base (Hidden)'!C103=0,"", 'Restaurant Base (Hidden)'!C103)</f>
        <v>Rosewood Commons</v>
      </c>
      <c r="D289" s="104">
        <f t="shared" si="4"/>
        <v>283</v>
      </c>
      <c r="E289" s="105">
        <f>+IFERROR(INDEX('Restaurant Base (Hidden)'!$A$2:$Z$1048576,MATCH($C289,'Restaurant Base (Hidden)'!$C$2:$C$1048576,0),MATCH(E$6,'Restaurant Base (Hidden)'!$A$1:$Z$1,0)),"")</f>
        <v>2.75</v>
      </c>
      <c r="F289" s="2" t="str">
        <f>+IFERROR(INDEX('Restaurant Base (Hidden)'!$A$2:$Z$1048576,MATCH($C289,'Restaurant Base (Hidden)'!$C$2:$C$1048576,0),MATCH(F$6,'Restaurant Base (Hidden)'!$A$1:$Z$1,0)),"")</f>
        <v/>
      </c>
      <c r="G289" s="20" t="str">
        <f>+IFERROR(INDEX('Restaurant Base (Hidden)'!$A$2:$Z$1048576,MATCH($C289,'Restaurant Base (Hidden)'!$C$2:$C$1048576,0),MATCH(G$6,'Restaurant Base (Hidden)'!$A$1:$Z$1,0)),"")</f>
        <v>4,090</v>
      </c>
      <c r="H289" s="50">
        <f>+IFERROR(INDEX('Restaurant Base (Hidden)'!$A$2:$Z$1048576,MATCH($C289,'Restaurant Base (Hidden)'!$C$2:$C$1048576,0),MATCH(H$6,'Restaurant Base (Hidden)'!$A$1:$Z$1,0)),"")</f>
        <v>2</v>
      </c>
      <c r="I289" s="20" t="str">
        <f>+IFERROR(INDEX('Restaurant Base (Hidden)'!$A$2:$Z$1048576,MATCH($C289,'Restaurant Base (Hidden)'!$C$2:$C$1048576,0),MATCH(I$6,'Restaurant Base (Hidden)'!$A$1:$Z$1,0)),"")</f>
        <v>59,20 %</v>
      </c>
      <c r="J289" s="49">
        <f>+IFERROR(INDEX('Restaurant Base (Hidden)'!$A$2:$Z$1048576,MATCH($C289,'Restaurant Base (Hidden)'!$C$2:$C$1048576,0),MATCH(J$6,'Restaurant Base (Hidden)'!$A$1:$Z$1,0)),"")</f>
        <v>1</v>
      </c>
      <c r="K289" s="20" t="str">
        <f>+IFERROR(INDEX('Restaurant Base (Hidden)'!$A$2:$Z$1048576,MATCH($C289,'Restaurant Base (Hidden)'!$C$2:$C$1048576,0),MATCH(K$6,'Restaurant Base (Hidden)'!$A$1:$Z$1,0)),"")</f>
        <v>0,076</v>
      </c>
      <c r="L289" s="51">
        <f>+IFERROR(INDEX('Restaurant Base (Hidden)'!$A$2:$Z$1048576,MATCH($C289,'Restaurant Base (Hidden)'!$C$2:$C$1048576,0),MATCH(L$6,'Restaurant Base (Hidden)'!$A$1:$Z$1,0)),"")</f>
        <v>4</v>
      </c>
      <c r="M289" s="2" t="str">
        <f>+IFERROR(INDEX('Restaurant Base (Hidden)'!$A$2:$Z$1048576,MATCH($C289,'Restaurant Base (Hidden)'!$C$2:$C$1048576,0),MATCH(M$6,'Restaurant Base (Hidden)'!$A$1:$Z$1,0)),"")</f>
        <v/>
      </c>
      <c r="N289" s="234" t="str">
        <f>+IFERROR(INDEX('Restaurant Base (Hidden)'!$A$2:$Z$1048576,MATCH($C289,'Restaurant Base (Hidden)'!$C$2:$C$1048576,0),MATCH(N$6,'Restaurant Base (Hidden)'!$A$1:$Z$1,0)),"")</f>
        <v>92,50 %</v>
      </c>
      <c r="O289" s="1">
        <f>+IFERROR(INDEX('Restaurant Base (Hidden)'!$A$2:$Z$1048576,MATCH($C289,'Restaurant Base (Hidden)'!$C$2:$C$1048576,0),MATCH(O$6,'Restaurant Base (Hidden)'!$A$1:$Z$1,0)),"")</f>
        <v>5</v>
      </c>
      <c r="P289" s="2" t="str">
        <f>+IFERROR(INDEX('Restaurant Base (Hidden)'!$A$2:$Z$1048576,MATCH($C289,'Restaurant Base (Hidden)'!$C$2:$C$1048576,0),MATCH(P$6,'Restaurant Base (Hidden)'!$A$1:$Z$1,0)),"")</f>
        <v/>
      </c>
      <c r="Q289" s="234" t="str">
        <f>+IFERROR(INDEX('Restaurant Base (Hidden)'!$A$2:$Z$1048576,MATCH($C289,'Restaurant Base (Hidden)'!$C$2:$C$1048576,0),MATCH(Q$6,'Restaurant Base (Hidden)'!$A$1:$Z$1,0)),"")</f>
        <v>57,10 %</v>
      </c>
      <c r="R289" s="1">
        <f>+IFERROR(INDEX('Restaurant Base (Hidden)'!$A$2:$Z$1048576,MATCH($C289,'Restaurant Base (Hidden)'!$C$2:$C$1048576,0),MATCH(R$6,'Restaurant Base (Hidden)'!$A$1:$Z$1,0)),"")</f>
        <v>1</v>
      </c>
      <c r="S289" s="2" t="str">
        <f>+IFERROR(INDEX('Restaurant Base (Hidden)'!$A$2:$Z$1048576,MATCH($C289,'Restaurant Base (Hidden)'!$C$2:$C$1048576,0),MATCH(S$6,'Restaurant Base (Hidden)'!$A$1:$Z$1,0)),"")</f>
        <v/>
      </c>
      <c r="T289" s="62">
        <f>+IFERROR(INDEX('Restaurant Base (Hidden)'!$A$2:$Z$1048576,MATCH($C289,'Restaurant Base (Hidden)'!$C$2:$C$1048576,0),MATCH(T$6,'Restaurant Base (Hidden)'!$A$1:$Z$1,0)),"")</f>
        <v>77.8</v>
      </c>
      <c r="U289" s="1">
        <f>+IFERROR(INDEX('Restaurant Base (Hidden)'!$A$2:$Z$1048576,MATCH($C289,'Restaurant Base (Hidden)'!$C$2:$C$1048576,0),MATCH(U$6,'Restaurant Base (Hidden)'!$A$1:$Z$1,0)),"")</f>
        <v>5</v>
      </c>
      <c r="V289" s="2" t="str">
        <f>+IFERROR(INDEX('Restaurant Base (Hidden)'!$A$2:$Z$1048576,MATCH($C289,'Restaurant Base (Hidden)'!$C$2:$C$1048576,0),MATCH(V$6,'Restaurant Base (Hidden)'!$A$1:$Z$1,0)),"")</f>
        <v/>
      </c>
      <c r="W289" s="65" t="str">
        <f>+IFERROR(INDEX('Restaurant Base (Hidden)'!$A$2:$Z$1048576,MATCH($C289,'Restaurant Base (Hidden)'!$C$2:$C$1048576,0),MATCH(W$6,'Restaurant Base (Hidden)'!$A$1:$Z$1,0)),"")</f>
        <v>83,80 %</v>
      </c>
      <c r="X289" s="1">
        <f>+IFERROR(INDEX('Restaurant Base (Hidden)'!$A$2:$Z$1048576,MATCH($C289,'Restaurant Base (Hidden)'!$C$2:$C$1048576,0),MATCH(X$6,'Restaurant Base (Hidden)'!$A$1:$Z$1,0)),"")</f>
        <v>3</v>
      </c>
      <c r="Y289" s="65" t="str">
        <f>+IFERROR(INDEX('Restaurant Base (Hidden)'!$A$2:$Z$1048576,MATCH($C289,'Restaurant Base (Hidden)'!$C$2:$C$1048576,0),MATCH(Y$6,'Restaurant Base (Hidden)'!$A$1:$Z$1,0)),"")</f>
        <v>71,30 %</v>
      </c>
      <c r="Z289" s="106">
        <f>+IFERROR(INDEX('Restaurant Base (Hidden)'!$A$2:$Z$1048576,MATCH($C289,'Restaurant Base (Hidden)'!$C$2:$C$1048576,0),MATCH(Z$6,'Restaurant Base (Hidden)'!$A$1:$Z$1,0)),"")</f>
        <v>2</v>
      </c>
      <c r="AA289" s="65" t="str">
        <f>+IFERROR(INDEX('Restaurant Base (Hidden)'!$A$2:$Z$1048576,MATCH($C289,'Restaurant Base (Hidden)'!$C$2:$C$1048576,0),MATCH(AA$6,'Restaurant Base (Hidden)'!$A$1:$Z$1,0)),"")</f>
        <v>71,30 %</v>
      </c>
      <c r="AB289" s="1">
        <f>+IFERROR(INDEX('Restaurant Base (Hidden)'!$A$2:$Z$1048576,MATCH($C289,'Restaurant Base (Hidden)'!$C$2:$C$1048576,0),MATCH(AB$6,'Restaurant Base (Hidden)'!$A$1:$Z$1,0)),"")</f>
        <v>2</v>
      </c>
      <c r="AC289" s="20" t="str">
        <f>+IFERROR(INDEX('Restaurant Base (Hidden)'!$A$2:$Z$1048576,MATCH($C289,'Restaurant Base (Hidden)'!$C$2:$C$1048576,0),MATCH(AC$6,'Restaurant Base (Hidden)'!$A$1:$Z$1,0)),"")</f>
        <v/>
      </c>
      <c r="AD289" s="65" t="str">
        <f>+IFERROR(INDEX('Restaurant Base (Hidden)'!$A$2:$Z$1048576,MATCH($C289,'Restaurant Base (Hidden)'!$C$2:$C$1048576,0),MATCH(AD$6,'Restaurant Base (Hidden)'!$A$1:$Z$1,0)),"")</f>
        <v>88,60 %</v>
      </c>
      <c r="AE289" s="1">
        <f>+IFERROR(INDEX('Restaurant Base (Hidden)'!$A$2:$Z$1048576,MATCH($C289,'Restaurant Base (Hidden)'!$C$2:$C$1048576,0),MATCH(AE$6,'Restaurant Base (Hidden)'!$A$1:$Z$1,0)),"")</f>
        <v>3</v>
      </c>
      <c r="AF289" s="65" t="str">
        <f>+IFERROR(INDEX('Restaurant Base (Hidden)'!$A$2:$Z$1048576,MATCH($C289,'Restaurant Base (Hidden)'!$C$2:$C$1048576,0),MATCH(AF$6,'Restaurant Base (Hidden)'!$A$1:$Z$1,0)),"")</f>
        <v>81,70 %</v>
      </c>
      <c r="AG289" s="1">
        <f>+IFERROR(INDEX('Restaurant Base (Hidden)'!$A$2:$Z$1048576,MATCH($C289,'Restaurant Base (Hidden)'!$C$2:$C$1048576,0),MATCH(AG$6,'Restaurant Base (Hidden)'!$A$1:$Z$1,0)),"")</f>
        <v>2</v>
      </c>
    </row>
    <row r="290" spans="1:33" x14ac:dyDescent="0.4">
      <c r="A290" s="163" t="str">
        <f>IF('Restaurant Base (Hidden)'!A264=0,"", 'Restaurant Base (Hidden)'!A264)</f>
        <v>Blake Bellamy</v>
      </c>
      <c r="B290" s="163" t="str">
        <f>IF('Restaurant Base (Hidden)'!B264=0,"", 'Restaurant Base (Hidden)'!B264)</f>
        <v>Brookvale Dining</v>
      </c>
      <c r="C290" s="163" t="str">
        <f>IF('Restaurant Base (Hidden)'!C264=0,"", 'Restaurant Base (Hidden)'!C264)</f>
        <v>Harbor Bridge</v>
      </c>
      <c r="D290" s="104">
        <f t="shared" si="4"/>
        <v>283</v>
      </c>
      <c r="E290" s="105">
        <f>+IFERROR(INDEX('Restaurant Base (Hidden)'!$A$2:$Z$1048576,MATCH($C290,'Restaurant Base (Hidden)'!$C$2:$C$1048576,0),MATCH(E$6,'Restaurant Base (Hidden)'!$A$1:$Z$1,0)),"")</f>
        <v>2.75</v>
      </c>
      <c r="F290" s="2" t="str">
        <f>+IFERROR(INDEX('Restaurant Base (Hidden)'!$A$2:$Z$1048576,MATCH($C290,'Restaurant Base (Hidden)'!$C$2:$C$1048576,0),MATCH(F$6,'Restaurant Base (Hidden)'!$A$1:$Z$1,0)),"")</f>
        <v/>
      </c>
      <c r="G290" s="20" t="str">
        <f>+IFERROR(INDEX('Restaurant Base (Hidden)'!$A$2:$Z$1048576,MATCH($C290,'Restaurant Base (Hidden)'!$C$2:$C$1048576,0),MATCH(G$6,'Restaurant Base (Hidden)'!$A$1:$Z$1,0)),"")</f>
        <v>4,310</v>
      </c>
      <c r="H290" s="50">
        <f>+IFERROR(INDEX('Restaurant Base (Hidden)'!$A$2:$Z$1048576,MATCH($C290,'Restaurant Base (Hidden)'!$C$2:$C$1048576,0),MATCH(H$6,'Restaurant Base (Hidden)'!$A$1:$Z$1,0)),"")</f>
        <v>3</v>
      </c>
      <c r="I290" s="20" t="str">
        <f>+IFERROR(INDEX('Restaurant Base (Hidden)'!$A$2:$Z$1048576,MATCH($C290,'Restaurant Base (Hidden)'!$C$2:$C$1048576,0),MATCH(I$6,'Restaurant Base (Hidden)'!$A$1:$Z$1,0)),"")</f>
        <v>63,90 %</v>
      </c>
      <c r="J290" s="49">
        <f>+IFERROR(INDEX('Restaurant Base (Hidden)'!$A$2:$Z$1048576,MATCH($C290,'Restaurant Base (Hidden)'!$C$2:$C$1048576,0),MATCH(J$6,'Restaurant Base (Hidden)'!$A$1:$Z$1,0)),"")</f>
        <v>1</v>
      </c>
      <c r="K290" s="20" t="str">
        <f>+IFERROR(INDEX('Restaurant Base (Hidden)'!$A$2:$Z$1048576,MATCH($C290,'Restaurant Base (Hidden)'!$C$2:$C$1048576,0),MATCH(K$6,'Restaurant Base (Hidden)'!$A$1:$Z$1,0)),"")</f>
        <v>0,140</v>
      </c>
      <c r="L290" s="51">
        <f>+IFERROR(INDEX('Restaurant Base (Hidden)'!$A$2:$Z$1048576,MATCH($C290,'Restaurant Base (Hidden)'!$C$2:$C$1048576,0),MATCH(L$6,'Restaurant Base (Hidden)'!$A$1:$Z$1,0)),"")</f>
        <v>2</v>
      </c>
      <c r="M290" s="2" t="str">
        <f>+IFERROR(INDEX('Restaurant Base (Hidden)'!$A$2:$Z$1048576,MATCH($C290,'Restaurant Base (Hidden)'!$C$2:$C$1048576,0),MATCH(M$6,'Restaurant Base (Hidden)'!$A$1:$Z$1,0)),"")</f>
        <v/>
      </c>
      <c r="N290" s="234" t="str">
        <f>+IFERROR(INDEX('Restaurant Base (Hidden)'!$A$2:$Z$1048576,MATCH($C290,'Restaurant Base (Hidden)'!$C$2:$C$1048576,0),MATCH(N$6,'Restaurant Base (Hidden)'!$A$1:$Z$1,0)),"")</f>
        <v>89,70 %</v>
      </c>
      <c r="O290" s="1">
        <f>+IFERROR(INDEX('Restaurant Base (Hidden)'!$A$2:$Z$1048576,MATCH($C290,'Restaurant Base (Hidden)'!$C$2:$C$1048576,0),MATCH(O$6,'Restaurant Base (Hidden)'!$A$1:$Z$1,0)),"")</f>
        <v>5</v>
      </c>
      <c r="P290" s="2" t="str">
        <f>+IFERROR(INDEX('Restaurant Base (Hidden)'!$A$2:$Z$1048576,MATCH($C290,'Restaurant Base (Hidden)'!$C$2:$C$1048576,0),MATCH(P$6,'Restaurant Base (Hidden)'!$A$1:$Z$1,0)),"")</f>
        <v/>
      </c>
      <c r="Q290" s="234" t="str">
        <f>+IFERROR(INDEX('Restaurant Base (Hidden)'!$A$2:$Z$1048576,MATCH($C290,'Restaurant Base (Hidden)'!$C$2:$C$1048576,0),MATCH(Q$6,'Restaurant Base (Hidden)'!$A$1:$Z$1,0)),"")</f>
        <v>70,30 %</v>
      </c>
      <c r="R290" s="1">
        <f>+IFERROR(INDEX('Restaurant Base (Hidden)'!$A$2:$Z$1048576,MATCH($C290,'Restaurant Base (Hidden)'!$C$2:$C$1048576,0),MATCH(R$6,'Restaurant Base (Hidden)'!$A$1:$Z$1,0)),"")</f>
        <v>4</v>
      </c>
      <c r="S290" s="2" t="str">
        <f>+IFERROR(INDEX('Restaurant Base (Hidden)'!$A$2:$Z$1048576,MATCH($C290,'Restaurant Base (Hidden)'!$C$2:$C$1048576,0),MATCH(S$6,'Restaurant Base (Hidden)'!$A$1:$Z$1,0)),"")</f>
        <v/>
      </c>
      <c r="T290" s="62">
        <f>+IFERROR(INDEX('Restaurant Base (Hidden)'!$A$2:$Z$1048576,MATCH($C290,'Restaurant Base (Hidden)'!$C$2:$C$1048576,0),MATCH(T$6,'Restaurant Base (Hidden)'!$A$1:$Z$1,0)),"")</f>
        <v>68.7</v>
      </c>
      <c r="U290" s="1">
        <f>+IFERROR(INDEX('Restaurant Base (Hidden)'!$A$2:$Z$1048576,MATCH($C290,'Restaurant Base (Hidden)'!$C$2:$C$1048576,0),MATCH(U$6,'Restaurant Base (Hidden)'!$A$1:$Z$1,0)),"")</f>
        <v>4</v>
      </c>
      <c r="V290" s="2" t="str">
        <f>+IFERROR(INDEX('Restaurant Base (Hidden)'!$A$2:$Z$1048576,MATCH($C290,'Restaurant Base (Hidden)'!$C$2:$C$1048576,0),MATCH(V$6,'Restaurant Base (Hidden)'!$A$1:$Z$1,0)),"")</f>
        <v/>
      </c>
      <c r="W290" s="65" t="str">
        <f>+IFERROR(INDEX('Restaurant Base (Hidden)'!$A$2:$Z$1048576,MATCH($C290,'Restaurant Base (Hidden)'!$C$2:$C$1048576,0),MATCH(W$6,'Restaurant Base (Hidden)'!$A$1:$Z$1,0)),"")</f>
        <v>70,50 %</v>
      </c>
      <c r="X290" s="1">
        <f>+IFERROR(INDEX('Restaurant Base (Hidden)'!$A$2:$Z$1048576,MATCH($C290,'Restaurant Base (Hidden)'!$C$2:$C$1048576,0),MATCH(X$6,'Restaurant Base (Hidden)'!$A$1:$Z$1,0)),"")</f>
        <v>2</v>
      </c>
      <c r="Y290" s="65" t="str">
        <f>+IFERROR(INDEX('Restaurant Base (Hidden)'!$A$2:$Z$1048576,MATCH($C290,'Restaurant Base (Hidden)'!$C$2:$C$1048576,0),MATCH(Y$6,'Restaurant Base (Hidden)'!$A$1:$Z$1,0)),"")</f>
        <v>64,50 %</v>
      </c>
      <c r="Z290" s="106">
        <f>+IFERROR(INDEX('Restaurant Base (Hidden)'!$A$2:$Z$1048576,MATCH($C290,'Restaurant Base (Hidden)'!$C$2:$C$1048576,0),MATCH(Z$6,'Restaurant Base (Hidden)'!$A$1:$Z$1,0)),"")</f>
        <v>2</v>
      </c>
      <c r="AA290" s="65" t="str">
        <f>+IFERROR(INDEX('Restaurant Base (Hidden)'!$A$2:$Z$1048576,MATCH($C290,'Restaurant Base (Hidden)'!$C$2:$C$1048576,0),MATCH(AA$6,'Restaurant Base (Hidden)'!$A$1:$Z$1,0)),"")</f>
        <v>85,70 %</v>
      </c>
      <c r="AB290" s="1">
        <f>+IFERROR(INDEX('Restaurant Base (Hidden)'!$A$2:$Z$1048576,MATCH($C290,'Restaurant Base (Hidden)'!$C$2:$C$1048576,0),MATCH(AB$6,'Restaurant Base (Hidden)'!$A$1:$Z$1,0)),"")</f>
        <v>3</v>
      </c>
      <c r="AC290" s="20" t="str">
        <f>+IFERROR(INDEX('Restaurant Base (Hidden)'!$A$2:$Z$1048576,MATCH($C290,'Restaurant Base (Hidden)'!$C$2:$C$1048576,0),MATCH(AC$6,'Restaurant Base (Hidden)'!$A$1:$Z$1,0)),"")</f>
        <v/>
      </c>
      <c r="AD290" s="65" t="str">
        <f>+IFERROR(INDEX('Restaurant Base (Hidden)'!$A$2:$Z$1048576,MATCH($C290,'Restaurant Base (Hidden)'!$C$2:$C$1048576,0),MATCH(AD$6,'Restaurant Base (Hidden)'!$A$1:$Z$1,0)),"")</f>
        <v>67,10 %</v>
      </c>
      <c r="AE290" s="1">
        <f>+IFERROR(INDEX('Restaurant Base (Hidden)'!$A$2:$Z$1048576,MATCH($C290,'Restaurant Base (Hidden)'!$C$2:$C$1048576,0),MATCH(AE$6,'Restaurant Base (Hidden)'!$A$1:$Z$1,0)),"")</f>
        <v>1</v>
      </c>
      <c r="AF290" s="65" t="str">
        <f>+IFERROR(INDEX('Restaurant Base (Hidden)'!$A$2:$Z$1048576,MATCH($C290,'Restaurant Base (Hidden)'!$C$2:$C$1048576,0),MATCH(AF$6,'Restaurant Base (Hidden)'!$A$1:$Z$1,0)),"")</f>
        <v>69,10 %</v>
      </c>
      <c r="AG290" s="1">
        <f>+IFERROR(INDEX('Restaurant Base (Hidden)'!$A$2:$Z$1048576,MATCH($C290,'Restaurant Base (Hidden)'!$C$2:$C$1048576,0),MATCH(AG$6,'Restaurant Base (Hidden)'!$A$1:$Z$1,0)),"")</f>
        <v>1</v>
      </c>
    </row>
    <row r="291" spans="1:33" x14ac:dyDescent="0.4">
      <c r="A291" s="163" t="str">
        <f>IF('Restaurant Base (Hidden)'!A292=0,"", 'Restaurant Base (Hidden)'!A292)</f>
        <v>Avery Ashford</v>
      </c>
      <c r="B291" s="163" t="str">
        <f>IF('Restaurant Base (Hidden)'!B292=0,"", 'Restaurant Base (Hidden)'!B292)</f>
        <v>Kingswell Food Partners</v>
      </c>
      <c r="C291" s="163" t="str">
        <f>IF('Restaurant Base (Hidden)'!C292=0,"", 'Restaurant Base (Hidden)'!C292)</f>
        <v>Haven Quay</v>
      </c>
      <c r="D291" s="104">
        <f t="shared" si="4"/>
        <v>283</v>
      </c>
      <c r="E291" s="105">
        <f>+IFERROR(INDEX('Restaurant Base (Hidden)'!$A$2:$Z$1048576,MATCH($C291,'Restaurant Base (Hidden)'!$C$2:$C$1048576,0),MATCH(E$6,'Restaurant Base (Hidden)'!$A$1:$Z$1,0)),"")</f>
        <v>2.75</v>
      </c>
      <c r="F291" s="2" t="str">
        <f>+IFERROR(INDEX('Restaurant Base (Hidden)'!$A$2:$Z$1048576,MATCH($C291,'Restaurant Base (Hidden)'!$C$2:$C$1048576,0),MATCH(F$6,'Restaurant Base (Hidden)'!$A$1:$Z$1,0)),"")</f>
        <v/>
      </c>
      <c r="G291" s="20" t="str">
        <f>+IFERROR(INDEX('Restaurant Base (Hidden)'!$A$2:$Z$1048576,MATCH($C291,'Restaurant Base (Hidden)'!$C$2:$C$1048576,0),MATCH(G$6,'Restaurant Base (Hidden)'!$A$1:$Z$1,0)),"")</f>
        <v>4,606</v>
      </c>
      <c r="H291" s="50">
        <f>+IFERROR(INDEX('Restaurant Base (Hidden)'!$A$2:$Z$1048576,MATCH($C291,'Restaurant Base (Hidden)'!$C$2:$C$1048576,0),MATCH(H$6,'Restaurant Base (Hidden)'!$A$1:$Z$1,0)),"")</f>
        <v>5</v>
      </c>
      <c r="I291" s="20" t="str">
        <f>+IFERROR(INDEX('Restaurant Base (Hidden)'!$A$2:$Z$1048576,MATCH($C291,'Restaurant Base (Hidden)'!$C$2:$C$1048576,0),MATCH(I$6,'Restaurant Base (Hidden)'!$A$1:$Z$1,0)),"")</f>
        <v>66,30 %</v>
      </c>
      <c r="J291" s="49">
        <f>+IFERROR(INDEX('Restaurant Base (Hidden)'!$A$2:$Z$1048576,MATCH($C291,'Restaurant Base (Hidden)'!$C$2:$C$1048576,0),MATCH(J$6,'Restaurant Base (Hidden)'!$A$1:$Z$1,0)),"")</f>
        <v>1</v>
      </c>
      <c r="K291" s="20" t="str">
        <f>+IFERROR(INDEX('Restaurant Base (Hidden)'!$A$2:$Z$1048576,MATCH($C291,'Restaurant Base (Hidden)'!$C$2:$C$1048576,0),MATCH(K$6,'Restaurant Base (Hidden)'!$A$1:$Z$1,0)),"")</f>
        <v>0,120</v>
      </c>
      <c r="L291" s="51">
        <f>+IFERROR(INDEX('Restaurant Base (Hidden)'!$A$2:$Z$1048576,MATCH($C291,'Restaurant Base (Hidden)'!$C$2:$C$1048576,0),MATCH(L$6,'Restaurant Base (Hidden)'!$A$1:$Z$1,0)),"")</f>
        <v>3</v>
      </c>
      <c r="M291" s="2" t="str">
        <f>+IFERROR(INDEX('Restaurant Base (Hidden)'!$A$2:$Z$1048576,MATCH($C291,'Restaurant Base (Hidden)'!$C$2:$C$1048576,0),MATCH(M$6,'Restaurant Base (Hidden)'!$A$1:$Z$1,0)),"")</f>
        <v/>
      </c>
      <c r="N291" s="234" t="str">
        <f>+IFERROR(INDEX('Restaurant Base (Hidden)'!$A$2:$Z$1048576,MATCH($C291,'Restaurant Base (Hidden)'!$C$2:$C$1048576,0),MATCH(N$6,'Restaurant Base (Hidden)'!$A$1:$Z$1,0)),"")</f>
        <v>68,30 %</v>
      </c>
      <c r="O291" s="1">
        <f>+IFERROR(INDEX('Restaurant Base (Hidden)'!$A$2:$Z$1048576,MATCH($C291,'Restaurant Base (Hidden)'!$C$2:$C$1048576,0),MATCH(O$6,'Restaurant Base (Hidden)'!$A$1:$Z$1,0)),"")</f>
        <v>4</v>
      </c>
      <c r="P291" s="2" t="str">
        <f>+IFERROR(INDEX('Restaurant Base (Hidden)'!$A$2:$Z$1048576,MATCH($C291,'Restaurant Base (Hidden)'!$C$2:$C$1048576,0),MATCH(P$6,'Restaurant Base (Hidden)'!$A$1:$Z$1,0)),"")</f>
        <v/>
      </c>
      <c r="Q291" s="234" t="str">
        <f>+IFERROR(INDEX('Restaurant Base (Hidden)'!$A$2:$Z$1048576,MATCH($C291,'Restaurant Base (Hidden)'!$C$2:$C$1048576,0),MATCH(Q$6,'Restaurant Base (Hidden)'!$A$1:$Z$1,0)),"")</f>
        <v>72,60 %</v>
      </c>
      <c r="R291" s="1">
        <f>+IFERROR(INDEX('Restaurant Base (Hidden)'!$A$2:$Z$1048576,MATCH($C291,'Restaurant Base (Hidden)'!$C$2:$C$1048576,0),MATCH(R$6,'Restaurant Base (Hidden)'!$A$1:$Z$1,0)),"")</f>
        <v>4</v>
      </c>
      <c r="S291" s="2" t="str">
        <f>+IFERROR(INDEX('Restaurant Base (Hidden)'!$A$2:$Z$1048576,MATCH($C291,'Restaurant Base (Hidden)'!$C$2:$C$1048576,0),MATCH(S$6,'Restaurant Base (Hidden)'!$A$1:$Z$1,0)),"")</f>
        <v/>
      </c>
      <c r="T291" s="62">
        <f>+IFERROR(INDEX('Restaurant Base (Hidden)'!$A$2:$Z$1048576,MATCH($C291,'Restaurant Base (Hidden)'!$C$2:$C$1048576,0),MATCH(T$6,'Restaurant Base (Hidden)'!$A$1:$Z$1,0)),"")</f>
        <v>63.3</v>
      </c>
      <c r="U291" s="1">
        <f>+IFERROR(INDEX('Restaurant Base (Hidden)'!$A$2:$Z$1048576,MATCH($C291,'Restaurant Base (Hidden)'!$C$2:$C$1048576,0),MATCH(U$6,'Restaurant Base (Hidden)'!$A$1:$Z$1,0)),"")</f>
        <v>3</v>
      </c>
      <c r="V291" s="2" t="str">
        <f>+IFERROR(INDEX('Restaurant Base (Hidden)'!$A$2:$Z$1048576,MATCH($C291,'Restaurant Base (Hidden)'!$C$2:$C$1048576,0),MATCH(V$6,'Restaurant Base (Hidden)'!$A$1:$Z$1,0)),"")</f>
        <v/>
      </c>
      <c r="W291" s="65" t="str">
        <f>+IFERROR(INDEX('Restaurant Base (Hidden)'!$A$2:$Z$1048576,MATCH($C291,'Restaurant Base (Hidden)'!$C$2:$C$1048576,0),MATCH(W$6,'Restaurant Base (Hidden)'!$A$1:$Z$1,0)),"")</f>
        <v>90,70 %</v>
      </c>
      <c r="X291" s="1">
        <f>+IFERROR(INDEX('Restaurant Base (Hidden)'!$A$2:$Z$1048576,MATCH($C291,'Restaurant Base (Hidden)'!$C$2:$C$1048576,0),MATCH(X$6,'Restaurant Base (Hidden)'!$A$1:$Z$1,0)),"")</f>
        <v>3</v>
      </c>
      <c r="Y291" s="65" t="str">
        <f>+IFERROR(INDEX('Restaurant Base (Hidden)'!$A$2:$Z$1048576,MATCH($C291,'Restaurant Base (Hidden)'!$C$2:$C$1048576,0),MATCH(Y$6,'Restaurant Base (Hidden)'!$A$1:$Z$1,0)),"")</f>
        <v>57,20 %</v>
      </c>
      <c r="Z291" s="106">
        <f>+IFERROR(INDEX('Restaurant Base (Hidden)'!$A$2:$Z$1048576,MATCH($C291,'Restaurant Base (Hidden)'!$C$2:$C$1048576,0),MATCH(Z$6,'Restaurant Base (Hidden)'!$A$1:$Z$1,0)),"")</f>
        <v>1</v>
      </c>
      <c r="AA291" s="65" t="str">
        <f>+IFERROR(INDEX('Restaurant Base (Hidden)'!$A$2:$Z$1048576,MATCH($C291,'Restaurant Base (Hidden)'!$C$2:$C$1048576,0),MATCH(AA$6,'Restaurant Base (Hidden)'!$A$1:$Z$1,0)),"")</f>
        <v>69,90 %</v>
      </c>
      <c r="AB291" s="1">
        <f>+IFERROR(INDEX('Restaurant Base (Hidden)'!$A$2:$Z$1048576,MATCH($C291,'Restaurant Base (Hidden)'!$C$2:$C$1048576,0),MATCH(AB$6,'Restaurant Base (Hidden)'!$A$1:$Z$1,0)),"")</f>
        <v>2</v>
      </c>
      <c r="AC291" s="20" t="str">
        <f>+IFERROR(INDEX('Restaurant Base (Hidden)'!$A$2:$Z$1048576,MATCH($C291,'Restaurant Base (Hidden)'!$C$2:$C$1048576,0),MATCH(AC$6,'Restaurant Base (Hidden)'!$A$1:$Z$1,0)),"")</f>
        <v/>
      </c>
      <c r="AD291" s="65" t="str">
        <f>+IFERROR(INDEX('Restaurant Base (Hidden)'!$A$2:$Z$1048576,MATCH($C291,'Restaurant Base (Hidden)'!$C$2:$C$1048576,0),MATCH(AD$6,'Restaurant Base (Hidden)'!$A$1:$Z$1,0)),"")</f>
        <v>72,40 %</v>
      </c>
      <c r="AE291" s="1">
        <f>+IFERROR(INDEX('Restaurant Base (Hidden)'!$A$2:$Z$1048576,MATCH($C291,'Restaurant Base (Hidden)'!$C$2:$C$1048576,0),MATCH(AE$6,'Restaurant Base (Hidden)'!$A$1:$Z$1,0)),"")</f>
        <v>2</v>
      </c>
      <c r="AF291" s="65" t="str">
        <f>+IFERROR(INDEX('Restaurant Base (Hidden)'!$A$2:$Z$1048576,MATCH($C291,'Restaurant Base (Hidden)'!$C$2:$C$1048576,0),MATCH(AF$6,'Restaurant Base (Hidden)'!$A$1:$Z$1,0)),"")</f>
        <v>66,90 %</v>
      </c>
      <c r="AG291" s="1">
        <f>+IFERROR(INDEX('Restaurant Base (Hidden)'!$A$2:$Z$1048576,MATCH($C291,'Restaurant Base (Hidden)'!$C$2:$C$1048576,0),MATCH(AG$6,'Restaurant Base (Hidden)'!$A$1:$Z$1,0)),"")</f>
        <v>1</v>
      </c>
    </row>
    <row r="292" spans="1:33" x14ac:dyDescent="0.4">
      <c r="A292" s="163" t="str">
        <f>IF('Restaurant Base (Hidden)'!A74=0,"", 'Restaurant Base (Hidden)'!A74)</f>
        <v>Parker Sterling</v>
      </c>
      <c r="B292" s="163" t="str">
        <f>IF('Restaurant Base (Hidden)'!B74=0,"", 'Restaurant Base (Hidden)'!B74)</f>
        <v>Ridgeway Restaurants</v>
      </c>
      <c r="C292" s="163" t="str">
        <f>IF('Restaurant Base (Hidden)'!C74=0,"", 'Restaurant Base (Hidden)'!C74)</f>
        <v>Emerald Gardens</v>
      </c>
      <c r="D292" s="104">
        <f t="shared" si="4"/>
        <v>286</v>
      </c>
      <c r="E292" s="105">
        <f>+IFERROR(INDEX('Restaurant Base (Hidden)'!$A$2:$Z$1048576,MATCH($C292,'Restaurant Base (Hidden)'!$C$2:$C$1048576,0),MATCH(E$6,'Restaurant Base (Hidden)'!$A$1:$Z$1,0)),"")</f>
        <v>2.74</v>
      </c>
      <c r="F292" s="64" t="str">
        <f>+IFERROR(INDEX('Restaurant Base (Hidden)'!$A$2:$Z$1048576,MATCH($C292,'Restaurant Base (Hidden)'!$C$2:$C$1048576,0),MATCH(F$6,'Restaurant Base (Hidden)'!$A$1:$Z$1,0)),"")</f>
        <v/>
      </c>
      <c r="G292" s="20" t="str">
        <f>+IFERROR(INDEX('Restaurant Base (Hidden)'!$A$2:$Z$1048576,MATCH($C292,'Restaurant Base (Hidden)'!$C$2:$C$1048576,0),MATCH(G$6,'Restaurant Base (Hidden)'!$A$1:$Z$1,0)),"")</f>
        <v>4,040</v>
      </c>
      <c r="H292" s="50">
        <f>+IFERROR(INDEX('Restaurant Base (Hidden)'!$A$2:$Z$1048576,MATCH($C292,'Restaurant Base (Hidden)'!$C$2:$C$1048576,0),MATCH(H$6,'Restaurant Base (Hidden)'!$A$1:$Z$1,0)),"")</f>
        <v>1</v>
      </c>
      <c r="I292" s="20" t="str">
        <f>+IFERROR(INDEX('Restaurant Base (Hidden)'!$A$2:$Z$1048576,MATCH($C292,'Restaurant Base (Hidden)'!$C$2:$C$1048576,0),MATCH(I$6,'Restaurant Base (Hidden)'!$A$1:$Z$1,0)),"")</f>
        <v>91,40 %</v>
      </c>
      <c r="J292" s="49">
        <f>+IFERROR(INDEX('Restaurant Base (Hidden)'!$A$2:$Z$1048576,MATCH($C292,'Restaurant Base (Hidden)'!$C$2:$C$1048576,0),MATCH(J$6,'Restaurant Base (Hidden)'!$A$1:$Z$1,0)),"")</f>
        <v>4</v>
      </c>
      <c r="K292" s="20" t="str">
        <f>+IFERROR(INDEX('Restaurant Base (Hidden)'!$A$2:$Z$1048576,MATCH($C292,'Restaurant Base (Hidden)'!$C$2:$C$1048576,0),MATCH(K$6,'Restaurant Base (Hidden)'!$A$1:$Z$1,0)),"")</f>
        <v>0,050</v>
      </c>
      <c r="L292" s="51">
        <f>+IFERROR(INDEX('Restaurant Base (Hidden)'!$A$2:$Z$1048576,MATCH($C292,'Restaurant Base (Hidden)'!$C$2:$C$1048576,0),MATCH(L$6,'Restaurant Base (Hidden)'!$A$1:$Z$1,0)),"")</f>
        <v>5</v>
      </c>
      <c r="M292" s="2" t="str">
        <f>+IFERROR(INDEX('Restaurant Base (Hidden)'!$A$2:$Z$1048576,MATCH($C292,'Restaurant Base (Hidden)'!$C$2:$C$1048576,0),MATCH(M$6,'Restaurant Base (Hidden)'!$A$1:$Z$1,0)),"")</f>
        <v/>
      </c>
      <c r="N292" s="234" t="str">
        <f>+IFERROR(INDEX('Restaurant Base (Hidden)'!$A$2:$Z$1048576,MATCH($C292,'Restaurant Base (Hidden)'!$C$2:$C$1048576,0),MATCH(N$6,'Restaurant Base (Hidden)'!$A$1:$Z$1,0)),"")</f>
        <v>67,80 %</v>
      </c>
      <c r="O292" s="1">
        <f>+IFERROR(INDEX('Restaurant Base (Hidden)'!$A$2:$Z$1048576,MATCH($C292,'Restaurant Base (Hidden)'!$C$2:$C$1048576,0),MATCH(O$6,'Restaurant Base (Hidden)'!$A$1:$Z$1,0)),"")</f>
        <v>3</v>
      </c>
      <c r="P292" s="2" t="str">
        <f>+IFERROR(INDEX('Restaurant Base (Hidden)'!$A$2:$Z$1048576,MATCH($C292,'Restaurant Base (Hidden)'!$C$2:$C$1048576,0),MATCH(P$6,'Restaurant Base (Hidden)'!$A$1:$Z$1,0)),"")</f>
        <v/>
      </c>
      <c r="Q292" s="234" t="str">
        <f>+IFERROR(INDEX('Restaurant Base (Hidden)'!$A$2:$Z$1048576,MATCH($C292,'Restaurant Base (Hidden)'!$C$2:$C$1048576,0),MATCH(Q$6,'Restaurant Base (Hidden)'!$A$1:$Z$1,0)),"")</f>
        <v>59,00 %</v>
      </c>
      <c r="R292" s="1">
        <f>+IFERROR(INDEX('Restaurant Base (Hidden)'!$A$2:$Z$1048576,MATCH($C292,'Restaurant Base (Hidden)'!$C$2:$C$1048576,0),MATCH(R$6,'Restaurant Base (Hidden)'!$A$1:$Z$1,0)),"")</f>
        <v>1</v>
      </c>
      <c r="S292" s="2" t="str">
        <f>+IFERROR(INDEX('Restaurant Base (Hidden)'!$A$2:$Z$1048576,MATCH($C292,'Restaurant Base (Hidden)'!$C$2:$C$1048576,0),MATCH(S$6,'Restaurant Base (Hidden)'!$A$1:$Z$1,0)),"")</f>
        <v/>
      </c>
      <c r="T292" s="62">
        <f>+IFERROR(INDEX('Restaurant Base (Hidden)'!$A$2:$Z$1048576,MATCH($C292,'Restaurant Base (Hidden)'!$C$2:$C$1048576,0),MATCH(T$6,'Restaurant Base (Hidden)'!$A$1:$Z$1,0)),"")</f>
        <v>67.3</v>
      </c>
      <c r="U292" s="1">
        <f>+IFERROR(INDEX('Restaurant Base (Hidden)'!$A$2:$Z$1048576,MATCH($C292,'Restaurant Base (Hidden)'!$C$2:$C$1048576,0),MATCH(U$6,'Restaurant Base (Hidden)'!$A$1:$Z$1,0)),"")</f>
        <v>4</v>
      </c>
      <c r="V292" s="2" t="str">
        <f>+IFERROR(INDEX('Restaurant Base (Hidden)'!$A$2:$Z$1048576,MATCH($C292,'Restaurant Base (Hidden)'!$C$2:$C$1048576,0),MATCH(V$6,'Restaurant Base (Hidden)'!$A$1:$Z$1,0)),"")</f>
        <v/>
      </c>
      <c r="W292" s="65" t="str">
        <f>+IFERROR(INDEX('Restaurant Base (Hidden)'!$A$2:$Z$1048576,MATCH($C292,'Restaurant Base (Hidden)'!$C$2:$C$1048576,0),MATCH(W$6,'Restaurant Base (Hidden)'!$A$1:$Z$1,0)),"")</f>
        <v>84,70 %</v>
      </c>
      <c r="X292" s="1">
        <f>+IFERROR(INDEX('Restaurant Base (Hidden)'!$A$2:$Z$1048576,MATCH($C292,'Restaurant Base (Hidden)'!$C$2:$C$1048576,0),MATCH(X$6,'Restaurant Base (Hidden)'!$A$1:$Z$1,0)),"")</f>
        <v>3</v>
      </c>
      <c r="Y292" s="65" t="str">
        <f>+IFERROR(INDEX('Restaurant Base (Hidden)'!$A$2:$Z$1048576,MATCH($C292,'Restaurant Base (Hidden)'!$C$2:$C$1048576,0),MATCH(Y$6,'Restaurant Base (Hidden)'!$A$1:$Z$1,0)),"")</f>
        <v>58,10 %</v>
      </c>
      <c r="Z292" s="106">
        <f>+IFERROR(INDEX('Restaurant Base (Hidden)'!$A$2:$Z$1048576,MATCH($C292,'Restaurant Base (Hidden)'!$C$2:$C$1048576,0),MATCH(Z$6,'Restaurant Base (Hidden)'!$A$1:$Z$1,0)),"")</f>
        <v>1</v>
      </c>
      <c r="AA292" s="65" t="str">
        <f>+IFERROR(INDEX('Restaurant Base (Hidden)'!$A$2:$Z$1048576,MATCH($C292,'Restaurant Base (Hidden)'!$C$2:$C$1048576,0),MATCH(AA$6,'Restaurant Base (Hidden)'!$A$1:$Z$1,0)),"")</f>
        <v>72,20 %</v>
      </c>
      <c r="AB292" s="1">
        <f>+IFERROR(INDEX('Restaurant Base (Hidden)'!$A$2:$Z$1048576,MATCH($C292,'Restaurant Base (Hidden)'!$C$2:$C$1048576,0),MATCH(AB$6,'Restaurant Base (Hidden)'!$A$1:$Z$1,0)),"")</f>
        <v>2</v>
      </c>
      <c r="AC292" s="20" t="str">
        <f>+IFERROR(INDEX('Restaurant Base (Hidden)'!$A$2:$Z$1048576,MATCH($C292,'Restaurant Base (Hidden)'!$C$2:$C$1048576,0),MATCH(AC$6,'Restaurant Base (Hidden)'!$A$1:$Z$1,0)),"")</f>
        <v/>
      </c>
      <c r="AD292" s="65" t="str">
        <f>+IFERROR(INDEX('Restaurant Base (Hidden)'!$A$2:$Z$1048576,MATCH($C292,'Restaurant Base (Hidden)'!$C$2:$C$1048576,0),MATCH(AD$6,'Restaurant Base (Hidden)'!$A$1:$Z$1,0)),"")</f>
        <v>89,20 %</v>
      </c>
      <c r="AE292" s="1">
        <f>+IFERROR(INDEX('Restaurant Base (Hidden)'!$A$2:$Z$1048576,MATCH($C292,'Restaurant Base (Hidden)'!$C$2:$C$1048576,0),MATCH(AE$6,'Restaurant Base (Hidden)'!$A$1:$Z$1,0)),"")</f>
        <v>4</v>
      </c>
      <c r="AF292" s="65" t="str">
        <f>+IFERROR(INDEX('Restaurant Base (Hidden)'!$A$2:$Z$1048576,MATCH($C292,'Restaurant Base (Hidden)'!$C$2:$C$1048576,0),MATCH(AF$6,'Restaurant Base (Hidden)'!$A$1:$Z$1,0)),"")</f>
        <v>78,20 %</v>
      </c>
      <c r="AG292" s="1">
        <f>+IFERROR(INDEX('Restaurant Base (Hidden)'!$A$2:$Z$1048576,MATCH($C292,'Restaurant Base (Hidden)'!$C$2:$C$1048576,0),MATCH(AG$6,'Restaurant Base (Hidden)'!$A$1:$Z$1,0)),"")</f>
        <v>2</v>
      </c>
    </row>
    <row r="293" spans="1:33" x14ac:dyDescent="0.4">
      <c r="A293" s="163" t="str">
        <f>IF('Restaurant Base (Hidden)'!A75=0,"", 'Restaurant Base (Hidden)'!A75)</f>
        <v>Quinn Westbrook</v>
      </c>
      <c r="B293" s="163" t="str">
        <f>IF('Restaurant Base (Hidden)'!B75=0,"", 'Restaurant Base (Hidden)'!B75)</f>
        <v>Springwell Hospitality</v>
      </c>
      <c r="C293" s="163" t="str">
        <f>IF('Restaurant Base (Hidden)'!C75=0,"", 'Restaurant Base (Hidden)'!C75)</f>
        <v>Westwood Grove</v>
      </c>
      <c r="D293" s="104">
        <f t="shared" si="4"/>
        <v>286</v>
      </c>
      <c r="E293" s="105">
        <f>+IFERROR(INDEX('Restaurant Base (Hidden)'!$A$2:$Z$1048576,MATCH($C293,'Restaurant Base (Hidden)'!$C$2:$C$1048576,0),MATCH(E$6,'Restaurant Base (Hidden)'!$A$1:$Z$1,0)),"")</f>
        <v>2.74</v>
      </c>
      <c r="F293" s="64" t="str">
        <f>+IFERROR(INDEX('Restaurant Base (Hidden)'!$A$2:$Z$1048576,MATCH($C293,'Restaurant Base (Hidden)'!$C$2:$C$1048576,0),MATCH(F$6,'Restaurant Base (Hidden)'!$A$1:$Z$1,0)),"")</f>
        <v/>
      </c>
      <c r="G293" s="20" t="str">
        <f>+IFERROR(INDEX('Restaurant Base (Hidden)'!$A$2:$Z$1048576,MATCH($C293,'Restaurant Base (Hidden)'!$C$2:$C$1048576,0),MATCH(G$6,'Restaurant Base (Hidden)'!$A$1:$Z$1,0)),"")</f>
        <v>4,129</v>
      </c>
      <c r="H293" s="50">
        <f>+IFERROR(INDEX('Restaurant Base (Hidden)'!$A$2:$Z$1048576,MATCH($C293,'Restaurant Base (Hidden)'!$C$2:$C$1048576,0),MATCH(H$6,'Restaurant Base (Hidden)'!$A$1:$Z$1,0)),"")</f>
        <v>2</v>
      </c>
      <c r="I293" s="20" t="str">
        <f>+IFERROR(INDEX('Restaurant Base (Hidden)'!$A$2:$Z$1048576,MATCH($C293,'Restaurant Base (Hidden)'!$C$2:$C$1048576,0),MATCH(I$6,'Restaurant Base (Hidden)'!$A$1:$Z$1,0)),"")</f>
        <v>75,20 %</v>
      </c>
      <c r="J293" s="49">
        <f>+IFERROR(INDEX('Restaurant Base (Hidden)'!$A$2:$Z$1048576,MATCH($C293,'Restaurant Base (Hidden)'!$C$2:$C$1048576,0),MATCH(J$6,'Restaurant Base (Hidden)'!$A$1:$Z$1,0)),"")</f>
        <v>1</v>
      </c>
      <c r="K293" s="20" t="str">
        <f>+IFERROR(INDEX('Restaurant Base (Hidden)'!$A$2:$Z$1048576,MATCH($C293,'Restaurant Base (Hidden)'!$C$2:$C$1048576,0),MATCH(K$6,'Restaurant Base (Hidden)'!$A$1:$Z$1,0)),"")</f>
        <v>0,214</v>
      </c>
      <c r="L293" s="51">
        <f>+IFERROR(INDEX('Restaurant Base (Hidden)'!$A$2:$Z$1048576,MATCH($C293,'Restaurant Base (Hidden)'!$C$2:$C$1048576,0),MATCH(L$6,'Restaurant Base (Hidden)'!$A$1:$Z$1,0)),"")</f>
        <v>1</v>
      </c>
      <c r="M293" s="2" t="str">
        <f>+IFERROR(INDEX('Restaurant Base (Hidden)'!$A$2:$Z$1048576,MATCH($C293,'Restaurant Base (Hidden)'!$C$2:$C$1048576,0),MATCH(M$6,'Restaurant Base (Hidden)'!$A$1:$Z$1,0)),"")</f>
        <v/>
      </c>
      <c r="N293" s="234" t="str">
        <f>+IFERROR(INDEX('Restaurant Base (Hidden)'!$A$2:$Z$1048576,MATCH($C293,'Restaurant Base (Hidden)'!$C$2:$C$1048576,0),MATCH(N$6,'Restaurant Base (Hidden)'!$A$1:$Z$1,0)),"")</f>
        <v>92,20 %</v>
      </c>
      <c r="O293" s="1">
        <f>+IFERROR(INDEX('Restaurant Base (Hidden)'!$A$2:$Z$1048576,MATCH($C293,'Restaurant Base (Hidden)'!$C$2:$C$1048576,0),MATCH(O$6,'Restaurant Base (Hidden)'!$A$1:$Z$1,0)),"")</f>
        <v>5</v>
      </c>
      <c r="P293" s="2" t="str">
        <f>+IFERROR(INDEX('Restaurant Base (Hidden)'!$A$2:$Z$1048576,MATCH($C293,'Restaurant Base (Hidden)'!$C$2:$C$1048576,0),MATCH(P$6,'Restaurant Base (Hidden)'!$A$1:$Z$1,0)),"")</f>
        <v/>
      </c>
      <c r="Q293" s="234" t="str">
        <f>+IFERROR(INDEX('Restaurant Base (Hidden)'!$A$2:$Z$1048576,MATCH($C293,'Restaurant Base (Hidden)'!$C$2:$C$1048576,0),MATCH(Q$6,'Restaurant Base (Hidden)'!$A$1:$Z$1,0)),"")</f>
        <v>78,80 %</v>
      </c>
      <c r="R293" s="1">
        <f>+IFERROR(INDEX('Restaurant Base (Hidden)'!$A$2:$Z$1048576,MATCH($C293,'Restaurant Base (Hidden)'!$C$2:$C$1048576,0),MATCH(R$6,'Restaurant Base (Hidden)'!$A$1:$Z$1,0)),"")</f>
        <v>5</v>
      </c>
      <c r="S293" s="2" t="str">
        <f>+IFERROR(INDEX('Restaurant Base (Hidden)'!$A$2:$Z$1048576,MATCH($C293,'Restaurant Base (Hidden)'!$C$2:$C$1048576,0),MATCH(S$6,'Restaurant Base (Hidden)'!$A$1:$Z$1,0)),"")</f>
        <v/>
      </c>
      <c r="T293" s="62">
        <f>+IFERROR(INDEX('Restaurant Base (Hidden)'!$A$2:$Z$1048576,MATCH($C293,'Restaurant Base (Hidden)'!$C$2:$C$1048576,0),MATCH(T$6,'Restaurant Base (Hidden)'!$A$1:$Z$1,0)),"")</f>
        <v>53.3</v>
      </c>
      <c r="U293" s="1">
        <f>+IFERROR(INDEX('Restaurant Base (Hidden)'!$A$2:$Z$1048576,MATCH($C293,'Restaurant Base (Hidden)'!$C$2:$C$1048576,0),MATCH(U$6,'Restaurant Base (Hidden)'!$A$1:$Z$1,0)),"")</f>
        <v>1</v>
      </c>
      <c r="V293" s="2" t="str">
        <f>+IFERROR(INDEX('Restaurant Base (Hidden)'!$A$2:$Z$1048576,MATCH($C293,'Restaurant Base (Hidden)'!$C$2:$C$1048576,0),MATCH(V$6,'Restaurant Base (Hidden)'!$A$1:$Z$1,0)),"")</f>
        <v/>
      </c>
      <c r="W293" s="65" t="str">
        <f>+IFERROR(INDEX('Restaurant Base (Hidden)'!$A$2:$Z$1048576,MATCH($C293,'Restaurant Base (Hidden)'!$C$2:$C$1048576,0),MATCH(W$6,'Restaurant Base (Hidden)'!$A$1:$Z$1,0)),"")</f>
        <v>90,10 %</v>
      </c>
      <c r="X293" s="1">
        <f>+IFERROR(INDEX('Restaurant Base (Hidden)'!$A$2:$Z$1048576,MATCH($C293,'Restaurant Base (Hidden)'!$C$2:$C$1048576,0),MATCH(X$6,'Restaurant Base (Hidden)'!$A$1:$Z$1,0)),"")</f>
        <v>3</v>
      </c>
      <c r="Y293" s="65" t="str">
        <f>+IFERROR(INDEX('Restaurant Base (Hidden)'!$A$2:$Z$1048576,MATCH($C293,'Restaurant Base (Hidden)'!$C$2:$C$1048576,0),MATCH(Y$6,'Restaurant Base (Hidden)'!$A$1:$Z$1,0)),"")</f>
        <v>74,30 %</v>
      </c>
      <c r="Z293" s="106">
        <f>+IFERROR(INDEX('Restaurant Base (Hidden)'!$A$2:$Z$1048576,MATCH($C293,'Restaurant Base (Hidden)'!$C$2:$C$1048576,0),MATCH(Z$6,'Restaurant Base (Hidden)'!$A$1:$Z$1,0)),"")</f>
        <v>2</v>
      </c>
      <c r="AA293" s="65" t="str">
        <f>+IFERROR(INDEX('Restaurant Base (Hidden)'!$A$2:$Z$1048576,MATCH($C293,'Restaurant Base (Hidden)'!$C$2:$C$1048576,0),MATCH(AA$6,'Restaurant Base (Hidden)'!$A$1:$Z$1,0)),"")</f>
        <v>88,30 %</v>
      </c>
      <c r="AB293" s="1">
        <f>+IFERROR(INDEX('Restaurant Base (Hidden)'!$A$2:$Z$1048576,MATCH($C293,'Restaurant Base (Hidden)'!$C$2:$C$1048576,0),MATCH(AB$6,'Restaurant Base (Hidden)'!$A$1:$Z$1,0)),"")</f>
        <v>3</v>
      </c>
      <c r="AC293" s="20" t="str">
        <f>+IFERROR(INDEX('Restaurant Base (Hidden)'!$A$2:$Z$1048576,MATCH($C293,'Restaurant Base (Hidden)'!$C$2:$C$1048576,0),MATCH(AC$6,'Restaurant Base (Hidden)'!$A$1:$Z$1,0)),"")</f>
        <v/>
      </c>
      <c r="AD293" s="65" t="str">
        <f>+IFERROR(INDEX('Restaurant Base (Hidden)'!$A$2:$Z$1048576,MATCH($C293,'Restaurant Base (Hidden)'!$C$2:$C$1048576,0),MATCH(AD$6,'Restaurant Base (Hidden)'!$A$1:$Z$1,0)),"")</f>
        <v>89,20 %</v>
      </c>
      <c r="AE293" s="1">
        <f>+IFERROR(INDEX('Restaurant Base (Hidden)'!$A$2:$Z$1048576,MATCH($C293,'Restaurant Base (Hidden)'!$C$2:$C$1048576,0),MATCH(AE$6,'Restaurant Base (Hidden)'!$A$1:$Z$1,0)),"")</f>
        <v>4</v>
      </c>
      <c r="AF293" s="65" t="str">
        <f>+IFERROR(INDEX('Restaurant Base (Hidden)'!$A$2:$Z$1048576,MATCH($C293,'Restaurant Base (Hidden)'!$C$2:$C$1048576,0),MATCH(AF$6,'Restaurant Base (Hidden)'!$A$1:$Z$1,0)),"")</f>
        <v>69,90 %</v>
      </c>
      <c r="AG293" s="1">
        <f>+IFERROR(INDEX('Restaurant Base (Hidden)'!$A$2:$Z$1048576,MATCH($C293,'Restaurant Base (Hidden)'!$C$2:$C$1048576,0),MATCH(AG$6,'Restaurant Base (Hidden)'!$A$1:$Z$1,0)),"")</f>
        <v>1</v>
      </c>
    </row>
    <row r="294" spans="1:33" x14ac:dyDescent="0.4">
      <c r="A294" s="163" t="str">
        <f>IF('Restaurant Base (Hidden)'!A242=0,"", 'Restaurant Base (Hidden)'!A242)</f>
        <v>Hayden Merriton</v>
      </c>
      <c r="B294" s="163" t="str">
        <f>IF('Restaurant Base (Hidden)'!B242=0,"", 'Restaurant Base (Hidden)'!B242)</f>
        <v>Northstar Dining Group</v>
      </c>
      <c r="C294" s="163" t="str">
        <f>IF('Restaurant Base (Hidden)'!C242=0,"", 'Restaurant Base (Hidden)'!C242)</f>
        <v>Highland Ridge</v>
      </c>
      <c r="D294" s="104">
        <f t="shared" si="4"/>
        <v>286</v>
      </c>
      <c r="E294" s="105">
        <f>+IFERROR(INDEX('Restaurant Base (Hidden)'!$A$2:$Z$1048576,MATCH($C294,'Restaurant Base (Hidden)'!$C$2:$C$1048576,0),MATCH(E$6,'Restaurant Base (Hidden)'!$A$1:$Z$1,0)),"")</f>
        <v>2.74</v>
      </c>
      <c r="F294" s="2" t="str">
        <f>+IFERROR(INDEX('Restaurant Base (Hidden)'!$A$2:$Z$1048576,MATCH($C294,'Restaurant Base (Hidden)'!$C$2:$C$1048576,0),MATCH(F$6,'Restaurant Base (Hidden)'!$A$1:$Z$1,0)),"")</f>
        <v/>
      </c>
      <c r="G294" s="20" t="str">
        <f>+IFERROR(INDEX('Restaurant Base (Hidden)'!$A$2:$Z$1048576,MATCH($C294,'Restaurant Base (Hidden)'!$C$2:$C$1048576,0),MATCH(G$6,'Restaurant Base (Hidden)'!$A$1:$Z$1,0)),"")</f>
        <v>4,575</v>
      </c>
      <c r="H294" s="50">
        <f>+IFERROR(INDEX('Restaurant Base (Hidden)'!$A$2:$Z$1048576,MATCH($C294,'Restaurant Base (Hidden)'!$C$2:$C$1048576,0),MATCH(H$6,'Restaurant Base (Hidden)'!$A$1:$Z$1,0)),"")</f>
        <v>5</v>
      </c>
      <c r="I294" s="20" t="str">
        <f>+IFERROR(INDEX('Restaurant Base (Hidden)'!$A$2:$Z$1048576,MATCH($C294,'Restaurant Base (Hidden)'!$C$2:$C$1048576,0),MATCH(I$6,'Restaurant Base (Hidden)'!$A$1:$Z$1,0)),"")</f>
        <v>56,00 %</v>
      </c>
      <c r="J294" s="49">
        <f>+IFERROR(INDEX('Restaurant Base (Hidden)'!$A$2:$Z$1048576,MATCH($C294,'Restaurant Base (Hidden)'!$C$2:$C$1048576,0),MATCH(J$6,'Restaurant Base (Hidden)'!$A$1:$Z$1,0)),"")</f>
        <v>1</v>
      </c>
      <c r="K294" s="20" t="str">
        <f>+IFERROR(INDEX('Restaurant Base (Hidden)'!$A$2:$Z$1048576,MATCH($C294,'Restaurant Base (Hidden)'!$C$2:$C$1048576,0),MATCH(K$6,'Restaurant Base (Hidden)'!$A$1:$Z$1,0)),"")</f>
        <v>0,108</v>
      </c>
      <c r="L294" s="51">
        <f>+IFERROR(INDEX('Restaurant Base (Hidden)'!$A$2:$Z$1048576,MATCH($C294,'Restaurant Base (Hidden)'!$C$2:$C$1048576,0),MATCH(L$6,'Restaurant Base (Hidden)'!$A$1:$Z$1,0)),"")</f>
        <v>3</v>
      </c>
      <c r="M294" s="2" t="str">
        <f>+IFERROR(INDEX('Restaurant Base (Hidden)'!$A$2:$Z$1048576,MATCH($C294,'Restaurant Base (Hidden)'!$C$2:$C$1048576,0),MATCH(M$6,'Restaurant Base (Hidden)'!$A$1:$Z$1,0)),"")</f>
        <v/>
      </c>
      <c r="N294" s="234" t="str">
        <f>+IFERROR(INDEX('Restaurant Base (Hidden)'!$A$2:$Z$1048576,MATCH($C294,'Restaurant Base (Hidden)'!$C$2:$C$1048576,0),MATCH(N$6,'Restaurant Base (Hidden)'!$A$1:$Z$1,0)),"")</f>
        <v>83,70 %</v>
      </c>
      <c r="O294" s="1">
        <f>+IFERROR(INDEX('Restaurant Base (Hidden)'!$A$2:$Z$1048576,MATCH($C294,'Restaurant Base (Hidden)'!$C$2:$C$1048576,0),MATCH(O$6,'Restaurant Base (Hidden)'!$A$1:$Z$1,0)),"")</f>
        <v>5</v>
      </c>
      <c r="P294" s="2" t="str">
        <f>+IFERROR(INDEX('Restaurant Base (Hidden)'!$A$2:$Z$1048576,MATCH($C294,'Restaurant Base (Hidden)'!$C$2:$C$1048576,0),MATCH(P$6,'Restaurant Base (Hidden)'!$A$1:$Z$1,0)),"")</f>
        <v/>
      </c>
      <c r="Q294" s="234" t="str">
        <f>+IFERROR(INDEX('Restaurant Base (Hidden)'!$A$2:$Z$1048576,MATCH($C294,'Restaurant Base (Hidden)'!$C$2:$C$1048576,0),MATCH(Q$6,'Restaurant Base (Hidden)'!$A$1:$Z$1,0)),"")</f>
        <v>56,40 %</v>
      </c>
      <c r="R294" s="1">
        <f>+IFERROR(INDEX('Restaurant Base (Hidden)'!$A$2:$Z$1048576,MATCH($C294,'Restaurant Base (Hidden)'!$C$2:$C$1048576,0),MATCH(R$6,'Restaurant Base (Hidden)'!$A$1:$Z$1,0)),"")</f>
        <v>1</v>
      </c>
      <c r="S294" s="2" t="str">
        <f>+IFERROR(INDEX('Restaurant Base (Hidden)'!$A$2:$Z$1048576,MATCH($C294,'Restaurant Base (Hidden)'!$C$2:$C$1048576,0),MATCH(S$6,'Restaurant Base (Hidden)'!$A$1:$Z$1,0)),"")</f>
        <v/>
      </c>
      <c r="T294" s="62">
        <f>+IFERROR(INDEX('Restaurant Base (Hidden)'!$A$2:$Z$1048576,MATCH($C294,'Restaurant Base (Hidden)'!$C$2:$C$1048576,0),MATCH(T$6,'Restaurant Base (Hidden)'!$A$1:$Z$1,0)),"")</f>
        <v>77.3</v>
      </c>
      <c r="U294" s="1">
        <f>+IFERROR(INDEX('Restaurant Base (Hidden)'!$A$2:$Z$1048576,MATCH($C294,'Restaurant Base (Hidden)'!$C$2:$C$1048576,0),MATCH(U$6,'Restaurant Base (Hidden)'!$A$1:$Z$1,0)),"")</f>
        <v>5</v>
      </c>
      <c r="V294" s="2" t="str">
        <f>+IFERROR(INDEX('Restaurant Base (Hidden)'!$A$2:$Z$1048576,MATCH($C294,'Restaurant Base (Hidden)'!$C$2:$C$1048576,0),MATCH(V$6,'Restaurant Base (Hidden)'!$A$1:$Z$1,0)),"")</f>
        <v/>
      </c>
      <c r="W294" s="65" t="str">
        <f>+IFERROR(INDEX('Restaurant Base (Hidden)'!$A$2:$Z$1048576,MATCH($C294,'Restaurant Base (Hidden)'!$C$2:$C$1048576,0),MATCH(W$6,'Restaurant Base (Hidden)'!$A$1:$Z$1,0)),"")</f>
        <v>77,00 %</v>
      </c>
      <c r="X294" s="1">
        <f>+IFERROR(INDEX('Restaurant Base (Hidden)'!$A$2:$Z$1048576,MATCH($C294,'Restaurant Base (Hidden)'!$C$2:$C$1048576,0),MATCH(X$6,'Restaurant Base (Hidden)'!$A$1:$Z$1,0)),"")</f>
        <v>2</v>
      </c>
      <c r="Y294" s="65" t="str">
        <f>+IFERROR(INDEX('Restaurant Base (Hidden)'!$A$2:$Z$1048576,MATCH($C294,'Restaurant Base (Hidden)'!$C$2:$C$1048576,0),MATCH(Y$6,'Restaurant Base (Hidden)'!$A$1:$Z$1,0)),"")</f>
        <v>79,10 %</v>
      </c>
      <c r="Z294" s="106">
        <f>+IFERROR(INDEX('Restaurant Base (Hidden)'!$A$2:$Z$1048576,MATCH($C294,'Restaurant Base (Hidden)'!$C$2:$C$1048576,0),MATCH(Z$6,'Restaurant Base (Hidden)'!$A$1:$Z$1,0)),"")</f>
        <v>2</v>
      </c>
      <c r="AA294" s="65" t="str">
        <f>+IFERROR(INDEX('Restaurant Base (Hidden)'!$A$2:$Z$1048576,MATCH($C294,'Restaurant Base (Hidden)'!$C$2:$C$1048576,0),MATCH(AA$6,'Restaurant Base (Hidden)'!$A$1:$Z$1,0)),"")</f>
        <v>58,60 %</v>
      </c>
      <c r="AB294" s="1">
        <f>+IFERROR(INDEX('Restaurant Base (Hidden)'!$A$2:$Z$1048576,MATCH($C294,'Restaurant Base (Hidden)'!$C$2:$C$1048576,0),MATCH(AB$6,'Restaurant Base (Hidden)'!$A$1:$Z$1,0)),"")</f>
        <v>1</v>
      </c>
      <c r="AC294" s="20" t="str">
        <f>+IFERROR(INDEX('Restaurant Base (Hidden)'!$A$2:$Z$1048576,MATCH($C294,'Restaurant Base (Hidden)'!$C$2:$C$1048576,0),MATCH(AC$6,'Restaurant Base (Hidden)'!$A$1:$Z$1,0)),"")</f>
        <v/>
      </c>
      <c r="AD294" s="65" t="str">
        <f>+IFERROR(INDEX('Restaurant Base (Hidden)'!$A$2:$Z$1048576,MATCH($C294,'Restaurant Base (Hidden)'!$C$2:$C$1048576,0),MATCH(AD$6,'Restaurant Base (Hidden)'!$A$1:$Z$1,0)),"")</f>
        <v>63,20 %</v>
      </c>
      <c r="AE294" s="1">
        <f>+IFERROR(INDEX('Restaurant Base (Hidden)'!$A$2:$Z$1048576,MATCH($C294,'Restaurant Base (Hidden)'!$C$2:$C$1048576,0),MATCH(AE$6,'Restaurant Base (Hidden)'!$A$1:$Z$1,0)),"")</f>
        <v>1</v>
      </c>
      <c r="AF294" s="65" t="str">
        <f>+IFERROR(INDEX('Restaurant Base (Hidden)'!$A$2:$Z$1048576,MATCH($C294,'Restaurant Base (Hidden)'!$C$2:$C$1048576,0),MATCH(AF$6,'Restaurant Base (Hidden)'!$A$1:$Z$1,0)),"")</f>
        <v>89,50 %</v>
      </c>
      <c r="AG294" s="1">
        <f>+IFERROR(INDEX('Restaurant Base (Hidden)'!$A$2:$Z$1048576,MATCH($C294,'Restaurant Base (Hidden)'!$C$2:$C$1048576,0),MATCH(AG$6,'Restaurant Base (Hidden)'!$A$1:$Z$1,0)),"")</f>
        <v>3</v>
      </c>
    </row>
    <row r="295" spans="1:33" x14ac:dyDescent="0.4">
      <c r="A295" s="163" t="str">
        <f>IF('Restaurant Base (Hidden)'!A306=0,"", 'Restaurant Base (Hidden)'!A306)</f>
        <v>Parker Sterling</v>
      </c>
      <c r="B295" s="163" t="str">
        <f>IF('Restaurant Base (Hidden)'!B306=0,"", 'Restaurant Base (Hidden)'!B306)</f>
        <v>Highland Crest Restaurants</v>
      </c>
      <c r="C295" s="163" t="str">
        <f>IF('Restaurant Base (Hidden)'!C306=0,"", 'Restaurant Base (Hidden)'!C306)</f>
        <v>Emerald Heath</v>
      </c>
      <c r="D295" s="104">
        <f t="shared" si="4"/>
        <v>286</v>
      </c>
      <c r="E295" s="105">
        <f>+IFERROR(INDEX('Restaurant Base (Hidden)'!$A$2:$Z$1048576,MATCH($C295,'Restaurant Base (Hidden)'!$C$2:$C$1048576,0),MATCH(E$6,'Restaurant Base (Hidden)'!$A$1:$Z$1,0)),"")</f>
        <v>2.74</v>
      </c>
      <c r="F295" s="2" t="str">
        <f>+IFERROR(INDEX('Restaurant Base (Hidden)'!$A$2:$Z$1048576,MATCH($C295,'Restaurant Base (Hidden)'!$C$2:$C$1048576,0),MATCH(F$6,'Restaurant Base (Hidden)'!$A$1:$Z$1,0)),"")</f>
        <v/>
      </c>
      <c r="G295" s="20" t="str">
        <f>+IFERROR(INDEX('Restaurant Base (Hidden)'!$A$2:$Z$1048576,MATCH($C295,'Restaurant Base (Hidden)'!$C$2:$C$1048576,0),MATCH(G$6,'Restaurant Base (Hidden)'!$A$1:$Z$1,0)),"")</f>
        <v>4,618</v>
      </c>
      <c r="H295" s="50">
        <f>+IFERROR(INDEX('Restaurant Base (Hidden)'!$A$2:$Z$1048576,MATCH($C295,'Restaurant Base (Hidden)'!$C$2:$C$1048576,0),MATCH(H$6,'Restaurant Base (Hidden)'!$A$1:$Z$1,0)),"")</f>
        <v>5</v>
      </c>
      <c r="I295" s="20" t="str">
        <f>+IFERROR(INDEX('Restaurant Base (Hidden)'!$A$2:$Z$1048576,MATCH($C295,'Restaurant Base (Hidden)'!$C$2:$C$1048576,0),MATCH(I$6,'Restaurant Base (Hidden)'!$A$1:$Z$1,0)),"")</f>
        <v>67,30 %</v>
      </c>
      <c r="J295" s="49">
        <f>+IFERROR(INDEX('Restaurant Base (Hidden)'!$A$2:$Z$1048576,MATCH($C295,'Restaurant Base (Hidden)'!$C$2:$C$1048576,0),MATCH(J$6,'Restaurant Base (Hidden)'!$A$1:$Z$1,0)),"")</f>
        <v>1</v>
      </c>
      <c r="K295" s="20" t="str">
        <f>+IFERROR(INDEX('Restaurant Base (Hidden)'!$A$2:$Z$1048576,MATCH($C295,'Restaurant Base (Hidden)'!$C$2:$C$1048576,0),MATCH(K$6,'Restaurant Base (Hidden)'!$A$1:$Z$1,0)),"")</f>
        <v>0,168</v>
      </c>
      <c r="L295" s="51">
        <f>+IFERROR(INDEX('Restaurant Base (Hidden)'!$A$2:$Z$1048576,MATCH($C295,'Restaurant Base (Hidden)'!$C$2:$C$1048576,0),MATCH(L$6,'Restaurant Base (Hidden)'!$A$1:$Z$1,0)),"")</f>
        <v>2</v>
      </c>
      <c r="M295" s="2" t="str">
        <f>+IFERROR(INDEX('Restaurant Base (Hidden)'!$A$2:$Z$1048576,MATCH($C295,'Restaurant Base (Hidden)'!$C$2:$C$1048576,0),MATCH(M$6,'Restaurant Base (Hidden)'!$A$1:$Z$1,0)),"")</f>
        <v/>
      </c>
      <c r="N295" s="234" t="str">
        <f>+IFERROR(INDEX('Restaurant Base (Hidden)'!$A$2:$Z$1048576,MATCH($C295,'Restaurant Base (Hidden)'!$C$2:$C$1048576,0),MATCH(N$6,'Restaurant Base (Hidden)'!$A$1:$Z$1,0)),"")</f>
        <v>61,30 %</v>
      </c>
      <c r="O295" s="1">
        <f>+IFERROR(INDEX('Restaurant Base (Hidden)'!$A$2:$Z$1048576,MATCH($C295,'Restaurant Base (Hidden)'!$C$2:$C$1048576,0),MATCH(O$6,'Restaurant Base (Hidden)'!$A$1:$Z$1,0)),"")</f>
        <v>2</v>
      </c>
      <c r="P295" s="2" t="str">
        <f>+IFERROR(INDEX('Restaurant Base (Hidden)'!$A$2:$Z$1048576,MATCH($C295,'Restaurant Base (Hidden)'!$C$2:$C$1048576,0),MATCH(P$6,'Restaurant Base (Hidden)'!$A$1:$Z$1,0)),"")</f>
        <v/>
      </c>
      <c r="Q295" s="234" t="str">
        <f>+IFERROR(INDEX('Restaurant Base (Hidden)'!$A$2:$Z$1048576,MATCH($C295,'Restaurant Base (Hidden)'!$C$2:$C$1048576,0),MATCH(Q$6,'Restaurant Base (Hidden)'!$A$1:$Z$1,0)),"")</f>
        <v>98,50 %</v>
      </c>
      <c r="R295" s="1">
        <f>+IFERROR(INDEX('Restaurant Base (Hidden)'!$A$2:$Z$1048576,MATCH($C295,'Restaurant Base (Hidden)'!$C$2:$C$1048576,0),MATCH(R$6,'Restaurant Base (Hidden)'!$A$1:$Z$1,0)),"")</f>
        <v>5</v>
      </c>
      <c r="S295" s="2" t="str">
        <f>+IFERROR(INDEX('Restaurant Base (Hidden)'!$A$2:$Z$1048576,MATCH($C295,'Restaurant Base (Hidden)'!$C$2:$C$1048576,0),MATCH(S$6,'Restaurant Base (Hidden)'!$A$1:$Z$1,0)),"")</f>
        <v/>
      </c>
      <c r="T295" s="62">
        <f>+IFERROR(INDEX('Restaurant Base (Hidden)'!$A$2:$Z$1048576,MATCH($C295,'Restaurant Base (Hidden)'!$C$2:$C$1048576,0),MATCH(T$6,'Restaurant Base (Hidden)'!$A$1:$Z$1,0)),"")</f>
        <v>61.2</v>
      </c>
      <c r="U295" s="1">
        <f>+IFERROR(INDEX('Restaurant Base (Hidden)'!$A$2:$Z$1048576,MATCH($C295,'Restaurant Base (Hidden)'!$C$2:$C$1048576,0),MATCH(U$6,'Restaurant Base (Hidden)'!$A$1:$Z$1,0)),"")</f>
        <v>3</v>
      </c>
      <c r="V295" s="2" t="str">
        <f>+IFERROR(INDEX('Restaurant Base (Hidden)'!$A$2:$Z$1048576,MATCH($C295,'Restaurant Base (Hidden)'!$C$2:$C$1048576,0),MATCH(V$6,'Restaurant Base (Hidden)'!$A$1:$Z$1,0)),"")</f>
        <v/>
      </c>
      <c r="W295" s="65" t="str">
        <f>+IFERROR(INDEX('Restaurant Base (Hidden)'!$A$2:$Z$1048576,MATCH($C295,'Restaurant Base (Hidden)'!$C$2:$C$1048576,0),MATCH(W$6,'Restaurant Base (Hidden)'!$A$1:$Z$1,0)),"")</f>
        <v>87,20 %</v>
      </c>
      <c r="X295" s="1">
        <f>+IFERROR(INDEX('Restaurant Base (Hidden)'!$A$2:$Z$1048576,MATCH($C295,'Restaurant Base (Hidden)'!$C$2:$C$1048576,0),MATCH(X$6,'Restaurant Base (Hidden)'!$A$1:$Z$1,0)),"")</f>
        <v>3</v>
      </c>
      <c r="Y295" s="65" t="str">
        <f>+IFERROR(INDEX('Restaurant Base (Hidden)'!$A$2:$Z$1048576,MATCH($C295,'Restaurant Base (Hidden)'!$C$2:$C$1048576,0),MATCH(Y$6,'Restaurant Base (Hidden)'!$A$1:$Z$1,0)),"")</f>
        <v>80,40 %</v>
      </c>
      <c r="Z295" s="106">
        <f>+IFERROR(INDEX('Restaurant Base (Hidden)'!$A$2:$Z$1048576,MATCH($C295,'Restaurant Base (Hidden)'!$C$2:$C$1048576,0),MATCH(Z$6,'Restaurant Base (Hidden)'!$A$1:$Z$1,0)),"")</f>
        <v>2</v>
      </c>
      <c r="AA295" s="65" t="str">
        <f>+IFERROR(INDEX('Restaurant Base (Hidden)'!$A$2:$Z$1048576,MATCH($C295,'Restaurant Base (Hidden)'!$C$2:$C$1048576,0),MATCH(AA$6,'Restaurant Base (Hidden)'!$A$1:$Z$1,0)),"")</f>
        <v>57,40 %</v>
      </c>
      <c r="AB295" s="1">
        <f>+IFERROR(INDEX('Restaurant Base (Hidden)'!$A$2:$Z$1048576,MATCH($C295,'Restaurant Base (Hidden)'!$C$2:$C$1048576,0),MATCH(AB$6,'Restaurant Base (Hidden)'!$A$1:$Z$1,0)),"")</f>
        <v>1</v>
      </c>
      <c r="AC295" s="20" t="str">
        <f>+IFERROR(INDEX('Restaurant Base (Hidden)'!$A$2:$Z$1048576,MATCH($C295,'Restaurant Base (Hidden)'!$C$2:$C$1048576,0),MATCH(AC$6,'Restaurant Base (Hidden)'!$A$1:$Z$1,0)),"")</f>
        <v/>
      </c>
      <c r="AD295" s="65" t="str">
        <f>+IFERROR(INDEX('Restaurant Base (Hidden)'!$A$2:$Z$1048576,MATCH($C295,'Restaurant Base (Hidden)'!$C$2:$C$1048576,0),MATCH(AD$6,'Restaurant Base (Hidden)'!$A$1:$Z$1,0)),"")</f>
        <v>78,80 %</v>
      </c>
      <c r="AE295" s="1">
        <f>+IFERROR(INDEX('Restaurant Base (Hidden)'!$A$2:$Z$1048576,MATCH($C295,'Restaurant Base (Hidden)'!$C$2:$C$1048576,0),MATCH(AE$6,'Restaurant Base (Hidden)'!$A$1:$Z$1,0)),"")</f>
        <v>2</v>
      </c>
      <c r="AF295" s="65" t="str">
        <f>+IFERROR(INDEX('Restaurant Base (Hidden)'!$A$2:$Z$1048576,MATCH($C295,'Restaurant Base (Hidden)'!$C$2:$C$1048576,0),MATCH(AF$6,'Restaurant Base (Hidden)'!$A$1:$Z$1,0)),"")</f>
        <v>86,20 %</v>
      </c>
      <c r="AG295" s="1">
        <f>+IFERROR(INDEX('Restaurant Base (Hidden)'!$A$2:$Z$1048576,MATCH($C295,'Restaurant Base (Hidden)'!$C$2:$C$1048576,0),MATCH(AG$6,'Restaurant Base (Hidden)'!$A$1:$Z$1,0)),"")</f>
        <v>3</v>
      </c>
    </row>
    <row r="296" spans="1:33" x14ac:dyDescent="0.4">
      <c r="A296" s="163" t="str">
        <f>IF('Restaurant Base (Hidden)'!A392=0,"", 'Restaurant Base (Hidden)'!A392)</f>
        <v>Morgan Rivington</v>
      </c>
      <c r="B296" s="163" t="str">
        <f>IF('Restaurant Base (Hidden)'!B392=0,"", 'Restaurant Base (Hidden)'!B392)</f>
        <v>Oakmont Dining Partners</v>
      </c>
      <c r="C296" s="163" t="str">
        <f>IF('Restaurant Base (Hidden)'!C392=0,"", 'Restaurant Base (Hidden)'!C392)</f>
        <v>Redwood Quay</v>
      </c>
      <c r="D296" s="104">
        <f t="shared" si="4"/>
        <v>286</v>
      </c>
      <c r="E296" s="105">
        <f>+IFERROR(INDEX('Restaurant Base (Hidden)'!$A$2:$Z$1048576,MATCH($C296,'Restaurant Base (Hidden)'!$C$2:$C$1048576,0),MATCH(E$6,'Restaurant Base (Hidden)'!$A$1:$Z$1,0)),"")</f>
        <v>2.74</v>
      </c>
      <c r="F296" s="2" t="str">
        <f>+IFERROR(INDEX('Restaurant Base (Hidden)'!$A$2:$Z$1048576,MATCH($C296,'Restaurant Base (Hidden)'!$C$2:$C$1048576,0),MATCH(F$6,'Restaurant Base (Hidden)'!$A$1:$Z$1,0)),"")</f>
        <v/>
      </c>
      <c r="G296" s="20" t="str">
        <f>+IFERROR(INDEX('Restaurant Base (Hidden)'!$A$2:$Z$1048576,MATCH($C296,'Restaurant Base (Hidden)'!$C$2:$C$1048576,0),MATCH(G$6,'Restaurant Base (Hidden)'!$A$1:$Z$1,0)),"")</f>
        <v>4,125</v>
      </c>
      <c r="H296" s="50">
        <f>+IFERROR(INDEX('Restaurant Base (Hidden)'!$A$2:$Z$1048576,MATCH($C296,'Restaurant Base (Hidden)'!$C$2:$C$1048576,0),MATCH(H$6,'Restaurant Base (Hidden)'!$A$1:$Z$1,0)),"")</f>
        <v>2</v>
      </c>
      <c r="I296" s="20" t="str">
        <f>+IFERROR(INDEX('Restaurant Base (Hidden)'!$A$2:$Z$1048576,MATCH($C296,'Restaurant Base (Hidden)'!$C$2:$C$1048576,0),MATCH(I$6,'Restaurant Base (Hidden)'!$A$1:$Z$1,0)),"")</f>
        <v>93,50 %</v>
      </c>
      <c r="J296" s="49">
        <f>+IFERROR(INDEX('Restaurant Base (Hidden)'!$A$2:$Z$1048576,MATCH($C296,'Restaurant Base (Hidden)'!$C$2:$C$1048576,0),MATCH(J$6,'Restaurant Base (Hidden)'!$A$1:$Z$1,0)),"")</f>
        <v>4</v>
      </c>
      <c r="K296" s="20" t="str">
        <f>+IFERROR(INDEX('Restaurant Base (Hidden)'!$A$2:$Z$1048576,MATCH($C296,'Restaurant Base (Hidden)'!$C$2:$C$1048576,0),MATCH(K$6,'Restaurant Base (Hidden)'!$A$1:$Z$1,0)),"")</f>
        <v>0,062</v>
      </c>
      <c r="L296" s="51">
        <f>+IFERROR(INDEX('Restaurant Base (Hidden)'!$A$2:$Z$1048576,MATCH($C296,'Restaurant Base (Hidden)'!$C$2:$C$1048576,0),MATCH(L$6,'Restaurant Base (Hidden)'!$A$1:$Z$1,0)),"")</f>
        <v>4</v>
      </c>
      <c r="M296" s="2" t="str">
        <f>+IFERROR(INDEX('Restaurant Base (Hidden)'!$A$2:$Z$1048576,MATCH($C296,'Restaurant Base (Hidden)'!$C$2:$C$1048576,0),MATCH(M$6,'Restaurant Base (Hidden)'!$A$1:$Z$1,0)),"")</f>
        <v/>
      </c>
      <c r="N296" s="234" t="str">
        <f>+IFERROR(INDEX('Restaurant Base (Hidden)'!$A$2:$Z$1048576,MATCH($C296,'Restaurant Base (Hidden)'!$C$2:$C$1048576,0),MATCH(N$6,'Restaurant Base (Hidden)'!$A$1:$Z$1,0)),"")</f>
        <v>61,30 %</v>
      </c>
      <c r="O296" s="1">
        <f>+IFERROR(INDEX('Restaurant Base (Hidden)'!$A$2:$Z$1048576,MATCH($C296,'Restaurant Base (Hidden)'!$C$2:$C$1048576,0),MATCH(O$6,'Restaurant Base (Hidden)'!$A$1:$Z$1,0)),"")</f>
        <v>2</v>
      </c>
      <c r="P296" s="2" t="str">
        <f>+IFERROR(INDEX('Restaurant Base (Hidden)'!$A$2:$Z$1048576,MATCH($C296,'Restaurant Base (Hidden)'!$C$2:$C$1048576,0),MATCH(P$6,'Restaurant Base (Hidden)'!$A$1:$Z$1,0)),"")</f>
        <v/>
      </c>
      <c r="Q296" s="234" t="str">
        <f>+IFERROR(INDEX('Restaurant Base (Hidden)'!$A$2:$Z$1048576,MATCH($C296,'Restaurant Base (Hidden)'!$C$2:$C$1048576,0),MATCH(Q$6,'Restaurant Base (Hidden)'!$A$1:$Z$1,0)),"")</f>
        <v>64,80 %</v>
      </c>
      <c r="R296" s="1">
        <f>+IFERROR(INDEX('Restaurant Base (Hidden)'!$A$2:$Z$1048576,MATCH($C296,'Restaurant Base (Hidden)'!$C$2:$C$1048576,0),MATCH(R$6,'Restaurant Base (Hidden)'!$A$1:$Z$1,0)),"")</f>
        <v>2</v>
      </c>
      <c r="S296" s="2" t="str">
        <f>+IFERROR(INDEX('Restaurant Base (Hidden)'!$A$2:$Z$1048576,MATCH($C296,'Restaurant Base (Hidden)'!$C$2:$C$1048576,0),MATCH(S$6,'Restaurant Base (Hidden)'!$A$1:$Z$1,0)),"")</f>
        <v/>
      </c>
      <c r="T296" s="62">
        <f>+IFERROR(INDEX('Restaurant Base (Hidden)'!$A$2:$Z$1048576,MATCH($C296,'Restaurant Base (Hidden)'!$C$2:$C$1048576,0),MATCH(T$6,'Restaurant Base (Hidden)'!$A$1:$Z$1,0)),"")</f>
        <v>70.8</v>
      </c>
      <c r="U296" s="1">
        <f>+IFERROR(INDEX('Restaurant Base (Hidden)'!$A$2:$Z$1048576,MATCH($C296,'Restaurant Base (Hidden)'!$C$2:$C$1048576,0),MATCH(U$6,'Restaurant Base (Hidden)'!$A$1:$Z$1,0)),"")</f>
        <v>5</v>
      </c>
      <c r="V296" s="2" t="str">
        <f>+IFERROR(INDEX('Restaurant Base (Hidden)'!$A$2:$Z$1048576,MATCH($C296,'Restaurant Base (Hidden)'!$C$2:$C$1048576,0),MATCH(V$6,'Restaurant Base (Hidden)'!$A$1:$Z$1,0)),"")</f>
        <v/>
      </c>
      <c r="W296" s="65" t="str">
        <f>+IFERROR(INDEX('Restaurant Base (Hidden)'!$A$2:$Z$1048576,MATCH($C296,'Restaurant Base (Hidden)'!$C$2:$C$1048576,0),MATCH(W$6,'Restaurant Base (Hidden)'!$A$1:$Z$1,0)),"")</f>
        <v>95,60 %</v>
      </c>
      <c r="X296" s="1">
        <f>+IFERROR(INDEX('Restaurant Base (Hidden)'!$A$2:$Z$1048576,MATCH($C296,'Restaurant Base (Hidden)'!$C$2:$C$1048576,0),MATCH(X$6,'Restaurant Base (Hidden)'!$A$1:$Z$1,0)),"")</f>
        <v>4</v>
      </c>
      <c r="Y296" s="65" t="str">
        <f>+IFERROR(INDEX('Restaurant Base (Hidden)'!$A$2:$Z$1048576,MATCH($C296,'Restaurant Base (Hidden)'!$C$2:$C$1048576,0),MATCH(Y$6,'Restaurant Base (Hidden)'!$A$1:$Z$1,0)),"")</f>
        <v>90,10 %</v>
      </c>
      <c r="Z296" s="106">
        <f>+IFERROR(INDEX('Restaurant Base (Hidden)'!$A$2:$Z$1048576,MATCH($C296,'Restaurant Base (Hidden)'!$C$2:$C$1048576,0),MATCH(Z$6,'Restaurant Base (Hidden)'!$A$1:$Z$1,0)),"")</f>
        <v>3</v>
      </c>
      <c r="AA296" s="65" t="str">
        <f>+IFERROR(INDEX('Restaurant Base (Hidden)'!$A$2:$Z$1048576,MATCH($C296,'Restaurant Base (Hidden)'!$C$2:$C$1048576,0),MATCH(AA$6,'Restaurant Base (Hidden)'!$A$1:$Z$1,0)),"")</f>
        <v>69,10 %</v>
      </c>
      <c r="AB296" s="1">
        <f>+IFERROR(INDEX('Restaurant Base (Hidden)'!$A$2:$Z$1048576,MATCH($C296,'Restaurant Base (Hidden)'!$C$2:$C$1048576,0),MATCH(AB$6,'Restaurant Base (Hidden)'!$A$1:$Z$1,0)),"")</f>
        <v>2</v>
      </c>
      <c r="AC296" s="20" t="str">
        <f>+IFERROR(INDEX('Restaurant Base (Hidden)'!$A$2:$Z$1048576,MATCH($C296,'Restaurant Base (Hidden)'!$C$2:$C$1048576,0),MATCH(AC$6,'Restaurant Base (Hidden)'!$A$1:$Z$1,0)),"")</f>
        <v/>
      </c>
      <c r="AD296" s="65" t="str">
        <f>+IFERROR(INDEX('Restaurant Base (Hidden)'!$A$2:$Z$1048576,MATCH($C296,'Restaurant Base (Hidden)'!$C$2:$C$1048576,0),MATCH(AD$6,'Restaurant Base (Hidden)'!$A$1:$Z$1,0)),"")</f>
        <v>77,20 %</v>
      </c>
      <c r="AE296" s="1">
        <f>+IFERROR(INDEX('Restaurant Base (Hidden)'!$A$2:$Z$1048576,MATCH($C296,'Restaurant Base (Hidden)'!$C$2:$C$1048576,0),MATCH(AE$6,'Restaurant Base (Hidden)'!$A$1:$Z$1,0)),"")</f>
        <v>2</v>
      </c>
      <c r="AF296" s="65" t="str">
        <f>+IFERROR(INDEX('Restaurant Base (Hidden)'!$A$2:$Z$1048576,MATCH($C296,'Restaurant Base (Hidden)'!$C$2:$C$1048576,0),MATCH(AF$6,'Restaurant Base (Hidden)'!$A$1:$Z$1,0)),"")</f>
        <v>71,10 %</v>
      </c>
      <c r="AG296" s="1">
        <f>+IFERROR(INDEX('Restaurant Base (Hidden)'!$A$2:$Z$1048576,MATCH($C296,'Restaurant Base (Hidden)'!$C$2:$C$1048576,0),MATCH(AG$6,'Restaurant Base (Hidden)'!$A$1:$Z$1,0)),"")</f>
        <v>1</v>
      </c>
    </row>
    <row r="297" spans="1:33" x14ac:dyDescent="0.4">
      <c r="A297" s="163" t="str">
        <f>IF('Restaurant Base (Hidden)'!A316=0,"", 'Restaurant Base (Hidden)'!A316)</f>
        <v>Dakota Cavendish</v>
      </c>
      <c r="B297" s="163" t="str">
        <f>IF('Restaurant Base (Hidden)'!B316=0,"", 'Restaurant Base (Hidden)'!B316)</f>
        <v>Crestwood Dining</v>
      </c>
      <c r="C297" s="163" t="str">
        <f>IF('Restaurant Base (Hidden)'!C316=0,"", 'Restaurant Base (Hidden)'!C316)</f>
        <v>Sunset Mews</v>
      </c>
      <c r="D297" s="104">
        <f t="shared" si="4"/>
        <v>291</v>
      </c>
      <c r="E297" s="105">
        <f>+IFERROR(INDEX('Restaurant Base (Hidden)'!$A$2:$Z$1048576,MATCH($C297,'Restaurant Base (Hidden)'!$C$2:$C$1048576,0),MATCH(E$6,'Restaurant Base (Hidden)'!$A$1:$Z$1,0)),"")</f>
        <v>2.73</v>
      </c>
      <c r="F297" s="2" t="str">
        <f>+IFERROR(INDEX('Restaurant Base (Hidden)'!$A$2:$Z$1048576,MATCH($C297,'Restaurant Base (Hidden)'!$C$2:$C$1048576,0),MATCH(F$6,'Restaurant Base (Hidden)'!$A$1:$Z$1,0)),"")</f>
        <v/>
      </c>
      <c r="G297" s="20" t="str">
        <f>+IFERROR(INDEX('Restaurant Base (Hidden)'!$A$2:$Z$1048576,MATCH($C297,'Restaurant Base (Hidden)'!$C$2:$C$1048576,0),MATCH(G$6,'Restaurant Base (Hidden)'!$A$1:$Z$1,0)),"")</f>
        <v>4,118</v>
      </c>
      <c r="H297" s="50">
        <f>+IFERROR(INDEX('Restaurant Base (Hidden)'!$A$2:$Z$1048576,MATCH($C297,'Restaurant Base (Hidden)'!$C$2:$C$1048576,0),MATCH(H$6,'Restaurant Base (Hidden)'!$A$1:$Z$1,0)),"")</f>
        <v>2</v>
      </c>
      <c r="I297" s="20" t="str">
        <f>+IFERROR(INDEX('Restaurant Base (Hidden)'!$A$2:$Z$1048576,MATCH($C297,'Restaurant Base (Hidden)'!$C$2:$C$1048576,0),MATCH(I$6,'Restaurant Base (Hidden)'!$A$1:$Z$1,0)),"")</f>
        <v>59,40 %</v>
      </c>
      <c r="J297" s="49">
        <f>+IFERROR(INDEX('Restaurant Base (Hidden)'!$A$2:$Z$1048576,MATCH($C297,'Restaurant Base (Hidden)'!$C$2:$C$1048576,0),MATCH(J$6,'Restaurant Base (Hidden)'!$A$1:$Z$1,0)),"")</f>
        <v>1</v>
      </c>
      <c r="K297" s="20" t="str">
        <f>+IFERROR(INDEX('Restaurant Base (Hidden)'!$A$2:$Z$1048576,MATCH($C297,'Restaurant Base (Hidden)'!$C$2:$C$1048576,0),MATCH(K$6,'Restaurant Base (Hidden)'!$A$1:$Z$1,0)),"")</f>
        <v>0,128</v>
      </c>
      <c r="L297" s="51">
        <f>+IFERROR(INDEX('Restaurant Base (Hidden)'!$A$2:$Z$1048576,MATCH($C297,'Restaurant Base (Hidden)'!$C$2:$C$1048576,0),MATCH(L$6,'Restaurant Base (Hidden)'!$A$1:$Z$1,0)),"")</f>
        <v>3</v>
      </c>
      <c r="M297" s="2" t="str">
        <f>+IFERROR(INDEX('Restaurant Base (Hidden)'!$A$2:$Z$1048576,MATCH($C297,'Restaurant Base (Hidden)'!$C$2:$C$1048576,0),MATCH(M$6,'Restaurant Base (Hidden)'!$A$1:$Z$1,0)),"")</f>
        <v/>
      </c>
      <c r="N297" s="234" t="str">
        <f>+IFERROR(INDEX('Restaurant Base (Hidden)'!$A$2:$Z$1048576,MATCH($C297,'Restaurant Base (Hidden)'!$C$2:$C$1048576,0),MATCH(N$6,'Restaurant Base (Hidden)'!$A$1:$Z$1,0)),"")</f>
        <v>66,20 %</v>
      </c>
      <c r="O297" s="1">
        <f>+IFERROR(INDEX('Restaurant Base (Hidden)'!$A$2:$Z$1048576,MATCH($C297,'Restaurant Base (Hidden)'!$C$2:$C$1048576,0),MATCH(O$6,'Restaurant Base (Hidden)'!$A$1:$Z$1,0)),"")</f>
        <v>3</v>
      </c>
      <c r="P297" s="2" t="str">
        <f>+IFERROR(INDEX('Restaurant Base (Hidden)'!$A$2:$Z$1048576,MATCH($C297,'Restaurant Base (Hidden)'!$C$2:$C$1048576,0),MATCH(P$6,'Restaurant Base (Hidden)'!$A$1:$Z$1,0)),"")</f>
        <v/>
      </c>
      <c r="Q297" s="234" t="str">
        <f>+IFERROR(INDEX('Restaurant Base (Hidden)'!$A$2:$Z$1048576,MATCH($C297,'Restaurant Base (Hidden)'!$C$2:$C$1048576,0),MATCH(Q$6,'Restaurant Base (Hidden)'!$A$1:$Z$1,0)),"")</f>
        <v>66,60 %</v>
      </c>
      <c r="R297" s="1">
        <f>+IFERROR(INDEX('Restaurant Base (Hidden)'!$A$2:$Z$1048576,MATCH($C297,'Restaurant Base (Hidden)'!$C$2:$C$1048576,0),MATCH(R$6,'Restaurant Base (Hidden)'!$A$1:$Z$1,0)),"")</f>
        <v>3</v>
      </c>
      <c r="S297" s="2" t="str">
        <f>+IFERROR(INDEX('Restaurant Base (Hidden)'!$A$2:$Z$1048576,MATCH($C297,'Restaurant Base (Hidden)'!$C$2:$C$1048576,0),MATCH(S$6,'Restaurant Base (Hidden)'!$A$1:$Z$1,0)),"")</f>
        <v/>
      </c>
      <c r="T297" s="62">
        <f>+IFERROR(INDEX('Restaurant Base (Hidden)'!$A$2:$Z$1048576,MATCH($C297,'Restaurant Base (Hidden)'!$C$2:$C$1048576,0),MATCH(T$6,'Restaurant Base (Hidden)'!$A$1:$Z$1,0)),"")</f>
        <v>72.599999999999994</v>
      </c>
      <c r="U297" s="1">
        <f>+IFERROR(INDEX('Restaurant Base (Hidden)'!$A$2:$Z$1048576,MATCH($C297,'Restaurant Base (Hidden)'!$C$2:$C$1048576,0),MATCH(U$6,'Restaurant Base (Hidden)'!$A$1:$Z$1,0)),"")</f>
        <v>5</v>
      </c>
      <c r="V297" s="2" t="str">
        <f>+IFERROR(INDEX('Restaurant Base (Hidden)'!$A$2:$Z$1048576,MATCH($C297,'Restaurant Base (Hidden)'!$C$2:$C$1048576,0),MATCH(V$6,'Restaurant Base (Hidden)'!$A$1:$Z$1,0)),"")</f>
        <v/>
      </c>
      <c r="W297" s="65" t="str">
        <f>+IFERROR(INDEX('Restaurant Base (Hidden)'!$A$2:$Z$1048576,MATCH($C297,'Restaurant Base (Hidden)'!$C$2:$C$1048576,0),MATCH(W$6,'Restaurant Base (Hidden)'!$A$1:$Z$1,0)),"")</f>
        <v>59,80 %</v>
      </c>
      <c r="X297" s="1">
        <f>+IFERROR(INDEX('Restaurant Base (Hidden)'!$A$2:$Z$1048576,MATCH($C297,'Restaurant Base (Hidden)'!$C$2:$C$1048576,0),MATCH(X$6,'Restaurant Base (Hidden)'!$A$1:$Z$1,0)),"")</f>
        <v>1</v>
      </c>
      <c r="Y297" s="65" t="str">
        <f>+IFERROR(INDEX('Restaurant Base (Hidden)'!$A$2:$Z$1048576,MATCH($C297,'Restaurant Base (Hidden)'!$C$2:$C$1048576,0),MATCH(Y$6,'Restaurant Base (Hidden)'!$A$1:$Z$1,0)),"")</f>
        <v>97,80 %</v>
      </c>
      <c r="Z297" s="106">
        <f>+IFERROR(INDEX('Restaurant Base (Hidden)'!$A$2:$Z$1048576,MATCH($C297,'Restaurant Base (Hidden)'!$C$2:$C$1048576,0),MATCH(Z$6,'Restaurant Base (Hidden)'!$A$1:$Z$1,0)),"")</f>
        <v>4</v>
      </c>
      <c r="AA297" s="65" t="str">
        <f>+IFERROR(INDEX('Restaurant Base (Hidden)'!$A$2:$Z$1048576,MATCH($C297,'Restaurant Base (Hidden)'!$C$2:$C$1048576,0),MATCH(AA$6,'Restaurant Base (Hidden)'!$A$1:$Z$1,0)),"")</f>
        <v>58,50 %</v>
      </c>
      <c r="AB297" s="1">
        <f>+IFERROR(INDEX('Restaurant Base (Hidden)'!$A$2:$Z$1048576,MATCH($C297,'Restaurant Base (Hidden)'!$C$2:$C$1048576,0),MATCH(AB$6,'Restaurant Base (Hidden)'!$A$1:$Z$1,0)),"")</f>
        <v>1</v>
      </c>
      <c r="AC297" s="20" t="str">
        <f>+IFERROR(INDEX('Restaurant Base (Hidden)'!$A$2:$Z$1048576,MATCH($C297,'Restaurant Base (Hidden)'!$C$2:$C$1048576,0),MATCH(AC$6,'Restaurant Base (Hidden)'!$A$1:$Z$1,0)),"")</f>
        <v/>
      </c>
      <c r="AD297" s="65" t="str">
        <f>+IFERROR(INDEX('Restaurant Base (Hidden)'!$A$2:$Z$1048576,MATCH($C297,'Restaurant Base (Hidden)'!$C$2:$C$1048576,0),MATCH(AD$6,'Restaurant Base (Hidden)'!$A$1:$Z$1,0)),"")</f>
        <v>85,60 %</v>
      </c>
      <c r="AE297" s="1">
        <f>+IFERROR(INDEX('Restaurant Base (Hidden)'!$A$2:$Z$1048576,MATCH($C297,'Restaurant Base (Hidden)'!$C$2:$C$1048576,0),MATCH(AE$6,'Restaurant Base (Hidden)'!$A$1:$Z$1,0)),"")</f>
        <v>3</v>
      </c>
      <c r="AF297" s="65" t="str">
        <f>+IFERROR(INDEX('Restaurant Base (Hidden)'!$A$2:$Z$1048576,MATCH($C297,'Restaurant Base (Hidden)'!$C$2:$C$1048576,0),MATCH(AF$6,'Restaurant Base (Hidden)'!$A$1:$Z$1,0)),"")</f>
        <v>89,90 %</v>
      </c>
      <c r="AG297" s="1">
        <f>+IFERROR(INDEX('Restaurant Base (Hidden)'!$A$2:$Z$1048576,MATCH($C297,'Restaurant Base (Hidden)'!$C$2:$C$1048576,0),MATCH(AG$6,'Restaurant Base (Hidden)'!$A$1:$Z$1,0)),"")</f>
        <v>3</v>
      </c>
    </row>
    <row r="298" spans="1:33" x14ac:dyDescent="0.4">
      <c r="A298" s="163" t="str">
        <f>IF('Restaurant Base (Hidden)'!A388=0,"", 'Restaurant Base (Hidden)'!A388)</f>
        <v>Jamie Northcott</v>
      </c>
      <c r="B298" s="163" t="str">
        <f>IF('Restaurant Base (Hidden)'!B388=0,"", 'Restaurant Base (Hidden)'!B388)</f>
        <v>Silverbrook Dining</v>
      </c>
      <c r="C298" s="163" t="str">
        <f>IF('Restaurant Base (Hidden)'!C388=0,"", 'Restaurant Base (Hidden)'!C388)</f>
        <v>Crestfield Pines</v>
      </c>
      <c r="D298" s="104">
        <f t="shared" si="4"/>
        <v>291</v>
      </c>
      <c r="E298" s="105">
        <f>+IFERROR(INDEX('Restaurant Base (Hidden)'!$A$2:$Z$1048576,MATCH($C298,'Restaurant Base (Hidden)'!$C$2:$C$1048576,0),MATCH(E$6,'Restaurant Base (Hidden)'!$A$1:$Z$1,0)),"")</f>
        <v>2.73</v>
      </c>
      <c r="F298" s="2" t="str">
        <f>+IFERROR(INDEX('Restaurant Base (Hidden)'!$A$2:$Z$1048576,MATCH($C298,'Restaurant Base (Hidden)'!$C$2:$C$1048576,0),MATCH(F$6,'Restaurant Base (Hidden)'!$A$1:$Z$1,0)),"")</f>
        <v/>
      </c>
      <c r="G298" s="20" t="str">
        <f>+IFERROR(INDEX('Restaurant Base (Hidden)'!$A$2:$Z$1048576,MATCH($C298,'Restaurant Base (Hidden)'!$C$2:$C$1048576,0),MATCH(G$6,'Restaurant Base (Hidden)'!$A$1:$Z$1,0)),"")</f>
        <v>4,019</v>
      </c>
      <c r="H298" s="50">
        <f>+IFERROR(INDEX('Restaurant Base (Hidden)'!$A$2:$Z$1048576,MATCH($C298,'Restaurant Base (Hidden)'!$C$2:$C$1048576,0),MATCH(H$6,'Restaurant Base (Hidden)'!$A$1:$Z$1,0)),"")</f>
        <v>1</v>
      </c>
      <c r="I298" s="20" t="str">
        <f>+IFERROR(INDEX('Restaurant Base (Hidden)'!$A$2:$Z$1048576,MATCH($C298,'Restaurant Base (Hidden)'!$C$2:$C$1048576,0),MATCH(I$6,'Restaurant Base (Hidden)'!$A$1:$Z$1,0)),"")</f>
        <v>77,90 %</v>
      </c>
      <c r="J298" s="49">
        <f>+IFERROR(INDEX('Restaurant Base (Hidden)'!$A$2:$Z$1048576,MATCH($C298,'Restaurant Base (Hidden)'!$C$2:$C$1048576,0),MATCH(J$6,'Restaurant Base (Hidden)'!$A$1:$Z$1,0)),"")</f>
        <v>1</v>
      </c>
      <c r="K298" s="20" t="str">
        <f>+IFERROR(INDEX('Restaurant Base (Hidden)'!$A$2:$Z$1048576,MATCH($C298,'Restaurant Base (Hidden)'!$C$2:$C$1048576,0),MATCH(K$6,'Restaurant Base (Hidden)'!$A$1:$Z$1,0)),"")</f>
        <v>0,120</v>
      </c>
      <c r="L298" s="51">
        <f>+IFERROR(INDEX('Restaurant Base (Hidden)'!$A$2:$Z$1048576,MATCH($C298,'Restaurant Base (Hidden)'!$C$2:$C$1048576,0),MATCH(L$6,'Restaurant Base (Hidden)'!$A$1:$Z$1,0)),"")</f>
        <v>3</v>
      </c>
      <c r="M298" s="2" t="str">
        <f>+IFERROR(INDEX('Restaurant Base (Hidden)'!$A$2:$Z$1048576,MATCH($C298,'Restaurant Base (Hidden)'!$C$2:$C$1048576,0),MATCH(M$6,'Restaurant Base (Hidden)'!$A$1:$Z$1,0)),"")</f>
        <v/>
      </c>
      <c r="N298" s="234" t="str">
        <f>+IFERROR(INDEX('Restaurant Base (Hidden)'!$A$2:$Z$1048576,MATCH($C298,'Restaurant Base (Hidden)'!$C$2:$C$1048576,0),MATCH(N$6,'Restaurant Base (Hidden)'!$A$1:$Z$1,0)),"")</f>
        <v>93,80 %</v>
      </c>
      <c r="O298" s="1">
        <f>+IFERROR(INDEX('Restaurant Base (Hidden)'!$A$2:$Z$1048576,MATCH($C298,'Restaurant Base (Hidden)'!$C$2:$C$1048576,0),MATCH(O$6,'Restaurant Base (Hidden)'!$A$1:$Z$1,0)),"")</f>
        <v>5</v>
      </c>
      <c r="P298" s="2" t="str">
        <f>+IFERROR(INDEX('Restaurant Base (Hidden)'!$A$2:$Z$1048576,MATCH($C298,'Restaurant Base (Hidden)'!$C$2:$C$1048576,0),MATCH(P$6,'Restaurant Base (Hidden)'!$A$1:$Z$1,0)),"")</f>
        <v/>
      </c>
      <c r="Q298" s="234" t="str">
        <f>+IFERROR(INDEX('Restaurant Base (Hidden)'!$A$2:$Z$1048576,MATCH($C298,'Restaurant Base (Hidden)'!$C$2:$C$1048576,0),MATCH(Q$6,'Restaurant Base (Hidden)'!$A$1:$Z$1,0)),"")</f>
        <v>69,50 %</v>
      </c>
      <c r="R298" s="1">
        <f>+IFERROR(INDEX('Restaurant Base (Hidden)'!$A$2:$Z$1048576,MATCH($C298,'Restaurant Base (Hidden)'!$C$2:$C$1048576,0),MATCH(R$6,'Restaurant Base (Hidden)'!$A$1:$Z$1,0)),"")</f>
        <v>4</v>
      </c>
      <c r="S298" s="2" t="str">
        <f>+IFERROR(INDEX('Restaurant Base (Hidden)'!$A$2:$Z$1048576,MATCH($C298,'Restaurant Base (Hidden)'!$C$2:$C$1048576,0),MATCH(S$6,'Restaurant Base (Hidden)'!$A$1:$Z$1,0)),"")</f>
        <v/>
      </c>
      <c r="T298" s="62">
        <f>+IFERROR(INDEX('Restaurant Base (Hidden)'!$A$2:$Z$1048576,MATCH($C298,'Restaurant Base (Hidden)'!$C$2:$C$1048576,0),MATCH(T$6,'Restaurant Base (Hidden)'!$A$1:$Z$1,0)),"")</f>
        <v>60.7</v>
      </c>
      <c r="U298" s="1">
        <f>+IFERROR(INDEX('Restaurant Base (Hidden)'!$A$2:$Z$1048576,MATCH($C298,'Restaurant Base (Hidden)'!$C$2:$C$1048576,0),MATCH(U$6,'Restaurant Base (Hidden)'!$A$1:$Z$1,0)),"")</f>
        <v>2</v>
      </c>
      <c r="V298" s="2" t="str">
        <f>+IFERROR(INDEX('Restaurant Base (Hidden)'!$A$2:$Z$1048576,MATCH($C298,'Restaurant Base (Hidden)'!$C$2:$C$1048576,0),MATCH(V$6,'Restaurant Base (Hidden)'!$A$1:$Z$1,0)),"")</f>
        <v/>
      </c>
      <c r="W298" s="65" t="str">
        <f>+IFERROR(INDEX('Restaurant Base (Hidden)'!$A$2:$Z$1048576,MATCH($C298,'Restaurant Base (Hidden)'!$C$2:$C$1048576,0),MATCH(W$6,'Restaurant Base (Hidden)'!$A$1:$Z$1,0)),"")</f>
        <v>72,70 %</v>
      </c>
      <c r="X298" s="1">
        <f>+IFERROR(INDEX('Restaurant Base (Hidden)'!$A$2:$Z$1048576,MATCH($C298,'Restaurant Base (Hidden)'!$C$2:$C$1048576,0),MATCH(X$6,'Restaurant Base (Hidden)'!$A$1:$Z$1,0)),"")</f>
        <v>2</v>
      </c>
      <c r="Y298" s="65" t="str">
        <f>+IFERROR(INDEX('Restaurant Base (Hidden)'!$A$2:$Z$1048576,MATCH($C298,'Restaurant Base (Hidden)'!$C$2:$C$1048576,0),MATCH(Y$6,'Restaurant Base (Hidden)'!$A$1:$Z$1,0)),"")</f>
        <v>79,60 %</v>
      </c>
      <c r="Z298" s="106">
        <f>+IFERROR(INDEX('Restaurant Base (Hidden)'!$A$2:$Z$1048576,MATCH($C298,'Restaurant Base (Hidden)'!$C$2:$C$1048576,0),MATCH(Z$6,'Restaurant Base (Hidden)'!$A$1:$Z$1,0)),"")</f>
        <v>2</v>
      </c>
      <c r="AA298" s="65" t="str">
        <f>+IFERROR(INDEX('Restaurant Base (Hidden)'!$A$2:$Z$1048576,MATCH($C298,'Restaurant Base (Hidden)'!$C$2:$C$1048576,0),MATCH(AA$6,'Restaurant Base (Hidden)'!$A$1:$Z$1,0)),"")</f>
        <v>61,90 %</v>
      </c>
      <c r="AB298" s="1">
        <f>+IFERROR(INDEX('Restaurant Base (Hidden)'!$A$2:$Z$1048576,MATCH($C298,'Restaurant Base (Hidden)'!$C$2:$C$1048576,0),MATCH(AB$6,'Restaurant Base (Hidden)'!$A$1:$Z$1,0)),"")</f>
        <v>2</v>
      </c>
      <c r="AC298" s="20" t="str">
        <f>+IFERROR(INDEX('Restaurant Base (Hidden)'!$A$2:$Z$1048576,MATCH($C298,'Restaurant Base (Hidden)'!$C$2:$C$1048576,0),MATCH(AC$6,'Restaurant Base (Hidden)'!$A$1:$Z$1,0)),"")</f>
        <v/>
      </c>
      <c r="AD298" s="65" t="str">
        <f>+IFERROR(INDEX('Restaurant Base (Hidden)'!$A$2:$Z$1048576,MATCH($C298,'Restaurant Base (Hidden)'!$C$2:$C$1048576,0),MATCH(AD$6,'Restaurant Base (Hidden)'!$A$1:$Z$1,0)),"")</f>
        <v>97,80 %</v>
      </c>
      <c r="AE298" s="1">
        <f>+IFERROR(INDEX('Restaurant Base (Hidden)'!$A$2:$Z$1048576,MATCH($C298,'Restaurant Base (Hidden)'!$C$2:$C$1048576,0),MATCH(AE$6,'Restaurant Base (Hidden)'!$A$1:$Z$1,0)),"")</f>
        <v>5</v>
      </c>
      <c r="AF298" s="65" t="str">
        <f>+IFERROR(INDEX('Restaurant Base (Hidden)'!$A$2:$Z$1048576,MATCH($C298,'Restaurant Base (Hidden)'!$C$2:$C$1048576,0),MATCH(AF$6,'Restaurant Base (Hidden)'!$A$1:$Z$1,0)),"")</f>
        <v>60,00 %</v>
      </c>
      <c r="AG298" s="1">
        <f>+IFERROR(INDEX('Restaurant Base (Hidden)'!$A$2:$Z$1048576,MATCH($C298,'Restaurant Base (Hidden)'!$C$2:$C$1048576,0),MATCH(AG$6,'Restaurant Base (Hidden)'!$A$1:$Z$1,0)),"")</f>
        <v>1</v>
      </c>
    </row>
    <row r="299" spans="1:33" x14ac:dyDescent="0.4">
      <c r="A299" s="163" t="str">
        <f>IF('Restaurant Base (Hidden)'!A158=0,"", 'Restaurant Base (Hidden)'!A158)</f>
        <v>Kendall Prescott</v>
      </c>
      <c r="B299" s="163" t="str">
        <f>IF('Restaurant Base (Hidden)'!B158=0,"", 'Restaurant Base (Hidden)'!B158)</f>
        <v>Havenbrook Restaurants</v>
      </c>
      <c r="C299" s="163" t="str">
        <f>IF('Restaurant Base (Hidden)'!C158=0,"", 'Restaurant Base (Hidden)'!C158)</f>
        <v>Eagle Pines</v>
      </c>
      <c r="D299" s="104">
        <f t="shared" si="4"/>
        <v>293</v>
      </c>
      <c r="E299" s="105">
        <f>+IFERROR(INDEX('Restaurant Base (Hidden)'!$A$2:$Z$1048576,MATCH($C299,'Restaurant Base (Hidden)'!$C$2:$C$1048576,0),MATCH(E$6,'Restaurant Base (Hidden)'!$A$1:$Z$1,0)),"")</f>
        <v>2.72</v>
      </c>
      <c r="F299" s="2" t="str">
        <f>+IFERROR(INDEX('Restaurant Base (Hidden)'!$A$2:$Z$1048576,MATCH($C299,'Restaurant Base (Hidden)'!$C$2:$C$1048576,0),MATCH(F$6,'Restaurant Base (Hidden)'!$A$1:$Z$1,0)),"")</f>
        <v/>
      </c>
      <c r="G299" s="20" t="str">
        <f>+IFERROR(INDEX('Restaurant Base (Hidden)'!$A$2:$Z$1048576,MATCH($C299,'Restaurant Base (Hidden)'!$C$2:$C$1048576,0),MATCH(G$6,'Restaurant Base (Hidden)'!$A$1:$Z$1,0)),"")</f>
        <v>4,615</v>
      </c>
      <c r="H299" s="50">
        <f>+IFERROR(INDEX('Restaurant Base (Hidden)'!$A$2:$Z$1048576,MATCH($C299,'Restaurant Base (Hidden)'!$C$2:$C$1048576,0),MATCH(H$6,'Restaurant Base (Hidden)'!$A$1:$Z$1,0)),"")</f>
        <v>5</v>
      </c>
      <c r="I299" s="20" t="str">
        <f>+IFERROR(INDEX('Restaurant Base (Hidden)'!$A$2:$Z$1048576,MATCH($C299,'Restaurant Base (Hidden)'!$C$2:$C$1048576,0),MATCH(I$6,'Restaurant Base (Hidden)'!$A$1:$Z$1,0)),"")</f>
        <v>93,50 %</v>
      </c>
      <c r="J299" s="49">
        <f>+IFERROR(INDEX('Restaurant Base (Hidden)'!$A$2:$Z$1048576,MATCH($C299,'Restaurant Base (Hidden)'!$C$2:$C$1048576,0),MATCH(J$6,'Restaurant Base (Hidden)'!$A$1:$Z$1,0)),"")</f>
        <v>4</v>
      </c>
      <c r="K299" s="20" t="str">
        <f>+IFERROR(INDEX('Restaurant Base (Hidden)'!$A$2:$Z$1048576,MATCH($C299,'Restaurant Base (Hidden)'!$C$2:$C$1048576,0),MATCH(K$6,'Restaurant Base (Hidden)'!$A$1:$Z$1,0)),"")</f>
        <v>0,069</v>
      </c>
      <c r="L299" s="51">
        <f>+IFERROR(INDEX('Restaurant Base (Hidden)'!$A$2:$Z$1048576,MATCH($C299,'Restaurant Base (Hidden)'!$C$2:$C$1048576,0),MATCH(L$6,'Restaurant Base (Hidden)'!$A$1:$Z$1,0)),"")</f>
        <v>4</v>
      </c>
      <c r="M299" s="2" t="str">
        <f>+IFERROR(INDEX('Restaurant Base (Hidden)'!$A$2:$Z$1048576,MATCH($C299,'Restaurant Base (Hidden)'!$C$2:$C$1048576,0),MATCH(M$6,'Restaurant Base (Hidden)'!$A$1:$Z$1,0)),"")</f>
        <v/>
      </c>
      <c r="N299" s="234" t="str">
        <f>+IFERROR(INDEX('Restaurant Base (Hidden)'!$A$2:$Z$1048576,MATCH($C299,'Restaurant Base (Hidden)'!$C$2:$C$1048576,0),MATCH(N$6,'Restaurant Base (Hidden)'!$A$1:$Z$1,0)),"")</f>
        <v>70,60 %</v>
      </c>
      <c r="O299" s="1">
        <f>+IFERROR(INDEX('Restaurant Base (Hidden)'!$A$2:$Z$1048576,MATCH($C299,'Restaurant Base (Hidden)'!$C$2:$C$1048576,0),MATCH(O$6,'Restaurant Base (Hidden)'!$A$1:$Z$1,0)),"")</f>
        <v>4</v>
      </c>
      <c r="P299" s="2" t="str">
        <f>+IFERROR(INDEX('Restaurant Base (Hidden)'!$A$2:$Z$1048576,MATCH($C299,'Restaurant Base (Hidden)'!$C$2:$C$1048576,0),MATCH(P$6,'Restaurant Base (Hidden)'!$A$1:$Z$1,0)),"")</f>
        <v/>
      </c>
      <c r="Q299" s="234" t="str">
        <f>+IFERROR(INDEX('Restaurant Base (Hidden)'!$A$2:$Z$1048576,MATCH($C299,'Restaurant Base (Hidden)'!$C$2:$C$1048576,0),MATCH(Q$6,'Restaurant Base (Hidden)'!$A$1:$Z$1,0)),"")</f>
        <v>63,70 %</v>
      </c>
      <c r="R299" s="1">
        <f>+IFERROR(INDEX('Restaurant Base (Hidden)'!$A$2:$Z$1048576,MATCH($C299,'Restaurant Base (Hidden)'!$C$2:$C$1048576,0),MATCH(R$6,'Restaurant Base (Hidden)'!$A$1:$Z$1,0)),"")</f>
        <v>2</v>
      </c>
      <c r="S299" s="2" t="str">
        <f>+IFERROR(INDEX('Restaurant Base (Hidden)'!$A$2:$Z$1048576,MATCH($C299,'Restaurant Base (Hidden)'!$C$2:$C$1048576,0),MATCH(S$6,'Restaurant Base (Hidden)'!$A$1:$Z$1,0)),"")</f>
        <v/>
      </c>
      <c r="T299" s="62">
        <f>+IFERROR(INDEX('Restaurant Base (Hidden)'!$A$2:$Z$1048576,MATCH($C299,'Restaurant Base (Hidden)'!$C$2:$C$1048576,0),MATCH(T$6,'Restaurant Base (Hidden)'!$A$1:$Z$1,0)),"")</f>
        <v>56.4</v>
      </c>
      <c r="U299" s="1">
        <f>+IFERROR(INDEX('Restaurant Base (Hidden)'!$A$2:$Z$1048576,MATCH($C299,'Restaurant Base (Hidden)'!$C$2:$C$1048576,0),MATCH(U$6,'Restaurant Base (Hidden)'!$A$1:$Z$1,0)),"")</f>
        <v>1</v>
      </c>
      <c r="V299" s="2" t="str">
        <f>+IFERROR(INDEX('Restaurant Base (Hidden)'!$A$2:$Z$1048576,MATCH($C299,'Restaurant Base (Hidden)'!$C$2:$C$1048576,0),MATCH(V$6,'Restaurant Base (Hidden)'!$A$1:$Z$1,0)),"")</f>
        <v/>
      </c>
      <c r="W299" s="65" t="str">
        <f>+IFERROR(INDEX('Restaurant Base (Hidden)'!$A$2:$Z$1048576,MATCH($C299,'Restaurant Base (Hidden)'!$C$2:$C$1048576,0),MATCH(W$6,'Restaurant Base (Hidden)'!$A$1:$Z$1,0)),"")</f>
        <v>77,20 %</v>
      </c>
      <c r="X299" s="1">
        <f>+IFERROR(INDEX('Restaurant Base (Hidden)'!$A$2:$Z$1048576,MATCH($C299,'Restaurant Base (Hidden)'!$C$2:$C$1048576,0),MATCH(X$6,'Restaurant Base (Hidden)'!$A$1:$Z$1,0)),"")</f>
        <v>2</v>
      </c>
      <c r="Y299" s="65" t="str">
        <f>+IFERROR(INDEX('Restaurant Base (Hidden)'!$A$2:$Z$1048576,MATCH($C299,'Restaurant Base (Hidden)'!$C$2:$C$1048576,0),MATCH(Y$6,'Restaurant Base (Hidden)'!$A$1:$Z$1,0)),"")</f>
        <v>85,20 %</v>
      </c>
      <c r="Z299" s="106">
        <f>+IFERROR(INDEX('Restaurant Base (Hidden)'!$A$2:$Z$1048576,MATCH($C299,'Restaurant Base (Hidden)'!$C$2:$C$1048576,0),MATCH(Z$6,'Restaurant Base (Hidden)'!$A$1:$Z$1,0)),"")</f>
        <v>3</v>
      </c>
      <c r="AA299" s="65" t="str">
        <f>+IFERROR(INDEX('Restaurant Base (Hidden)'!$A$2:$Z$1048576,MATCH($C299,'Restaurant Base (Hidden)'!$C$2:$C$1048576,0),MATCH(AA$6,'Restaurant Base (Hidden)'!$A$1:$Z$1,0)),"")</f>
        <v>69,30 %</v>
      </c>
      <c r="AB299" s="1">
        <f>+IFERROR(INDEX('Restaurant Base (Hidden)'!$A$2:$Z$1048576,MATCH($C299,'Restaurant Base (Hidden)'!$C$2:$C$1048576,0),MATCH(AB$6,'Restaurant Base (Hidden)'!$A$1:$Z$1,0)),"")</f>
        <v>2</v>
      </c>
      <c r="AC299" s="20" t="str">
        <f>+IFERROR(INDEX('Restaurant Base (Hidden)'!$A$2:$Z$1048576,MATCH($C299,'Restaurant Base (Hidden)'!$C$2:$C$1048576,0),MATCH(AC$6,'Restaurant Base (Hidden)'!$A$1:$Z$1,0)),"")</f>
        <v/>
      </c>
      <c r="AD299" s="65" t="str">
        <f>+IFERROR(INDEX('Restaurant Base (Hidden)'!$A$2:$Z$1048576,MATCH($C299,'Restaurant Base (Hidden)'!$C$2:$C$1048576,0),MATCH(AD$6,'Restaurant Base (Hidden)'!$A$1:$Z$1,0)),"")</f>
        <v>81,00 %</v>
      </c>
      <c r="AE299" s="1">
        <f>+IFERROR(INDEX('Restaurant Base (Hidden)'!$A$2:$Z$1048576,MATCH($C299,'Restaurant Base (Hidden)'!$C$2:$C$1048576,0),MATCH(AE$6,'Restaurant Base (Hidden)'!$A$1:$Z$1,0)),"")</f>
        <v>2</v>
      </c>
      <c r="AF299" s="65" t="str">
        <f>+IFERROR(INDEX('Restaurant Base (Hidden)'!$A$2:$Z$1048576,MATCH($C299,'Restaurant Base (Hidden)'!$C$2:$C$1048576,0),MATCH(AF$6,'Restaurant Base (Hidden)'!$A$1:$Z$1,0)),"")</f>
        <v>66,50 %</v>
      </c>
      <c r="AG299" s="1">
        <f>+IFERROR(INDEX('Restaurant Base (Hidden)'!$A$2:$Z$1048576,MATCH($C299,'Restaurant Base (Hidden)'!$C$2:$C$1048576,0),MATCH(AG$6,'Restaurant Base (Hidden)'!$A$1:$Z$1,0)),"")</f>
        <v>1</v>
      </c>
    </row>
    <row r="300" spans="1:33" x14ac:dyDescent="0.4">
      <c r="A300" s="163" t="str">
        <f>IF('Restaurant Base (Hidden)'!A194=0,"", 'Restaurant Base (Hidden)'!A194)</f>
        <v>Rowan Kingsley</v>
      </c>
      <c r="B300" s="163" t="str">
        <f>IF('Restaurant Base (Hidden)'!B194=0,"", 'Restaurant Base (Hidden)'!B194)</f>
        <v>Ridgeway Restaurants</v>
      </c>
      <c r="C300" s="163" t="str">
        <f>IF('Restaurant Base (Hidden)'!C194=0,"", 'Restaurant Base (Hidden)'!C194)</f>
        <v>River View</v>
      </c>
      <c r="D300" s="104">
        <f t="shared" si="4"/>
        <v>293</v>
      </c>
      <c r="E300" s="105">
        <f>+IFERROR(INDEX('Restaurant Base (Hidden)'!$A$2:$Z$1048576,MATCH($C300,'Restaurant Base (Hidden)'!$C$2:$C$1048576,0),MATCH(E$6,'Restaurant Base (Hidden)'!$A$1:$Z$1,0)),"")</f>
        <v>2.72</v>
      </c>
      <c r="F300" s="2" t="str">
        <f>+IFERROR(INDEX('Restaurant Base (Hidden)'!$A$2:$Z$1048576,MATCH($C300,'Restaurant Base (Hidden)'!$C$2:$C$1048576,0),MATCH(F$6,'Restaurant Base (Hidden)'!$A$1:$Z$1,0)),"")</f>
        <v/>
      </c>
      <c r="G300" s="20" t="str">
        <f>+IFERROR(INDEX('Restaurant Base (Hidden)'!$A$2:$Z$1048576,MATCH($C300,'Restaurant Base (Hidden)'!$C$2:$C$1048576,0),MATCH(G$6,'Restaurant Base (Hidden)'!$A$1:$Z$1,0)),"")</f>
        <v>4,050</v>
      </c>
      <c r="H300" s="50">
        <f>+IFERROR(INDEX('Restaurant Base (Hidden)'!$A$2:$Z$1048576,MATCH($C300,'Restaurant Base (Hidden)'!$C$2:$C$1048576,0),MATCH(H$6,'Restaurant Base (Hidden)'!$A$1:$Z$1,0)),"")</f>
        <v>2</v>
      </c>
      <c r="I300" s="20" t="str">
        <f>+IFERROR(INDEX('Restaurant Base (Hidden)'!$A$2:$Z$1048576,MATCH($C300,'Restaurant Base (Hidden)'!$C$2:$C$1048576,0),MATCH(I$6,'Restaurant Base (Hidden)'!$A$1:$Z$1,0)),"")</f>
        <v>96,60 %</v>
      </c>
      <c r="J300" s="49">
        <f>+IFERROR(INDEX('Restaurant Base (Hidden)'!$A$2:$Z$1048576,MATCH($C300,'Restaurant Base (Hidden)'!$C$2:$C$1048576,0),MATCH(J$6,'Restaurant Base (Hidden)'!$A$1:$Z$1,0)),"")</f>
        <v>5</v>
      </c>
      <c r="K300" s="20" t="str">
        <f>+IFERROR(INDEX('Restaurant Base (Hidden)'!$A$2:$Z$1048576,MATCH($C300,'Restaurant Base (Hidden)'!$C$2:$C$1048576,0),MATCH(K$6,'Restaurant Base (Hidden)'!$A$1:$Z$1,0)),"")</f>
        <v>0,086</v>
      </c>
      <c r="L300" s="51">
        <f>+IFERROR(INDEX('Restaurant Base (Hidden)'!$A$2:$Z$1048576,MATCH($C300,'Restaurant Base (Hidden)'!$C$2:$C$1048576,0),MATCH(L$6,'Restaurant Base (Hidden)'!$A$1:$Z$1,0)),"")</f>
        <v>4</v>
      </c>
      <c r="M300" s="2" t="str">
        <f>+IFERROR(INDEX('Restaurant Base (Hidden)'!$A$2:$Z$1048576,MATCH($C300,'Restaurant Base (Hidden)'!$C$2:$C$1048576,0),MATCH(M$6,'Restaurant Base (Hidden)'!$A$1:$Z$1,0)),"")</f>
        <v/>
      </c>
      <c r="N300" s="234" t="str">
        <f>+IFERROR(INDEX('Restaurant Base (Hidden)'!$A$2:$Z$1048576,MATCH($C300,'Restaurant Base (Hidden)'!$C$2:$C$1048576,0),MATCH(N$6,'Restaurant Base (Hidden)'!$A$1:$Z$1,0)),"")</f>
        <v>70,80 %</v>
      </c>
      <c r="O300" s="1">
        <f>+IFERROR(INDEX('Restaurant Base (Hidden)'!$A$2:$Z$1048576,MATCH($C300,'Restaurant Base (Hidden)'!$C$2:$C$1048576,0),MATCH(O$6,'Restaurant Base (Hidden)'!$A$1:$Z$1,0)),"")</f>
        <v>4</v>
      </c>
      <c r="P300" s="2" t="str">
        <f>+IFERROR(INDEX('Restaurant Base (Hidden)'!$A$2:$Z$1048576,MATCH($C300,'Restaurant Base (Hidden)'!$C$2:$C$1048576,0),MATCH(P$6,'Restaurant Base (Hidden)'!$A$1:$Z$1,0)),"")</f>
        <v/>
      </c>
      <c r="Q300" s="234" t="str">
        <f>+IFERROR(INDEX('Restaurant Base (Hidden)'!$A$2:$Z$1048576,MATCH($C300,'Restaurant Base (Hidden)'!$C$2:$C$1048576,0),MATCH(Q$6,'Restaurant Base (Hidden)'!$A$1:$Z$1,0)),"")</f>
        <v>55,40 %</v>
      </c>
      <c r="R300" s="1">
        <f>+IFERROR(INDEX('Restaurant Base (Hidden)'!$A$2:$Z$1048576,MATCH($C300,'Restaurant Base (Hidden)'!$C$2:$C$1048576,0),MATCH(R$6,'Restaurant Base (Hidden)'!$A$1:$Z$1,0)),"")</f>
        <v>1</v>
      </c>
      <c r="S300" s="2" t="str">
        <f>+IFERROR(INDEX('Restaurant Base (Hidden)'!$A$2:$Z$1048576,MATCH($C300,'Restaurant Base (Hidden)'!$C$2:$C$1048576,0),MATCH(S$6,'Restaurant Base (Hidden)'!$A$1:$Z$1,0)),"")</f>
        <v/>
      </c>
      <c r="T300" s="62">
        <f>+IFERROR(INDEX('Restaurant Base (Hidden)'!$A$2:$Z$1048576,MATCH($C300,'Restaurant Base (Hidden)'!$C$2:$C$1048576,0),MATCH(T$6,'Restaurant Base (Hidden)'!$A$1:$Z$1,0)),"")</f>
        <v>56.1</v>
      </c>
      <c r="U300" s="1">
        <f>+IFERROR(INDEX('Restaurant Base (Hidden)'!$A$2:$Z$1048576,MATCH($C300,'Restaurant Base (Hidden)'!$C$2:$C$1048576,0),MATCH(U$6,'Restaurant Base (Hidden)'!$A$1:$Z$1,0)),"")</f>
        <v>1</v>
      </c>
      <c r="V300" s="2" t="str">
        <f>+IFERROR(INDEX('Restaurant Base (Hidden)'!$A$2:$Z$1048576,MATCH($C300,'Restaurant Base (Hidden)'!$C$2:$C$1048576,0),MATCH(V$6,'Restaurant Base (Hidden)'!$A$1:$Z$1,0)),"")</f>
        <v/>
      </c>
      <c r="W300" s="65" t="str">
        <f>+IFERROR(INDEX('Restaurant Base (Hidden)'!$A$2:$Z$1048576,MATCH($C300,'Restaurant Base (Hidden)'!$C$2:$C$1048576,0),MATCH(W$6,'Restaurant Base (Hidden)'!$A$1:$Z$1,0)),"")</f>
        <v>96,40 %</v>
      </c>
      <c r="X300" s="1">
        <f>+IFERROR(INDEX('Restaurant Base (Hidden)'!$A$2:$Z$1048576,MATCH($C300,'Restaurant Base (Hidden)'!$C$2:$C$1048576,0),MATCH(X$6,'Restaurant Base (Hidden)'!$A$1:$Z$1,0)),"")</f>
        <v>4</v>
      </c>
      <c r="Y300" s="65" t="str">
        <f>+IFERROR(INDEX('Restaurant Base (Hidden)'!$A$2:$Z$1048576,MATCH($C300,'Restaurant Base (Hidden)'!$C$2:$C$1048576,0),MATCH(Y$6,'Restaurant Base (Hidden)'!$A$1:$Z$1,0)),"")</f>
        <v>73,80 %</v>
      </c>
      <c r="Z300" s="106">
        <f>+IFERROR(INDEX('Restaurant Base (Hidden)'!$A$2:$Z$1048576,MATCH($C300,'Restaurant Base (Hidden)'!$C$2:$C$1048576,0),MATCH(Z$6,'Restaurant Base (Hidden)'!$A$1:$Z$1,0)),"")</f>
        <v>2</v>
      </c>
      <c r="AA300" s="65" t="str">
        <f>+IFERROR(INDEX('Restaurant Base (Hidden)'!$A$2:$Z$1048576,MATCH($C300,'Restaurant Base (Hidden)'!$C$2:$C$1048576,0),MATCH(AA$6,'Restaurant Base (Hidden)'!$A$1:$Z$1,0)),"")</f>
        <v>73,10 %</v>
      </c>
      <c r="AB300" s="1">
        <f>+IFERROR(INDEX('Restaurant Base (Hidden)'!$A$2:$Z$1048576,MATCH($C300,'Restaurant Base (Hidden)'!$C$2:$C$1048576,0),MATCH(AB$6,'Restaurant Base (Hidden)'!$A$1:$Z$1,0)),"")</f>
        <v>2</v>
      </c>
      <c r="AC300" s="20" t="str">
        <f>+IFERROR(INDEX('Restaurant Base (Hidden)'!$A$2:$Z$1048576,MATCH($C300,'Restaurant Base (Hidden)'!$C$2:$C$1048576,0),MATCH(AC$6,'Restaurant Base (Hidden)'!$A$1:$Z$1,0)),"")</f>
        <v/>
      </c>
      <c r="AD300" s="65" t="str">
        <f>+IFERROR(INDEX('Restaurant Base (Hidden)'!$A$2:$Z$1048576,MATCH($C300,'Restaurant Base (Hidden)'!$C$2:$C$1048576,0),MATCH(AD$6,'Restaurant Base (Hidden)'!$A$1:$Z$1,0)),"")</f>
        <v>67,60 %</v>
      </c>
      <c r="AE300" s="1">
        <f>+IFERROR(INDEX('Restaurant Base (Hidden)'!$A$2:$Z$1048576,MATCH($C300,'Restaurant Base (Hidden)'!$C$2:$C$1048576,0),MATCH(AE$6,'Restaurant Base (Hidden)'!$A$1:$Z$1,0)),"")</f>
        <v>1</v>
      </c>
      <c r="AF300" s="65" t="str">
        <f>+IFERROR(INDEX('Restaurant Base (Hidden)'!$A$2:$Z$1048576,MATCH($C300,'Restaurant Base (Hidden)'!$C$2:$C$1048576,0),MATCH(AF$6,'Restaurant Base (Hidden)'!$A$1:$Z$1,0)),"")</f>
        <v>96,10 %</v>
      </c>
      <c r="AG300" s="1">
        <f>+IFERROR(INDEX('Restaurant Base (Hidden)'!$A$2:$Z$1048576,MATCH($C300,'Restaurant Base (Hidden)'!$C$2:$C$1048576,0),MATCH(AG$6,'Restaurant Base (Hidden)'!$A$1:$Z$1,0)),"")</f>
        <v>4</v>
      </c>
    </row>
    <row r="301" spans="1:33" x14ac:dyDescent="0.4">
      <c r="A301" s="163" t="str">
        <f>IF('Restaurant Base (Hidden)'!A239=0,"", 'Restaurant Base (Hidden)'!A239)</f>
        <v>Elliot Hawthorne</v>
      </c>
      <c r="B301" s="163" t="str">
        <f>IF('Restaurant Base (Hidden)'!B239=0,"", 'Restaurant Base (Hidden)'!B239)</f>
        <v>Pinecrest Hospitality</v>
      </c>
      <c r="C301" s="163" t="str">
        <f>IF('Restaurant Base (Hidden)'!C239=0,"", 'Restaurant Base (Hidden)'!C239)</f>
        <v>Riverside Crescent</v>
      </c>
      <c r="D301" s="104">
        <f t="shared" si="4"/>
        <v>293</v>
      </c>
      <c r="E301" s="105">
        <f>+IFERROR(INDEX('Restaurant Base (Hidden)'!$A$2:$Z$1048576,MATCH($C301,'Restaurant Base (Hidden)'!$C$2:$C$1048576,0),MATCH(E$6,'Restaurant Base (Hidden)'!$A$1:$Z$1,0)),"")</f>
        <v>2.72</v>
      </c>
      <c r="F301" s="2" t="str">
        <f>+IFERROR(INDEX('Restaurant Base (Hidden)'!$A$2:$Z$1048576,MATCH($C301,'Restaurant Base (Hidden)'!$C$2:$C$1048576,0),MATCH(F$6,'Restaurant Base (Hidden)'!$A$1:$Z$1,0)),"")</f>
        <v/>
      </c>
      <c r="G301" s="20" t="str">
        <f>+IFERROR(INDEX('Restaurant Base (Hidden)'!$A$2:$Z$1048576,MATCH($C301,'Restaurant Base (Hidden)'!$C$2:$C$1048576,0),MATCH(G$6,'Restaurant Base (Hidden)'!$A$1:$Z$1,0)),"")</f>
        <v>4,116</v>
      </c>
      <c r="H301" s="50">
        <f>+IFERROR(INDEX('Restaurant Base (Hidden)'!$A$2:$Z$1048576,MATCH($C301,'Restaurant Base (Hidden)'!$C$2:$C$1048576,0),MATCH(H$6,'Restaurant Base (Hidden)'!$A$1:$Z$1,0)),"")</f>
        <v>2</v>
      </c>
      <c r="I301" s="20" t="str">
        <f>+IFERROR(INDEX('Restaurant Base (Hidden)'!$A$2:$Z$1048576,MATCH($C301,'Restaurant Base (Hidden)'!$C$2:$C$1048576,0),MATCH(I$6,'Restaurant Base (Hidden)'!$A$1:$Z$1,0)),"")</f>
        <v>76,40 %</v>
      </c>
      <c r="J301" s="49">
        <f>+IFERROR(INDEX('Restaurant Base (Hidden)'!$A$2:$Z$1048576,MATCH($C301,'Restaurant Base (Hidden)'!$C$2:$C$1048576,0),MATCH(J$6,'Restaurant Base (Hidden)'!$A$1:$Z$1,0)),"")</f>
        <v>1</v>
      </c>
      <c r="K301" s="20" t="str">
        <f>+IFERROR(INDEX('Restaurant Base (Hidden)'!$A$2:$Z$1048576,MATCH($C301,'Restaurant Base (Hidden)'!$C$2:$C$1048576,0),MATCH(K$6,'Restaurant Base (Hidden)'!$A$1:$Z$1,0)),"")</f>
        <v>0,046</v>
      </c>
      <c r="L301" s="51">
        <f>+IFERROR(INDEX('Restaurant Base (Hidden)'!$A$2:$Z$1048576,MATCH($C301,'Restaurant Base (Hidden)'!$C$2:$C$1048576,0),MATCH(L$6,'Restaurant Base (Hidden)'!$A$1:$Z$1,0)),"")</f>
        <v>5</v>
      </c>
      <c r="M301" s="2" t="str">
        <f>+IFERROR(INDEX('Restaurant Base (Hidden)'!$A$2:$Z$1048576,MATCH($C301,'Restaurant Base (Hidden)'!$C$2:$C$1048576,0),MATCH(M$6,'Restaurant Base (Hidden)'!$A$1:$Z$1,0)),"")</f>
        <v/>
      </c>
      <c r="N301" s="234" t="str">
        <f>+IFERROR(INDEX('Restaurant Base (Hidden)'!$A$2:$Z$1048576,MATCH($C301,'Restaurant Base (Hidden)'!$C$2:$C$1048576,0),MATCH(N$6,'Restaurant Base (Hidden)'!$A$1:$Z$1,0)),"")</f>
        <v>66,00 %</v>
      </c>
      <c r="O301" s="1">
        <f>+IFERROR(INDEX('Restaurant Base (Hidden)'!$A$2:$Z$1048576,MATCH($C301,'Restaurant Base (Hidden)'!$C$2:$C$1048576,0),MATCH(O$6,'Restaurant Base (Hidden)'!$A$1:$Z$1,0)),"")</f>
        <v>3</v>
      </c>
      <c r="P301" s="2" t="str">
        <f>+IFERROR(INDEX('Restaurant Base (Hidden)'!$A$2:$Z$1048576,MATCH($C301,'Restaurant Base (Hidden)'!$C$2:$C$1048576,0),MATCH(P$6,'Restaurant Base (Hidden)'!$A$1:$Z$1,0)),"")</f>
        <v/>
      </c>
      <c r="Q301" s="234" t="str">
        <f>+IFERROR(INDEX('Restaurant Base (Hidden)'!$A$2:$Z$1048576,MATCH($C301,'Restaurant Base (Hidden)'!$C$2:$C$1048576,0),MATCH(Q$6,'Restaurant Base (Hidden)'!$A$1:$Z$1,0)),"")</f>
        <v>78,90 %</v>
      </c>
      <c r="R301" s="1">
        <f>+IFERROR(INDEX('Restaurant Base (Hidden)'!$A$2:$Z$1048576,MATCH($C301,'Restaurant Base (Hidden)'!$C$2:$C$1048576,0),MATCH(R$6,'Restaurant Base (Hidden)'!$A$1:$Z$1,0)),"")</f>
        <v>5</v>
      </c>
      <c r="S301" s="2" t="str">
        <f>+IFERROR(INDEX('Restaurant Base (Hidden)'!$A$2:$Z$1048576,MATCH($C301,'Restaurant Base (Hidden)'!$C$2:$C$1048576,0),MATCH(S$6,'Restaurant Base (Hidden)'!$A$1:$Z$1,0)),"")</f>
        <v/>
      </c>
      <c r="T301" s="62">
        <f>+IFERROR(INDEX('Restaurant Base (Hidden)'!$A$2:$Z$1048576,MATCH($C301,'Restaurant Base (Hidden)'!$C$2:$C$1048576,0),MATCH(T$6,'Restaurant Base (Hidden)'!$A$1:$Z$1,0)),"")</f>
        <v>63.1</v>
      </c>
      <c r="U301" s="1">
        <f>+IFERROR(INDEX('Restaurant Base (Hidden)'!$A$2:$Z$1048576,MATCH($C301,'Restaurant Base (Hidden)'!$C$2:$C$1048576,0),MATCH(U$6,'Restaurant Base (Hidden)'!$A$1:$Z$1,0)),"")</f>
        <v>3</v>
      </c>
      <c r="V301" s="2" t="str">
        <f>+IFERROR(INDEX('Restaurant Base (Hidden)'!$A$2:$Z$1048576,MATCH($C301,'Restaurant Base (Hidden)'!$C$2:$C$1048576,0),MATCH(V$6,'Restaurant Base (Hidden)'!$A$1:$Z$1,0)),"")</f>
        <v/>
      </c>
      <c r="W301" s="65" t="str">
        <f>+IFERROR(INDEX('Restaurant Base (Hidden)'!$A$2:$Z$1048576,MATCH($C301,'Restaurant Base (Hidden)'!$C$2:$C$1048576,0),MATCH(W$6,'Restaurant Base (Hidden)'!$A$1:$Z$1,0)),"")</f>
        <v>67,70 %</v>
      </c>
      <c r="X301" s="1">
        <f>+IFERROR(INDEX('Restaurant Base (Hidden)'!$A$2:$Z$1048576,MATCH($C301,'Restaurant Base (Hidden)'!$C$2:$C$1048576,0),MATCH(X$6,'Restaurant Base (Hidden)'!$A$1:$Z$1,0)),"")</f>
        <v>2</v>
      </c>
      <c r="Y301" s="65" t="str">
        <f>+IFERROR(INDEX('Restaurant Base (Hidden)'!$A$2:$Z$1048576,MATCH($C301,'Restaurant Base (Hidden)'!$C$2:$C$1048576,0),MATCH(Y$6,'Restaurant Base (Hidden)'!$A$1:$Z$1,0)),"")</f>
        <v>77,30 %</v>
      </c>
      <c r="Z301" s="106">
        <f>+IFERROR(INDEX('Restaurant Base (Hidden)'!$A$2:$Z$1048576,MATCH($C301,'Restaurant Base (Hidden)'!$C$2:$C$1048576,0),MATCH(Z$6,'Restaurant Base (Hidden)'!$A$1:$Z$1,0)),"")</f>
        <v>2</v>
      </c>
      <c r="AA301" s="65" t="str">
        <f>+IFERROR(INDEX('Restaurant Base (Hidden)'!$A$2:$Z$1048576,MATCH($C301,'Restaurant Base (Hidden)'!$C$2:$C$1048576,0),MATCH(AA$6,'Restaurant Base (Hidden)'!$A$1:$Z$1,0)),"")</f>
        <v>68,30 %</v>
      </c>
      <c r="AB301" s="1">
        <f>+IFERROR(INDEX('Restaurant Base (Hidden)'!$A$2:$Z$1048576,MATCH($C301,'Restaurant Base (Hidden)'!$C$2:$C$1048576,0),MATCH(AB$6,'Restaurant Base (Hidden)'!$A$1:$Z$1,0)),"")</f>
        <v>2</v>
      </c>
      <c r="AC301" s="20" t="str">
        <f>+IFERROR(INDEX('Restaurant Base (Hidden)'!$A$2:$Z$1048576,MATCH($C301,'Restaurant Base (Hidden)'!$C$2:$C$1048576,0),MATCH(AC$6,'Restaurant Base (Hidden)'!$A$1:$Z$1,0)),"")</f>
        <v/>
      </c>
      <c r="AD301" s="65" t="str">
        <f>+IFERROR(INDEX('Restaurant Base (Hidden)'!$A$2:$Z$1048576,MATCH($C301,'Restaurant Base (Hidden)'!$C$2:$C$1048576,0),MATCH(AD$6,'Restaurant Base (Hidden)'!$A$1:$Z$1,0)),"")</f>
        <v>83,60 %</v>
      </c>
      <c r="AE301" s="1">
        <f>+IFERROR(INDEX('Restaurant Base (Hidden)'!$A$2:$Z$1048576,MATCH($C301,'Restaurant Base (Hidden)'!$C$2:$C$1048576,0),MATCH(AE$6,'Restaurant Base (Hidden)'!$A$1:$Z$1,0)),"")</f>
        <v>3</v>
      </c>
      <c r="AF301" s="65" t="str">
        <f>+IFERROR(INDEX('Restaurant Base (Hidden)'!$A$2:$Z$1048576,MATCH($C301,'Restaurant Base (Hidden)'!$C$2:$C$1048576,0),MATCH(AF$6,'Restaurant Base (Hidden)'!$A$1:$Z$1,0)),"")</f>
        <v>67,20 %</v>
      </c>
      <c r="AG301" s="1">
        <f>+IFERROR(INDEX('Restaurant Base (Hidden)'!$A$2:$Z$1048576,MATCH($C301,'Restaurant Base (Hidden)'!$C$2:$C$1048576,0),MATCH(AG$6,'Restaurant Base (Hidden)'!$A$1:$Z$1,0)),"")</f>
        <v>1</v>
      </c>
    </row>
    <row r="302" spans="1:33" x14ac:dyDescent="0.4">
      <c r="A302" s="163" t="str">
        <f>IF('Restaurant Base (Hidden)'!A400=0,"", 'Restaurant Base (Hidden)'!A400)</f>
        <v>Arden Brookstone</v>
      </c>
      <c r="B302" s="163" t="str">
        <f>IF('Restaurant Base (Hidden)'!B400=0,"", 'Restaurant Base (Hidden)'!B400)</f>
        <v>Elmwood Dining Group</v>
      </c>
      <c r="C302" s="163" t="str">
        <f>IF('Restaurant Base (Hidden)'!C400=0,"", 'Restaurant Base (Hidden)'!C400)</f>
        <v>Starling Place</v>
      </c>
      <c r="D302" s="104">
        <f t="shared" si="4"/>
        <v>293</v>
      </c>
      <c r="E302" s="105">
        <f>+IFERROR(INDEX('Restaurant Base (Hidden)'!$A$2:$Z$1048576,MATCH($C302,'Restaurant Base (Hidden)'!$C$2:$C$1048576,0),MATCH(E$6,'Restaurant Base (Hidden)'!$A$1:$Z$1,0)),"")</f>
        <v>2.72</v>
      </c>
      <c r="F302" s="2" t="str">
        <f>+IFERROR(INDEX('Restaurant Base (Hidden)'!$A$2:$Z$1048576,MATCH($C302,'Restaurant Base (Hidden)'!$C$2:$C$1048576,0),MATCH(F$6,'Restaurant Base (Hidden)'!$A$1:$Z$1,0)),"")</f>
        <v/>
      </c>
      <c r="G302" s="20" t="str">
        <f>+IFERROR(INDEX('Restaurant Base (Hidden)'!$A$2:$Z$1048576,MATCH($C302,'Restaurant Base (Hidden)'!$C$2:$C$1048576,0),MATCH(G$6,'Restaurant Base (Hidden)'!$A$1:$Z$1,0)),"")</f>
        <v>4,017</v>
      </c>
      <c r="H302" s="50">
        <f>+IFERROR(INDEX('Restaurant Base (Hidden)'!$A$2:$Z$1048576,MATCH($C302,'Restaurant Base (Hidden)'!$C$2:$C$1048576,0),MATCH(H$6,'Restaurant Base (Hidden)'!$A$1:$Z$1,0)),"")</f>
        <v>1</v>
      </c>
      <c r="I302" s="20" t="str">
        <f>+IFERROR(INDEX('Restaurant Base (Hidden)'!$A$2:$Z$1048576,MATCH($C302,'Restaurant Base (Hidden)'!$C$2:$C$1048576,0),MATCH(I$6,'Restaurant Base (Hidden)'!$A$1:$Z$1,0)),"")</f>
        <v>85,70 %</v>
      </c>
      <c r="J302" s="49">
        <f>+IFERROR(INDEX('Restaurant Base (Hidden)'!$A$2:$Z$1048576,MATCH($C302,'Restaurant Base (Hidden)'!$C$2:$C$1048576,0),MATCH(J$6,'Restaurant Base (Hidden)'!$A$1:$Z$1,0)),"")</f>
        <v>3</v>
      </c>
      <c r="K302" s="20" t="str">
        <f>+IFERROR(INDEX('Restaurant Base (Hidden)'!$A$2:$Z$1048576,MATCH($C302,'Restaurant Base (Hidden)'!$C$2:$C$1048576,0),MATCH(K$6,'Restaurant Base (Hidden)'!$A$1:$Z$1,0)),"")</f>
        <v>0,198</v>
      </c>
      <c r="L302" s="51">
        <f>+IFERROR(INDEX('Restaurant Base (Hidden)'!$A$2:$Z$1048576,MATCH($C302,'Restaurant Base (Hidden)'!$C$2:$C$1048576,0),MATCH(L$6,'Restaurant Base (Hidden)'!$A$1:$Z$1,0)),"")</f>
        <v>1</v>
      </c>
      <c r="M302" s="2" t="str">
        <f>+IFERROR(INDEX('Restaurant Base (Hidden)'!$A$2:$Z$1048576,MATCH($C302,'Restaurant Base (Hidden)'!$C$2:$C$1048576,0),MATCH(M$6,'Restaurant Base (Hidden)'!$A$1:$Z$1,0)),"")</f>
        <v/>
      </c>
      <c r="N302" s="234" t="str">
        <f>+IFERROR(INDEX('Restaurant Base (Hidden)'!$A$2:$Z$1048576,MATCH($C302,'Restaurant Base (Hidden)'!$C$2:$C$1048576,0),MATCH(N$6,'Restaurant Base (Hidden)'!$A$1:$Z$1,0)),"")</f>
        <v>76,70 %</v>
      </c>
      <c r="O302" s="1">
        <f>+IFERROR(INDEX('Restaurant Base (Hidden)'!$A$2:$Z$1048576,MATCH($C302,'Restaurant Base (Hidden)'!$C$2:$C$1048576,0),MATCH(O$6,'Restaurant Base (Hidden)'!$A$1:$Z$1,0)),"")</f>
        <v>5</v>
      </c>
      <c r="P302" s="2" t="str">
        <f>+IFERROR(INDEX('Restaurant Base (Hidden)'!$A$2:$Z$1048576,MATCH($C302,'Restaurant Base (Hidden)'!$C$2:$C$1048576,0),MATCH(P$6,'Restaurant Base (Hidden)'!$A$1:$Z$1,0)),"")</f>
        <v/>
      </c>
      <c r="Q302" s="234" t="str">
        <f>+IFERROR(INDEX('Restaurant Base (Hidden)'!$A$2:$Z$1048576,MATCH($C302,'Restaurant Base (Hidden)'!$C$2:$C$1048576,0),MATCH(Q$6,'Restaurant Base (Hidden)'!$A$1:$Z$1,0)),"")</f>
        <v>63,00 %</v>
      </c>
      <c r="R302" s="1">
        <f>+IFERROR(INDEX('Restaurant Base (Hidden)'!$A$2:$Z$1048576,MATCH($C302,'Restaurant Base (Hidden)'!$C$2:$C$1048576,0),MATCH(R$6,'Restaurant Base (Hidden)'!$A$1:$Z$1,0)),"")</f>
        <v>2</v>
      </c>
      <c r="S302" s="2" t="str">
        <f>+IFERROR(INDEX('Restaurant Base (Hidden)'!$A$2:$Z$1048576,MATCH($C302,'Restaurant Base (Hidden)'!$C$2:$C$1048576,0),MATCH(S$6,'Restaurant Base (Hidden)'!$A$1:$Z$1,0)),"")</f>
        <v/>
      </c>
      <c r="T302" s="62">
        <f>+IFERROR(INDEX('Restaurant Base (Hidden)'!$A$2:$Z$1048576,MATCH($C302,'Restaurant Base (Hidden)'!$C$2:$C$1048576,0),MATCH(T$6,'Restaurant Base (Hidden)'!$A$1:$Z$1,0)),"")</f>
        <v>63.9</v>
      </c>
      <c r="U302" s="1">
        <f>+IFERROR(INDEX('Restaurant Base (Hidden)'!$A$2:$Z$1048576,MATCH($C302,'Restaurant Base (Hidden)'!$C$2:$C$1048576,0),MATCH(U$6,'Restaurant Base (Hidden)'!$A$1:$Z$1,0)),"")</f>
        <v>3</v>
      </c>
      <c r="V302" s="2" t="str">
        <f>+IFERROR(INDEX('Restaurant Base (Hidden)'!$A$2:$Z$1048576,MATCH($C302,'Restaurant Base (Hidden)'!$C$2:$C$1048576,0),MATCH(V$6,'Restaurant Base (Hidden)'!$A$1:$Z$1,0)),"")</f>
        <v/>
      </c>
      <c r="W302" s="65" t="str">
        <f>+IFERROR(INDEX('Restaurant Base (Hidden)'!$A$2:$Z$1048576,MATCH($C302,'Restaurant Base (Hidden)'!$C$2:$C$1048576,0),MATCH(W$6,'Restaurant Base (Hidden)'!$A$1:$Z$1,0)),"")</f>
        <v>74,60 %</v>
      </c>
      <c r="X302" s="1">
        <f>+IFERROR(INDEX('Restaurant Base (Hidden)'!$A$2:$Z$1048576,MATCH($C302,'Restaurant Base (Hidden)'!$C$2:$C$1048576,0),MATCH(X$6,'Restaurant Base (Hidden)'!$A$1:$Z$1,0)),"")</f>
        <v>2</v>
      </c>
      <c r="Y302" s="65" t="str">
        <f>+IFERROR(INDEX('Restaurant Base (Hidden)'!$A$2:$Z$1048576,MATCH($C302,'Restaurant Base (Hidden)'!$C$2:$C$1048576,0),MATCH(Y$6,'Restaurant Base (Hidden)'!$A$1:$Z$1,0)),"")</f>
        <v>65,70 %</v>
      </c>
      <c r="Z302" s="106">
        <f>+IFERROR(INDEX('Restaurant Base (Hidden)'!$A$2:$Z$1048576,MATCH($C302,'Restaurant Base (Hidden)'!$C$2:$C$1048576,0),MATCH(Z$6,'Restaurant Base (Hidden)'!$A$1:$Z$1,0)),"")</f>
        <v>2</v>
      </c>
      <c r="AA302" s="65" t="str">
        <f>+IFERROR(INDEX('Restaurant Base (Hidden)'!$A$2:$Z$1048576,MATCH($C302,'Restaurant Base (Hidden)'!$C$2:$C$1048576,0),MATCH(AA$6,'Restaurant Base (Hidden)'!$A$1:$Z$1,0)),"")</f>
        <v>96,00 %</v>
      </c>
      <c r="AB302" s="1">
        <f>+IFERROR(INDEX('Restaurant Base (Hidden)'!$A$2:$Z$1048576,MATCH($C302,'Restaurant Base (Hidden)'!$C$2:$C$1048576,0),MATCH(AB$6,'Restaurant Base (Hidden)'!$A$1:$Z$1,0)),"")</f>
        <v>4</v>
      </c>
      <c r="AC302" s="20" t="str">
        <f>+IFERROR(INDEX('Restaurant Base (Hidden)'!$A$2:$Z$1048576,MATCH($C302,'Restaurant Base (Hidden)'!$C$2:$C$1048576,0),MATCH(AC$6,'Restaurant Base (Hidden)'!$A$1:$Z$1,0)),"")</f>
        <v/>
      </c>
      <c r="AD302" s="65" t="str">
        <f>+IFERROR(INDEX('Restaurant Base (Hidden)'!$A$2:$Z$1048576,MATCH($C302,'Restaurant Base (Hidden)'!$C$2:$C$1048576,0),MATCH(AD$6,'Restaurant Base (Hidden)'!$A$1:$Z$1,0)),"")</f>
        <v>86,30 %</v>
      </c>
      <c r="AE302" s="1">
        <f>+IFERROR(INDEX('Restaurant Base (Hidden)'!$A$2:$Z$1048576,MATCH($C302,'Restaurant Base (Hidden)'!$C$2:$C$1048576,0),MATCH(AE$6,'Restaurant Base (Hidden)'!$A$1:$Z$1,0)),"")</f>
        <v>3</v>
      </c>
      <c r="AF302" s="65" t="str">
        <f>+IFERROR(INDEX('Restaurant Base (Hidden)'!$A$2:$Z$1048576,MATCH($C302,'Restaurant Base (Hidden)'!$C$2:$C$1048576,0),MATCH(AF$6,'Restaurant Base (Hidden)'!$A$1:$Z$1,0)),"")</f>
        <v>80,90 %</v>
      </c>
      <c r="AG302" s="1">
        <f>+IFERROR(INDEX('Restaurant Base (Hidden)'!$A$2:$Z$1048576,MATCH($C302,'Restaurant Base (Hidden)'!$C$2:$C$1048576,0),MATCH(AG$6,'Restaurant Base (Hidden)'!$A$1:$Z$1,0)),"")</f>
        <v>2</v>
      </c>
    </row>
    <row r="303" spans="1:33" x14ac:dyDescent="0.4">
      <c r="A303" s="163" t="str">
        <f>IF('Restaurant Base (Hidden)'!A215=0,"", 'Restaurant Base (Hidden)'!A215)</f>
        <v>Jordan Oakley</v>
      </c>
      <c r="B303" s="163" t="str">
        <f>IF('Restaurant Base (Hidden)'!B215=0,"", 'Restaurant Base (Hidden)'!B215)</f>
        <v>Clearview Dining Group</v>
      </c>
      <c r="C303" s="163" t="str">
        <f>IF('Restaurant Base (Hidden)'!C215=0,"", 'Restaurant Base (Hidden)'!C215)</f>
        <v>Maple Plaza</v>
      </c>
      <c r="D303" s="104">
        <f t="shared" si="4"/>
        <v>297</v>
      </c>
      <c r="E303" s="105">
        <f>+IFERROR(INDEX('Restaurant Base (Hidden)'!$A$2:$Z$1048576,MATCH($C303,'Restaurant Base (Hidden)'!$C$2:$C$1048576,0),MATCH(E$6,'Restaurant Base (Hidden)'!$A$1:$Z$1,0)),"")</f>
        <v>2.71</v>
      </c>
      <c r="F303" s="2" t="str">
        <f>+IFERROR(INDEX('Restaurant Base (Hidden)'!$A$2:$Z$1048576,MATCH($C303,'Restaurant Base (Hidden)'!$C$2:$C$1048576,0),MATCH(F$6,'Restaurant Base (Hidden)'!$A$1:$Z$1,0)),"")</f>
        <v/>
      </c>
      <c r="G303" s="20" t="str">
        <f>+IFERROR(INDEX('Restaurant Base (Hidden)'!$A$2:$Z$1048576,MATCH($C303,'Restaurant Base (Hidden)'!$C$2:$C$1048576,0),MATCH(G$6,'Restaurant Base (Hidden)'!$A$1:$Z$1,0)),"")</f>
        <v>4,831</v>
      </c>
      <c r="H303" s="50">
        <f>+IFERROR(INDEX('Restaurant Base (Hidden)'!$A$2:$Z$1048576,MATCH($C303,'Restaurant Base (Hidden)'!$C$2:$C$1048576,0),MATCH(H$6,'Restaurant Base (Hidden)'!$A$1:$Z$1,0)),"")</f>
        <v>5</v>
      </c>
      <c r="I303" s="20" t="str">
        <f>+IFERROR(INDEX('Restaurant Base (Hidden)'!$A$2:$Z$1048576,MATCH($C303,'Restaurant Base (Hidden)'!$C$2:$C$1048576,0),MATCH(I$6,'Restaurant Base (Hidden)'!$A$1:$Z$1,0)),"")</f>
        <v>89,00 %</v>
      </c>
      <c r="J303" s="49">
        <f>+IFERROR(INDEX('Restaurant Base (Hidden)'!$A$2:$Z$1048576,MATCH($C303,'Restaurant Base (Hidden)'!$C$2:$C$1048576,0),MATCH(J$6,'Restaurant Base (Hidden)'!$A$1:$Z$1,0)),"")</f>
        <v>4</v>
      </c>
      <c r="K303" s="20" t="str">
        <f>+IFERROR(INDEX('Restaurant Base (Hidden)'!$A$2:$Z$1048576,MATCH($C303,'Restaurant Base (Hidden)'!$C$2:$C$1048576,0),MATCH(K$6,'Restaurant Base (Hidden)'!$A$1:$Z$1,0)),"")</f>
        <v>0,062</v>
      </c>
      <c r="L303" s="51">
        <f>+IFERROR(INDEX('Restaurant Base (Hidden)'!$A$2:$Z$1048576,MATCH($C303,'Restaurant Base (Hidden)'!$C$2:$C$1048576,0),MATCH(L$6,'Restaurant Base (Hidden)'!$A$1:$Z$1,0)),"")</f>
        <v>4</v>
      </c>
      <c r="M303" s="2" t="str">
        <f>+IFERROR(INDEX('Restaurant Base (Hidden)'!$A$2:$Z$1048576,MATCH($C303,'Restaurant Base (Hidden)'!$C$2:$C$1048576,0),MATCH(M$6,'Restaurant Base (Hidden)'!$A$1:$Z$1,0)),"")</f>
        <v/>
      </c>
      <c r="N303" s="234" t="str">
        <f>+IFERROR(INDEX('Restaurant Base (Hidden)'!$A$2:$Z$1048576,MATCH($C303,'Restaurant Base (Hidden)'!$C$2:$C$1048576,0),MATCH(N$6,'Restaurant Base (Hidden)'!$A$1:$Z$1,0)),"")</f>
        <v>56,30 %</v>
      </c>
      <c r="O303" s="1">
        <f>+IFERROR(INDEX('Restaurant Base (Hidden)'!$A$2:$Z$1048576,MATCH($C303,'Restaurant Base (Hidden)'!$C$2:$C$1048576,0),MATCH(O$6,'Restaurant Base (Hidden)'!$A$1:$Z$1,0)),"")</f>
        <v>1</v>
      </c>
      <c r="P303" s="2" t="str">
        <f>+IFERROR(INDEX('Restaurant Base (Hidden)'!$A$2:$Z$1048576,MATCH($C303,'Restaurant Base (Hidden)'!$C$2:$C$1048576,0),MATCH(P$6,'Restaurant Base (Hidden)'!$A$1:$Z$1,0)),"")</f>
        <v/>
      </c>
      <c r="Q303" s="234" t="str">
        <f>+IFERROR(INDEX('Restaurant Base (Hidden)'!$A$2:$Z$1048576,MATCH($C303,'Restaurant Base (Hidden)'!$C$2:$C$1048576,0),MATCH(Q$6,'Restaurant Base (Hidden)'!$A$1:$Z$1,0)),"")</f>
        <v>70,30 %</v>
      </c>
      <c r="R303" s="1">
        <f>+IFERROR(INDEX('Restaurant Base (Hidden)'!$A$2:$Z$1048576,MATCH($C303,'Restaurant Base (Hidden)'!$C$2:$C$1048576,0),MATCH(R$6,'Restaurant Base (Hidden)'!$A$1:$Z$1,0)),"")</f>
        <v>4</v>
      </c>
      <c r="S303" s="2" t="str">
        <f>+IFERROR(INDEX('Restaurant Base (Hidden)'!$A$2:$Z$1048576,MATCH($C303,'Restaurant Base (Hidden)'!$C$2:$C$1048576,0),MATCH(S$6,'Restaurant Base (Hidden)'!$A$1:$Z$1,0)),"")</f>
        <v/>
      </c>
      <c r="T303" s="62">
        <f>+IFERROR(INDEX('Restaurant Base (Hidden)'!$A$2:$Z$1048576,MATCH($C303,'Restaurant Base (Hidden)'!$C$2:$C$1048576,0),MATCH(T$6,'Restaurant Base (Hidden)'!$A$1:$Z$1,0)),"")</f>
        <v>68.8</v>
      </c>
      <c r="U303" s="1">
        <f>+IFERROR(INDEX('Restaurant Base (Hidden)'!$A$2:$Z$1048576,MATCH($C303,'Restaurant Base (Hidden)'!$C$2:$C$1048576,0),MATCH(U$6,'Restaurant Base (Hidden)'!$A$1:$Z$1,0)),"")</f>
        <v>4</v>
      </c>
      <c r="V303" s="2" t="str">
        <f>+IFERROR(INDEX('Restaurant Base (Hidden)'!$A$2:$Z$1048576,MATCH($C303,'Restaurant Base (Hidden)'!$C$2:$C$1048576,0),MATCH(V$6,'Restaurant Base (Hidden)'!$A$1:$Z$1,0)),"")</f>
        <v/>
      </c>
      <c r="W303" s="65" t="str">
        <f>+IFERROR(INDEX('Restaurant Base (Hidden)'!$A$2:$Z$1048576,MATCH($C303,'Restaurant Base (Hidden)'!$C$2:$C$1048576,0),MATCH(W$6,'Restaurant Base (Hidden)'!$A$1:$Z$1,0)),"")</f>
        <v>60,00 %</v>
      </c>
      <c r="X303" s="1">
        <f>+IFERROR(INDEX('Restaurant Base (Hidden)'!$A$2:$Z$1048576,MATCH($C303,'Restaurant Base (Hidden)'!$C$2:$C$1048576,0),MATCH(X$6,'Restaurant Base (Hidden)'!$A$1:$Z$1,0)),"")</f>
        <v>2</v>
      </c>
      <c r="Y303" s="65" t="str">
        <f>+IFERROR(INDEX('Restaurant Base (Hidden)'!$A$2:$Z$1048576,MATCH($C303,'Restaurant Base (Hidden)'!$C$2:$C$1048576,0),MATCH(Y$6,'Restaurant Base (Hidden)'!$A$1:$Z$1,0)),"")</f>
        <v>67,70 %</v>
      </c>
      <c r="Z303" s="106">
        <f>+IFERROR(INDEX('Restaurant Base (Hidden)'!$A$2:$Z$1048576,MATCH($C303,'Restaurant Base (Hidden)'!$C$2:$C$1048576,0),MATCH(Z$6,'Restaurant Base (Hidden)'!$A$1:$Z$1,0)),"")</f>
        <v>2</v>
      </c>
      <c r="AA303" s="65" t="str">
        <f>+IFERROR(INDEX('Restaurant Base (Hidden)'!$A$2:$Z$1048576,MATCH($C303,'Restaurant Base (Hidden)'!$C$2:$C$1048576,0),MATCH(AA$6,'Restaurant Base (Hidden)'!$A$1:$Z$1,0)),"")</f>
        <v>58,30 %</v>
      </c>
      <c r="AB303" s="1">
        <f>+IFERROR(INDEX('Restaurant Base (Hidden)'!$A$2:$Z$1048576,MATCH($C303,'Restaurant Base (Hidden)'!$C$2:$C$1048576,0),MATCH(AB$6,'Restaurant Base (Hidden)'!$A$1:$Z$1,0)),"")</f>
        <v>1</v>
      </c>
      <c r="AC303" s="20" t="str">
        <f>+IFERROR(INDEX('Restaurant Base (Hidden)'!$A$2:$Z$1048576,MATCH($C303,'Restaurant Base (Hidden)'!$C$2:$C$1048576,0),MATCH(AC$6,'Restaurant Base (Hidden)'!$A$1:$Z$1,0)),"")</f>
        <v/>
      </c>
      <c r="AD303" s="65" t="str">
        <f>+IFERROR(INDEX('Restaurant Base (Hidden)'!$A$2:$Z$1048576,MATCH($C303,'Restaurant Base (Hidden)'!$C$2:$C$1048576,0),MATCH(AD$6,'Restaurant Base (Hidden)'!$A$1:$Z$1,0)),"")</f>
        <v>62,80 %</v>
      </c>
      <c r="AE303" s="1">
        <f>+IFERROR(INDEX('Restaurant Base (Hidden)'!$A$2:$Z$1048576,MATCH($C303,'Restaurant Base (Hidden)'!$C$2:$C$1048576,0),MATCH(AE$6,'Restaurant Base (Hidden)'!$A$1:$Z$1,0)),"")</f>
        <v>1</v>
      </c>
      <c r="AF303" s="65" t="str">
        <f>+IFERROR(INDEX('Restaurant Base (Hidden)'!$A$2:$Z$1048576,MATCH($C303,'Restaurant Base (Hidden)'!$C$2:$C$1048576,0),MATCH(AF$6,'Restaurant Base (Hidden)'!$A$1:$Z$1,0)),"")</f>
        <v>73,90 %</v>
      </c>
      <c r="AG303" s="1">
        <f>+IFERROR(INDEX('Restaurant Base (Hidden)'!$A$2:$Z$1048576,MATCH($C303,'Restaurant Base (Hidden)'!$C$2:$C$1048576,0),MATCH(AG$6,'Restaurant Base (Hidden)'!$A$1:$Z$1,0)),"")</f>
        <v>1</v>
      </c>
    </row>
    <row r="304" spans="1:33" x14ac:dyDescent="0.4">
      <c r="A304" s="163" t="str">
        <f>IF('Restaurant Base (Hidden)'!A218=0,"", 'Restaurant Base (Hidden)'!A218)</f>
        <v>Morgan Rivington</v>
      </c>
      <c r="B304" s="163" t="str">
        <f>IF('Restaurant Base (Hidden)'!B218=0,"", 'Restaurant Base (Hidden)'!B218)</f>
        <v>Crownfield Hospitality</v>
      </c>
      <c r="C304" s="163" t="str">
        <f>IF('Restaurant Base (Hidden)'!C218=0,"", 'Restaurant Base (Hidden)'!C218)</f>
        <v>Riverside Creek</v>
      </c>
      <c r="D304" s="104">
        <f t="shared" si="4"/>
        <v>297</v>
      </c>
      <c r="E304" s="105">
        <f>+IFERROR(INDEX('Restaurant Base (Hidden)'!$A$2:$Z$1048576,MATCH($C304,'Restaurant Base (Hidden)'!$C$2:$C$1048576,0),MATCH(E$6,'Restaurant Base (Hidden)'!$A$1:$Z$1,0)),"")</f>
        <v>2.71</v>
      </c>
      <c r="F304" s="2" t="str">
        <f>+IFERROR(INDEX('Restaurant Base (Hidden)'!$A$2:$Z$1048576,MATCH($C304,'Restaurant Base (Hidden)'!$C$2:$C$1048576,0),MATCH(F$6,'Restaurant Base (Hidden)'!$A$1:$Z$1,0)),"")</f>
        <v/>
      </c>
      <c r="G304" s="20" t="str">
        <f>+IFERROR(INDEX('Restaurant Base (Hidden)'!$A$2:$Z$1048576,MATCH($C304,'Restaurant Base (Hidden)'!$C$2:$C$1048576,0),MATCH(G$6,'Restaurant Base (Hidden)'!$A$1:$Z$1,0)),"")</f>
        <v>4,009</v>
      </c>
      <c r="H304" s="50">
        <f>+IFERROR(INDEX('Restaurant Base (Hidden)'!$A$2:$Z$1048576,MATCH($C304,'Restaurant Base (Hidden)'!$C$2:$C$1048576,0),MATCH(H$6,'Restaurant Base (Hidden)'!$A$1:$Z$1,0)),"")</f>
        <v>1</v>
      </c>
      <c r="I304" s="20" t="str">
        <f>+IFERROR(INDEX('Restaurant Base (Hidden)'!$A$2:$Z$1048576,MATCH($C304,'Restaurant Base (Hidden)'!$C$2:$C$1048576,0),MATCH(I$6,'Restaurant Base (Hidden)'!$A$1:$Z$1,0)),"")</f>
        <v>64,20 %</v>
      </c>
      <c r="J304" s="49">
        <f>+IFERROR(INDEX('Restaurant Base (Hidden)'!$A$2:$Z$1048576,MATCH($C304,'Restaurant Base (Hidden)'!$C$2:$C$1048576,0),MATCH(J$6,'Restaurant Base (Hidden)'!$A$1:$Z$1,0)),"")</f>
        <v>1</v>
      </c>
      <c r="K304" s="20" t="str">
        <f>+IFERROR(INDEX('Restaurant Base (Hidden)'!$A$2:$Z$1048576,MATCH($C304,'Restaurant Base (Hidden)'!$C$2:$C$1048576,0),MATCH(K$6,'Restaurant Base (Hidden)'!$A$1:$Z$1,0)),"")</f>
        <v>0,188</v>
      </c>
      <c r="L304" s="51">
        <f>+IFERROR(INDEX('Restaurant Base (Hidden)'!$A$2:$Z$1048576,MATCH($C304,'Restaurant Base (Hidden)'!$C$2:$C$1048576,0),MATCH(L$6,'Restaurant Base (Hidden)'!$A$1:$Z$1,0)),"")</f>
        <v>1</v>
      </c>
      <c r="M304" s="2" t="str">
        <f>+IFERROR(INDEX('Restaurant Base (Hidden)'!$A$2:$Z$1048576,MATCH($C304,'Restaurant Base (Hidden)'!$C$2:$C$1048576,0),MATCH(M$6,'Restaurant Base (Hidden)'!$A$1:$Z$1,0)),"")</f>
        <v/>
      </c>
      <c r="N304" s="234" t="str">
        <f>+IFERROR(INDEX('Restaurant Base (Hidden)'!$A$2:$Z$1048576,MATCH($C304,'Restaurant Base (Hidden)'!$C$2:$C$1048576,0),MATCH(N$6,'Restaurant Base (Hidden)'!$A$1:$Z$1,0)),"")</f>
        <v>95,20 %</v>
      </c>
      <c r="O304" s="1">
        <f>+IFERROR(INDEX('Restaurant Base (Hidden)'!$A$2:$Z$1048576,MATCH($C304,'Restaurant Base (Hidden)'!$C$2:$C$1048576,0),MATCH(O$6,'Restaurant Base (Hidden)'!$A$1:$Z$1,0)),"")</f>
        <v>5</v>
      </c>
      <c r="P304" s="2" t="str">
        <f>+IFERROR(INDEX('Restaurant Base (Hidden)'!$A$2:$Z$1048576,MATCH($C304,'Restaurant Base (Hidden)'!$C$2:$C$1048576,0),MATCH(P$6,'Restaurant Base (Hidden)'!$A$1:$Z$1,0)),"")</f>
        <v/>
      </c>
      <c r="Q304" s="234" t="str">
        <f>+IFERROR(INDEX('Restaurant Base (Hidden)'!$A$2:$Z$1048576,MATCH($C304,'Restaurant Base (Hidden)'!$C$2:$C$1048576,0),MATCH(Q$6,'Restaurant Base (Hidden)'!$A$1:$Z$1,0)),"")</f>
        <v>64,00 %</v>
      </c>
      <c r="R304" s="1">
        <f>+IFERROR(INDEX('Restaurant Base (Hidden)'!$A$2:$Z$1048576,MATCH($C304,'Restaurant Base (Hidden)'!$C$2:$C$1048576,0),MATCH(R$6,'Restaurant Base (Hidden)'!$A$1:$Z$1,0)),"")</f>
        <v>2</v>
      </c>
      <c r="S304" s="2" t="str">
        <f>+IFERROR(INDEX('Restaurant Base (Hidden)'!$A$2:$Z$1048576,MATCH($C304,'Restaurant Base (Hidden)'!$C$2:$C$1048576,0),MATCH(S$6,'Restaurant Base (Hidden)'!$A$1:$Z$1,0)),"")</f>
        <v/>
      </c>
      <c r="T304" s="62">
        <f>+IFERROR(INDEX('Restaurant Base (Hidden)'!$A$2:$Z$1048576,MATCH($C304,'Restaurant Base (Hidden)'!$C$2:$C$1048576,0),MATCH(T$6,'Restaurant Base (Hidden)'!$A$1:$Z$1,0)),"")</f>
        <v>75.099999999999994</v>
      </c>
      <c r="U304" s="1">
        <f>+IFERROR(INDEX('Restaurant Base (Hidden)'!$A$2:$Z$1048576,MATCH($C304,'Restaurant Base (Hidden)'!$C$2:$C$1048576,0),MATCH(U$6,'Restaurant Base (Hidden)'!$A$1:$Z$1,0)),"")</f>
        <v>5</v>
      </c>
      <c r="V304" s="2" t="str">
        <f>+IFERROR(INDEX('Restaurant Base (Hidden)'!$A$2:$Z$1048576,MATCH($C304,'Restaurant Base (Hidden)'!$C$2:$C$1048576,0),MATCH(V$6,'Restaurant Base (Hidden)'!$A$1:$Z$1,0)),"")</f>
        <v/>
      </c>
      <c r="W304" s="65" t="str">
        <f>+IFERROR(INDEX('Restaurant Base (Hidden)'!$A$2:$Z$1048576,MATCH($C304,'Restaurant Base (Hidden)'!$C$2:$C$1048576,0),MATCH(W$6,'Restaurant Base (Hidden)'!$A$1:$Z$1,0)),"")</f>
        <v>57,60 %</v>
      </c>
      <c r="X304" s="1">
        <f>+IFERROR(INDEX('Restaurant Base (Hidden)'!$A$2:$Z$1048576,MATCH($C304,'Restaurant Base (Hidden)'!$C$2:$C$1048576,0),MATCH(X$6,'Restaurant Base (Hidden)'!$A$1:$Z$1,0)),"")</f>
        <v>1</v>
      </c>
      <c r="Y304" s="65" t="str">
        <f>+IFERROR(INDEX('Restaurant Base (Hidden)'!$A$2:$Z$1048576,MATCH($C304,'Restaurant Base (Hidden)'!$C$2:$C$1048576,0),MATCH(Y$6,'Restaurant Base (Hidden)'!$A$1:$Z$1,0)),"")</f>
        <v>95,50 %</v>
      </c>
      <c r="Z304" s="106">
        <f>+IFERROR(INDEX('Restaurant Base (Hidden)'!$A$2:$Z$1048576,MATCH($C304,'Restaurant Base (Hidden)'!$C$2:$C$1048576,0),MATCH(Z$6,'Restaurant Base (Hidden)'!$A$1:$Z$1,0)),"")</f>
        <v>4</v>
      </c>
      <c r="AA304" s="65" t="str">
        <f>+IFERROR(INDEX('Restaurant Base (Hidden)'!$A$2:$Z$1048576,MATCH($C304,'Restaurant Base (Hidden)'!$C$2:$C$1048576,0),MATCH(AA$6,'Restaurant Base (Hidden)'!$A$1:$Z$1,0)),"")</f>
        <v>84,10 %</v>
      </c>
      <c r="AB304" s="1">
        <f>+IFERROR(INDEX('Restaurant Base (Hidden)'!$A$2:$Z$1048576,MATCH($C304,'Restaurant Base (Hidden)'!$C$2:$C$1048576,0),MATCH(AB$6,'Restaurant Base (Hidden)'!$A$1:$Z$1,0)),"")</f>
        <v>2</v>
      </c>
      <c r="AC304" s="20" t="str">
        <f>+IFERROR(INDEX('Restaurant Base (Hidden)'!$A$2:$Z$1048576,MATCH($C304,'Restaurant Base (Hidden)'!$C$2:$C$1048576,0),MATCH(AC$6,'Restaurant Base (Hidden)'!$A$1:$Z$1,0)),"")</f>
        <v/>
      </c>
      <c r="AD304" s="65" t="str">
        <f>+IFERROR(INDEX('Restaurant Base (Hidden)'!$A$2:$Z$1048576,MATCH($C304,'Restaurant Base (Hidden)'!$C$2:$C$1048576,0),MATCH(AD$6,'Restaurant Base (Hidden)'!$A$1:$Z$1,0)),"")</f>
        <v>99,40 %</v>
      </c>
      <c r="AE304" s="1">
        <f>+IFERROR(INDEX('Restaurant Base (Hidden)'!$A$2:$Z$1048576,MATCH($C304,'Restaurant Base (Hidden)'!$C$2:$C$1048576,0),MATCH(AE$6,'Restaurant Base (Hidden)'!$A$1:$Z$1,0)),"")</f>
        <v>5</v>
      </c>
      <c r="AF304" s="65" t="str">
        <f>+IFERROR(INDEX('Restaurant Base (Hidden)'!$A$2:$Z$1048576,MATCH($C304,'Restaurant Base (Hidden)'!$C$2:$C$1048576,0),MATCH(AF$6,'Restaurant Base (Hidden)'!$A$1:$Z$1,0)),"")</f>
        <v>72,60 %</v>
      </c>
      <c r="AG304" s="1">
        <f>+IFERROR(INDEX('Restaurant Base (Hidden)'!$A$2:$Z$1048576,MATCH($C304,'Restaurant Base (Hidden)'!$C$2:$C$1048576,0),MATCH(AG$6,'Restaurant Base (Hidden)'!$A$1:$Z$1,0)),"")</f>
        <v>1</v>
      </c>
    </row>
    <row r="305" spans="1:33" x14ac:dyDescent="0.4">
      <c r="A305" s="163" t="str">
        <f>IF('Restaurant Base (Hidden)'!A79=0,"", 'Restaurant Base (Hidden)'!A79)</f>
        <v>Skyler Everhart</v>
      </c>
      <c r="B305" s="163" t="str">
        <f>IF('Restaurant Base (Hidden)'!B79=0,"", 'Restaurant Base (Hidden)'!B79)</f>
        <v>Pinecrest Hospitality</v>
      </c>
      <c r="C305" s="163" t="str">
        <f>IF('Restaurant Base (Hidden)'!C79=0,"", 'Restaurant Base (Hidden)'!C79)</f>
        <v>Riverside Plaza</v>
      </c>
      <c r="D305" s="104">
        <f t="shared" si="4"/>
        <v>299</v>
      </c>
      <c r="E305" s="105">
        <f>+IFERROR(INDEX('Restaurant Base (Hidden)'!$A$2:$Z$1048576,MATCH($C305,'Restaurant Base (Hidden)'!$C$2:$C$1048576,0),MATCH(E$6,'Restaurant Base (Hidden)'!$A$1:$Z$1,0)),"")</f>
        <v>2.7</v>
      </c>
      <c r="F305" s="2" t="str">
        <f>+IFERROR(INDEX('Restaurant Base (Hidden)'!$A$2:$Z$1048576,MATCH($C305,'Restaurant Base (Hidden)'!$C$2:$C$1048576,0),MATCH(F$6,'Restaurant Base (Hidden)'!$A$1:$Z$1,0)),"")</f>
        <v/>
      </c>
      <c r="G305" s="20" t="str">
        <f>+IFERROR(INDEX('Restaurant Base (Hidden)'!$A$2:$Z$1048576,MATCH($C305,'Restaurant Base (Hidden)'!$C$2:$C$1048576,0),MATCH(G$6,'Restaurant Base (Hidden)'!$A$1:$Z$1,0)),"")</f>
        <v>4,678</v>
      </c>
      <c r="H305" s="50">
        <f>+IFERROR(INDEX('Restaurant Base (Hidden)'!$A$2:$Z$1048576,MATCH($C305,'Restaurant Base (Hidden)'!$C$2:$C$1048576,0),MATCH(H$6,'Restaurant Base (Hidden)'!$A$1:$Z$1,0)),"")</f>
        <v>5</v>
      </c>
      <c r="I305" s="20" t="str">
        <f>+IFERROR(INDEX('Restaurant Base (Hidden)'!$A$2:$Z$1048576,MATCH($C305,'Restaurant Base (Hidden)'!$C$2:$C$1048576,0),MATCH(I$6,'Restaurant Base (Hidden)'!$A$1:$Z$1,0)),"")</f>
        <v>69,90 %</v>
      </c>
      <c r="J305" s="49">
        <f>+IFERROR(INDEX('Restaurant Base (Hidden)'!$A$2:$Z$1048576,MATCH($C305,'Restaurant Base (Hidden)'!$C$2:$C$1048576,0),MATCH(J$6,'Restaurant Base (Hidden)'!$A$1:$Z$1,0)),"")</f>
        <v>1</v>
      </c>
      <c r="K305" s="20" t="str">
        <f>+IFERROR(INDEX('Restaurant Base (Hidden)'!$A$2:$Z$1048576,MATCH($C305,'Restaurant Base (Hidden)'!$C$2:$C$1048576,0),MATCH(K$6,'Restaurant Base (Hidden)'!$A$1:$Z$1,0)),"")</f>
        <v>0,174</v>
      </c>
      <c r="L305" s="51">
        <f>+IFERROR(INDEX('Restaurant Base (Hidden)'!$A$2:$Z$1048576,MATCH($C305,'Restaurant Base (Hidden)'!$C$2:$C$1048576,0),MATCH(L$6,'Restaurant Base (Hidden)'!$A$1:$Z$1,0)),"")</f>
        <v>2</v>
      </c>
      <c r="M305" s="2" t="str">
        <f>+IFERROR(INDEX('Restaurant Base (Hidden)'!$A$2:$Z$1048576,MATCH($C305,'Restaurant Base (Hidden)'!$C$2:$C$1048576,0),MATCH(M$6,'Restaurant Base (Hidden)'!$A$1:$Z$1,0)),"")</f>
        <v/>
      </c>
      <c r="N305" s="234" t="str">
        <f>+IFERROR(INDEX('Restaurant Base (Hidden)'!$A$2:$Z$1048576,MATCH($C305,'Restaurant Base (Hidden)'!$C$2:$C$1048576,0),MATCH(N$6,'Restaurant Base (Hidden)'!$A$1:$Z$1,0)),"")</f>
        <v>55,40 %</v>
      </c>
      <c r="O305" s="1">
        <f>+IFERROR(INDEX('Restaurant Base (Hidden)'!$A$2:$Z$1048576,MATCH($C305,'Restaurant Base (Hidden)'!$C$2:$C$1048576,0),MATCH(O$6,'Restaurant Base (Hidden)'!$A$1:$Z$1,0)),"")</f>
        <v>1</v>
      </c>
      <c r="P305" s="2" t="str">
        <f>+IFERROR(INDEX('Restaurant Base (Hidden)'!$A$2:$Z$1048576,MATCH($C305,'Restaurant Base (Hidden)'!$C$2:$C$1048576,0),MATCH(P$6,'Restaurant Base (Hidden)'!$A$1:$Z$1,0)),"")</f>
        <v/>
      </c>
      <c r="Q305" s="234" t="str">
        <f>+IFERROR(INDEX('Restaurant Base (Hidden)'!$A$2:$Z$1048576,MATCH($C305,'Restaurant Base (Hidden)'!$C$2:$C$1048576,0),MATCH(Q$6,'Restaurant Base (Hidden)'!$A$1:$Z$1,0)),"")</f>
        <v>94,30 %</v>
      </c>
      <c r="R305" s="1">
        <f>+IFERROR(INDEX('Restaurant Base (Hidden)'!$A$2:$Z$1048576,MATCH($C305,'Restaurant Base (Hidden)'!$C$2:$C$1048576,0),MATCH(R$6,'Restaurant Base (Hidden)'!$A$1:$Z$1,0)),"")</f>
        <v>5</v>
      </c>
      <c r="S305" s="2" t="str">
        <f>+IFERROR(INDEX('Restaurant Base (Hidden)'!$A$2:$Z$1048576,MATCH($C305,'Restaurant Base (Hidden)'!$C$2:$C$1048576,0),MATCH(S$6,'Restaurant Base (Hidden)'!$A$1:$Z$1,0)),"")</f>
        <v/>
      </c>
      <c r="T305" s="62">
        <f>+IFERROR(INDEX('Restaurant Base (Hidden)'!$A$2:$Z$1048576,MATCH($C305,'Restaurant Base (Hidden)'!$C$2:$C$1048576,0),MATCH(T$6,'Restaurant Base (Hidden)'!$A$1:$Z$1,0)),"")</f>
        <v>72.3</v>
      </c>
      <c r="U305" s="1">
        <f>+IFERROR(INDEX('Restaurant Base (Hidden)'!$A$2:$Z$1048576,MATCH($C305,'Restaurant Base (Hidden)'!$C$2:$C$1048576,0),MATCH(U$6,'Restaurant Base (Hidden)'!$A$1:$Z$1,0)),"")</f>
        <v>5</v>
      </c>
      <c r="V305" s="2" t="str">
        <f>+IFERROR(INDEX('Restaurant Base (Hidden)'!$A$2:$Z$1048576,MATCH($C305,'Restaurant Base (Hidden)'!$C$2:$C$1048576,0),MATCH(V$6,'Restaurant Base (Hidden)'!$A$1:$Z$1,0)),"")</f>
        <v/>
      </c>
      <c r="W305" s="65" t="str">
        <f>+IFERROR(INDEX('Restaurant Base (Hidden)'!$A$2:$Z$1048576,MATCH($C305,'Restaurant Base (Hidden)'!$C$2:$C$1048576,0),MATCH(W$6,'Restaurant Base (Hidden)'!$A$1:$Z$1,0)),"")</f>
        <v>88,10 %</v>
      </c>
      <c r="X305" s="1">
        <f>+IFERROR(INDEX('Restaurant Base (Hidden)'!$A$2:$Z$1048576,MATCH($C305,'Restaurant Base (Hidden)'!$C$2:$C$1048576,0),MATCH(X$6,'Restaurant Base (Hidden)'!$A$1:$Z$1,0)),"")</f>
        <v>3</v>
      </c>
      <c r="Y305" s="65" t="str">
        <f>+IFERROR(INDEX('Restaurant Base (Hidden)'!$A$2:$Z$1048576,MATCH($C305,'Restaurant Base (Hidden)'!$C$2:$C$1048576,0),MATCH(Y$6,'Restaurant Base (Hidden)'!$A$1:$Z$1,0)),"")</f>
        <v>58,70 %</v>
      </c>
      <c r="Z305" s="106">
        <f>+IFERROR(INDEX('Restaurant Base (Hidden)'!$A$2:$Z$1048576,MATCH($C305,'Restaurant Base (Hidden)'!$C$2:$C$1048576,0),MATCH(Z$6,'Restaurant Base (Hidden)'!$A$1:$Z$1,0)),"")</f>
        <v>1</v>
      </c>
      <c r="AA305" s="65" t="str">
        <f>+IFERROR(INDEX('Restaurant Base (Hidden)'!$A$2:$Z$1048576,MATCH($C305,'Restaurant Base (Hidden)'!$C$2:$C$1048576,0),MATCH(AA$6,'Restaurant Base (Hidden)'!$A$1:$Z$1,0)),"")</f>
        <v>87,50 %</v>
      </c>
      <c r="AB305" s="1">
        <f>+IFERROR(INDEX('Restaurant Base (Hidden)'!$A$2:$Z$1048576,MATCH($C305,'Restaurant Base (Hidden)'!$C$2:$C$1048576,0),MATCH(AB$6,'Restaurant Base (Hidden)'!$A$1:$Z$1,0)),"")</f>
        <v>3</v>
      </c>
      <c r="AC305" s="20" t="str">
        <f>+IFERROR(INDEX('Restaurant Base (Hidden)'!$A$2:$Z$1048576,MATCH($C305,'Restaurant Base (Hidden)'!$C$2:$C$1048576,0),MATCH(AC$6,'Restaurant Base (Hidden)'!$A$1:$Z$1,0)),"")</f>
        <v/>
      </c>
      <c r="AD305" s="65" t="str">
        <f>+IFERROR(INDEX('Restaurant Base (Hidden)'!$A$2:$Z$1048576,MATCH($C305,'Restaurant Base (Hidden)'!$C$2:$C$1048576,0),MATCH(AD$6,'Restaurant Base (Hidden)'!$A$1:$Z$1,0)),"")</f>
        <v>69,80 %</v>
      </c>
      <c r="AE305" s="1">
        <f>+IFERROR(INDEX('Restaurant Base (Hidden)'!$A$2:$Z$1048576,MATCH($C305,'Restaurant Base (Hidden)'!$C$2:$C$1048576,0),MATCH(AE$6,'Restaurant Base (Hidden)'!$A$1:$Z$1,0)),"")</f>
        <v>1</v>
      </c>
      <c r="AF305" s="65" t="str">
        <f>+IFERROR(INDEX('Restaurant Base (Hidden)'!$A$2:$Z$1048576,MATCH($C305,'Restaurant Base (Hidden)'!$C$2:$C$1048576,0),MATCH(AF$6,'Restaurant Base (Hidden)'!$A$1:$Z$1,0)),"")</f>
        <v>76,20 %</v>
      </c>
      <c r="AG305" s="1">
        <f>+IFERROR(INDEX('Restaurant Base (Hidden)'!$A$2:$Z$1048576,MATCH($C305,'Restaurant Base (Hidden)'!$C$2:$C$1048576,0),MATCH(AG$6,'Restaurant Base (Hidden)'!$A$1:$Z$1,0)),"")</f>
        <v>2</v>
      </c>
    </row>
    <row r="306" spans="1:33" x14ac:dyDescent="0.4">
      <c r="A306" s="163" t="str">
        <f>IF('Restaurant Base (Hidden)'!A92=0,"", 'Restaurant Base (Hidden)'!A92)</f>
        <v>Cameron Creston</v>
      </c>
      <c r="B306" s="163" t="str">
        <f>IF('Restaurant Base (Hidden)'!B92=0,"", 'Restaurant Base (Hidden)'!B92)</f>
        <v>Kingswell Food Partners</v>
      </c>
      <c r="C306" s="163" t="str">
        <f>IF('Restaurant Base (Hidden)'!C92=0,"", 'Restaurant Base (Hidden)'!C92)</f>
        <v>Eastwood Court</v>
      </c>
      <c r="D306" s="104">
        <f t="shared" si="4"/>
        <v>299</v>
      </c>
      <c r="E306" s="105">
        <f>+IFERROR(INDEX('Restaurant Base (Hidden)'!$A$2:$Z$1048576,MATCH($C306,'Restaurant Base (Hidden)'!$C$2:$C$1048576,0),MATCH(E$6,'Restaurant Base (Hidden)'!$A$1:$Z$1,0)),"")</f>
        <v>2.7</v>
      </c>
      <c r="F306" s="2" t="str">
        <f>+IFERROR(INDEX('Restaurant Base (Hidden)'!$A$2:$Z$1048576,MATCH($C306,'Restaurant Base (Hidden)'!$C$2:$C$1048576,0),MATCH(F$6,'Restaurant Base (Hidden)'!$A$1:$Z$1,0)),"")</f>
        <v/>
      </c>
      <c r="G306" s="20" t="str">
        <f>+IFERROR(INDEX('Restaurant Base (Hidden)'!$A$2:$Z$1048576,MATCH($C306,'Restaurant Base (Hidden)'!$C$2:$C$1048576,0),MATCH(G$6,'Restaurant Base (Hidden)'!$A$1:$Z$1,0)),"")</f>
        <v>4,168</v>
      </c>
      <c r="H306" s="50">
        <f>+IFERROR(INDEX('Restaurant Base (Hidden)'!$A$2:$Z$1048576,MATCH($C306,'Restaurant Base (Hidden)'!$C$2:$C$1048576,0),MATCH(H$6,'Restaurant Base (Hidden)'!$A$1:$Z$1,0)),"")</f>
        <v>2</v>
      </c>
      <c r="I306" s="20" t="str">
        <f>+IFERROR(INDEX('Restaurant Base (Hidden)'!$A$2:$Z$1048576,MATCH($C306,'Restaurant Base (Hidden)'!$C$2:$C$1048576,0),MATCH(I$6,'Restaurant Base (Hidden)'!$A$1:$Z$1,0)),"")</f>
        <v>77,20 %</v>
      </c>
      <c r="J306" s="49">
        <f>+IFERROR(INDEX('Restaurant Base (Hidden)'!$A$2:$Z$1048576,MATCH($C306,'Restaurant Base (Hidden)'!$C$2:$C$1048576,0),MATCH(J$6,'Restaurant Base (Hidden)'!$A$1:$Z$1,0)),"")</f>
        <v>1</v>
      </c>
      <c r="K306" s="20" t="str">
        <f>+IFERROR(INDEX('Restaurant Base (Hidden)'!$A$2:$Z$1048576,MATCH($C306,'Restaurant Base (Hidden)'!$C$2:$C$1048576,0),MATCH(K$6,'Restaurant Base (Hidden)'!$A$1:$Z$1,0)),"")</f>
        <v>0,126</v>
      </c>
      <c r="L306" s="51">
        <f>+IFERROR(INDEX('Restaurant Base (Hidden)'!$A$2:$Z$1048576,MATCH($C306,'Restaurant Base (Hidden)'!$C$2:$C$1048576,0),MATCH(L$6,'Restaurant Base (Hidden)'!$A$1:$Z$1,0)),"")</f>
        <v>3</v>
      </c>
      <c r="M306" s="2" t="str">
        <f>+IFERROR(INDEX('Restaurant Base (Hidden)'!$A$2:$Z$1048576,MATCH($C306,'Restaurant Base (Hidden)'!$C$2:$C$1048576,0),MATCH(M$6,'Restaurant Base (Hidden)'!$A$1:$Z$1,0)),"")</f>
        <v/>
      </c>
      <c r="N306" s="234" t="str">
        <f>+IFERROR(INDEX('Restaurant Base (Hidden)'!$A$2:$Z$1048576,MATCH($C306,'Restaurant Base (Hidden)'!$C$2:$C$1048576,0),MATCH(N$6,'Restaurant Base (Hidden)'!$A$1:$Z$1,0)),"")</f>
        <v>74,20 %</v>
      </c>
      <c r="O306" s="1">
        <f>+IFERROR(INDEX('Restaurant Base (Hidden)'!$A$2:$Z$1048576,MATCH($C306,'Restaurant Base (Hidden)'!$C$2:$C$1048576,0),MATCH(O$6,'Restaurant Base (Hidden)'!$A$1:$Z$1,0)),"")</f>
        <v>5</v>
      </c>
      <c r="P306" s="2" t="str">
        <f>+IFERROR(INDEX('Restaurant Base (Hidden)'!$A$2:$Z$1048576,MATCH($C306,'Restaurant Base (Hidden)'!$C$2:$C$1048576,0),MATCH(P$6,'Restaurant Base (Hidden)'!$A$1:$Z$1,0)),"")</f>
        <v/>
      </c>
      <c r="Q306" s="234" t="str">
        <f>+IFERROR(INDEX('Restaurant Base (Hidden)'!$A$2:$Z$1048576,MATCH($C306,'Restaurant Base (Hidden)'!$C$2:$C$1048576,0),MATCH(Q$6,'Restaurant Base (Hidden)'!$A$1:$Z$1,0)),"")</f>
        <v>57,60 %</v>
      </c>
      <c r="R306" s="1">
        <f>+IFERROR(INDEX('Restaurant Base (Hidden)'!$A$2:$Z$1048576,MATCH($C306,'Restaurant Base (Hidden)'!$C$2:$C$1048576,0),MATCH(R$6,'Restaurant Base (Hidden)'!$A$1:$Z$1,0)),"")</f>
        <v>1</v>
      </c>
      <c r="S306" s="2" t="str">
        <f>+IFERROR(INDEX('Restaurant Base (Hidden)'!$A$2:$Z$1048576,MATCH($C306,'Restaurant Base (Hidden)'!$C$2:$C$1048576,0),MATCH(S$6,'Restaurant Base (Hidden)'!$A$1:$Z$1,0)),"")</f>
        <v/>
      </c>
      <c r="T306" s="62">
        <f>+IFERROR(INDEX('Restaurant Base (Hidden)'!$A$2:$Z$1048576,MATCH($C306,'Restaurant Base (Hidden)'!$C$2:$C$1048576,0),MATCH(T$6,'Restaurant Base (Hidden)'!$A$1:$Z$1,0)),"")</f>
        <v>63.6</v>
      </c>
      <c r="U306" s="1">
        <f>+IFERROR(INDEX('Restaurant Base (Hidden)'!$A$2:$Z$1048576,MATCH($C306,'Restaurant Base (Hidden)'!$C$2:$C$1048576,0),MATCH(U$6,'Restaurant Base (Hidden)'!$A$1:$Z$1,0)),"")</f>
        <v>3</v>
      </c>
      <c r="V306" s="2" t="str">
        <f>+IFERROR(INDEX('Restaurant Base (Hidden)'!$A$2:$Z$1048576,MATCH($C306,'Restaurant Base (Hidden)'!$C$2:$C$1048576,0),MATCH(V$6,'Restaurant Base (Hidden)'!$A$1:$Z$1,0)),"")</f>
        <v/>
      </c>
      <c r="W306" s="65" t="str">
        <f>+IFERROR(INDEX('Restaurant Base (Hidden)'!$A$2:$Z$1048576,MATCH($C306,'Restaurant Base (Hidden)'!$C$2:$C$1048576,0),MATCH(W$6,'Restaurant Base (Hidden)'!$A$1:$Z$1,0)),"")</f>
        <v>74,00 %</v>
      </c>
      <c r="X306" s="1">
        <f>+IFERROR(INDEX('Restaurant Base (Hidden)'!$A$2:$Z$1048576,MATCH($C306,'Restaurant Base (Hidden)'!$C$2:$C$1048576,0),MATCH(X$6,'Restaurant Base (Hidden)'!$A$1:$Z$1,0)),"")</f>
        <v>2</v>
      </c>
      <c r="Y306" s="65" t="str">
        <f>+IFERROR(INDEX('Restaurant Base (Hidden)'!$A$2:$Z$1048576,MATCH($C306,'Restaurant Base (Hidden)'!$C$2:$C$1048576,0),MATCH(Y$6,'Restaurant Base (Hidden)'!$A$1:$Z$1,0)),"")</f>
        <v>73,00 %</v>
      </c>
      <c r="Z306" s="106">
        <f>+IFERROR(INDEX('Restaurant Base (Hidden)'!$A$2:$Z$1048576,MATCH($C306,'Restaurant Base (Hidden)'!$C$2:$C$1048576,0),MATCH(Z$6,'Restaurant Base (Hidden)'!$A$1:$Z$1,0)),"")</f>
        <v>2</v>
      </c>
      <c r="AA306" s="65" t="str">
        <f>+IFERROR(INDEX('Restaurant Base (Hidden)'!$A$2:$Z$1048576,MATCH($C306,'Restaurant Base (Hidden)'!$C$2:$C$1048576,0),MATCH(AA$6,'Restaurant Base (Hidden)'!$A$1:$Z$1,0)),"")</f>
        <v>63,60 %</v>
      </c>
      <c r="AB306" s="1">
        <f>+IFERROR(INDEX('Restaurant Base (Hidden)'!$A$2:$Z$1048576,MATCH($C306,'Restaurant Base (Hidden)'!$C$2:$C$1048576,0),MATCH(AB$6,'Restaurant Base (Hidden)'!$A$1:$Z$1,0)),"")</f>
        <v>2</v>
      </c>
      <c r="AC306" s="20" t="str">
        <f>+IFERROR(INDEX('Restaurant Base (Hidden)'!$A$2:$Z$1048576,MATCH($C306,'Restaurant Base (Hidden)'!$C$2:$C$1048576,0),MATCH(AC$6,'Restaurant Base (Hidden)'!$A$1:$Z$1,0)),"")</f>
        <v/>
      </c>
      <c r="AD306" s="65" t="str">
        <f>+IFERROR(INDEX('Restaurant Base (Hidden)'!$A$2:$Z$1048576,MATCH($C306,'Restaurant Base (Hidden)'!$C$2:$C$1048576,0),MATCH(AD$6,'Restaurant Base (Hidden)'!$A$1:$Z$1,0)),"")</f>
        <v>95,60 %</v>
      </c>
      <c r="AE306" s="1">
        <f>+IFERROR(INDEX('Restaurant Base (Hidden)'!$A$2:$Z$1048576,MATCH($C306,'Restaurant Base (Hidden)'!$C$2:$C$1048576,0),MATCH(AE$6,'Restaurant Base (Hidden)'!$A$1:$Z$1,0)),"")</f>
        <v>5</v>
      </c>
      <c r="AF306" s="65" t="str">
        <f>+IFERROR(INDEX('Restaurant Base (Hidden)'!$A$2:$Z$1048576,MATCH($C306,'Restaurant Base (Hidden)'!$C$2:$C$1048576,0),MATCH(AF$6,'Restaurant Base (Hidden)'!$A$1:$Z$1,0)),"")</f>
        <v>91,50 %</v>
      </c>
      <c r="AG306" s="1">
        <f>+IFERROR(INDEX('Restaurant Base (Hidden)'!$A$2:$Z$1048576,MATCH($C306,'Restaurant Base (Hidden)'!$C$2:$C$1048576,0),MATCH(AG$6,'Restaurant Base (Hidden)'!$A$1:$Z$1,0)),"")</f>
        <v>3</v>
      </c>
    </row>
    <row r="307" spans="1:33" x14ac:dyDescent="0.4">
      <c r="A307" s="163" t="str">
        <f>IF('Restaurant Base (Hidden)'!A108=0,"", 'Restaurant Base (Hidden)'!A108)</f>
        <v>Skyler Everhart</v>
      </c>
      <c r="B307" s="163" t="str">
        <f>IF('Restaurant Base (Hidden)'!B108=0,"", 'Restaurant Base (Hidden)'!B108)</f>
        <v>Silverbrook Dining</v>
      </c>
      <c r="C307" s="163" t="str">
        <f>IF('Restaurant Base (Hidden)'!C108=0,"", 'Restaurant Base (Hidden)'!C108)</f>
        <v>Woodland Terrace</v>
      </c>
      <c r="D307" s="104">
        <f t="shared" si="4"/>
        <v>299</v>
      </c>
      <c r="E307" s="105">
        <f>+IFERROR(INDEX('Restaurant Base (Hidden)'!$A$2:$Z$1048576,MATCH($C307,'Restaurant Base (Hidden)'!$C$2:$C$1048576,0),MATCH(E$6,'Restaurant Base (Hidden)'!$A$1:$Z$1,0)),"")</f>
        <v>2.7</v>
      </c>
      <c r="F307" s="2" t="str">
        <f>+IFERROR(INDEX('Restaurant Base (Hidden)'!$A$2:$Z$1048576,MATCH($C307,'Restaurant Base (Hidden)'!$C$2:$C$1048576,0),MATCH(F$6,'Restaurant Base (Hidden)'!$A$1:$Z$1,0)),"")</f>
        <v/>
      </c>
      <c r="G307" s="20" t="str">
        <f>+IFERROR(INDEX('Restaurant Base (Hidden)'!$A$2:$Z$1048576,MATCH($C307,'Restaurant Base (Hidden)'!$C$2:$C$1048576,0),MATCH(G$6,'Restaurant Base (Hidden)'!$A$1:$Z$1,0)),"")</f>
        <v>4,688</v>
      </c>
      <c r="H307" s="50">
        <f>+IFERROR(INDEX('Restaurant Base (Hidden)'!$A$2:$Z$1048576,MATCH($C307,'Restaurant Base (Hidden)'!$C$2:$C$1048576,0),MATCH(H$6,'Restaurant Base (Hidden)'!$A$1:$Z$1,0)),"")</f>
        <v>5</v>
      </c>
      <c r="I307" s="20" t="str">
        <f>+IFERROR(INDEX('Restaurant Base (Hidden)'!$A$2:$Z$1048576,MATCH($C307,'Restaurant Base (Hidden)'!$C$2:$C$1048576,0),MATCH(I$6,'Restaurant Base (Hidden)'!$A$1:$Z$1,0)),"")</f>
        <v>75,80 %</v>
      </c>
      <c r="J307" s="49">
        <f>+IFERROR(INDEX('Restaurant Base (Hidden)'!$A$2:$Z$1048576,MATCH($C307,'Restaurant Base (Hidden)'!$C$2:$C$1048576,0),MATCH(J$6,'Restaurant Base (Hidden)'!$A$1:$Z$1,0)),"")</f>
        <v>1</v>
      </c>
      <c r="K307" s="20" t="str">
        <f>+IFERROR(INDEX('Restaurant Base (Hidden)'!$A$2:$Z$1048576,MATCH($C307,'Restaurant Base (Hidden)'!$C$2:$C$1048576,0),MATCH(K$6,'Restaurant Base (Hidden)'!$A$1:$Z$1,0)),"")</f>
        <v>0,093</v>
      </c>
      <c r="L307" s="51">
        <f>+IFERROR(INDEX('Restaurant Base (Hidden)'!$A$2:$Z$1048576,MATCH($C307,'Restaurant Base (Hidden)'!$C$2:$C$1048576,0),MATCH(L$6,'Restaurant Base (Hidden)'!$A$1:$Z$1,0)),"")</f>
        <v>4</v>
      </c>
      <c r="M307" s="2" t="str">
        <f>+IFERROR(INDEX('Restaurant Base (Hidden)'!$A$2:$Z$1048576,MATCH($C307,'Restaurant Base (Hidden)'!$C$2:$C$1048576,0),MATCH(M$6,'Restaurant Base (Hidden)'!$A$1:$Z$1,0)),"")</f>
        <v/>
      </c>
      <c r="N307" s="234" t="str">
        <f>+IFERROR(INDEX('Restaurant Base (Hidden)'!$A$2:$Z$1048576,MATCH($C307,'Restaurant Base (Hidden)'!$C$2:$C$1048576,0),MATCH(N$6,'Restaurant Base (Hidden)'!$A$1:$Z$1,0)),"")</f>
        <v>57,40 %</v>
      </c>
      <c r="O307" s="1">
        <f>+IFERROR(INDEX('Restaurant Base (Hidden)'!$A$2:$Z$1048576,MATCH($C307,'Restaurant Base (Hidden)'!$C$2:$C$1048576,0),MATCH(O$6,'Restaurant Base (Hidden)'!$A$1:$Z$1,0)),"")</f>
        <v>1</v>
      </c>
      <c r="P307" s="2" t="str">
        <f>+IFERROR(INDEX('Restaurant Base (Hidden)'!$A$2:$Z$1048576,MATCH($C307,'Restaurant Base (Hidden)'!$C$2:$C$1048576,0),MATCH(P$6,'Restaurant Base (Hidden)'!$A$1:$Z$1,0)),"")</f>
        <v/>
      </c>
      <c r="Q307" s="234" t="str">
        <f>+IFERROR(INDEX('Restaurant Base (Hidden)'!$A$2:$Z$1048576,MATCH($C307,'Restaurant Base (Hidden)'!$C$2:$C$1048576,0),MATCH(Q$6,'Restaurant Base (Hidden)'!$A$1:$Z$1,0)),"")</f>
        <v>90,30 %</v>
      </c>
      <c r="R307" s="1">
        <f>+IFERROR(INDEX('Restaurant Base (Hidden)'!$A$2:$Z$1048576,MATCH($C307,'Restaurant Base (Hidden)'!$C$2:$C$1048576,0),MATCH(R$6,'Restaurant Base (Hidden)'!$A$1:$Z$1,0)),"")</f>
        <v>5</v>
      </c>
      <c r="S307" s="2" t="str">
        <f>+IFERROR(INDEX('Restaurant Base (Hidden)'!$A$2:$Z$1048576,MATCH($C307,'Restaurant Base (Hidden)'!$C$2:$C$1048576,0),MATCH(S$6,'Restaurant Base (Hidden)'!$A$1:$Z$1,0)),"")</f>
        <v/>
      </c>
      <c r="T307" s="62">
        <f>+IFERROR(INDEX('Restaurant Base (Hidden)'!$A$2:$Z$1048576,MATCH($C307,'Restaurant Base (Hidden)'!$C$2:$C$1048576,0),MATCH(T$6,'Restaurant Base (Hidden)'!$A$1:$Z$1,0)),"")</f>
        <v>57.9</v>
      </c>
      <c r="U307" s="1">
        <f>+IFERROR(INDEX('Restaurant Base (Hidden)'!$A$2:$Z$1048576,MATCH($C307,'Restaurant Base (Hidden)'!$C$2:$C$1048576,0),MATCH(U$6,'Restaurant Base (Hidden)'!$A$1:$Z$1,0)),"")</f>
        <v>2</v>
      </c>
      <c r="V307" s="2" t="str">
        <f>+IFERROR(INDEX('Restaurant Base (Hidden)'!$A$2:$Z$1048576,MATCH($C307,'Restaurant Base (Hidden)'!$C$2:$C$1048576,0),MATCH(V$6,'Restaurant Base (Hidden)'!$A$1:$Z$1,0)),"")</f>
        <v/>
      </c>
      <c r="W307" s="65" t="str">
        <f>+IFERROR(INDEX('Restaurant Base (Hidden)'!$A$2:$Z$1048576,MATCH($C307,'Restaurant Base (Hidden)'!$C$2:$C$1048576,0),MATCH(W$6,'Restaurant Base (Hidden)'!$A$1:$Z$1,0)),"")</f>
        <v>64,80 %</v>
      </c>
      <c r="X307" s="1">
        <f>+IFERROR(INDEX('Restaurant Base (Hidden)'!$A$2:$Z$1048576,MATCH($C307,'Restaurant Base (Hidden)'!$C$2:$C$1048576,0),MATCH(X$6,'Restaurant Base (Hidden)'!$A$1:$Z$1,0)),"")</f>
        <v>2</v>
      </c>
      <c r="Y307" s="65" t="str">
        <f>+IFERROR(INDEX('Restaurant Base (Hidden)'!$A$2:$Z$1048576,MATCH($C307,'Restaurant Base (Hidden)'!$C$2:$C$1048576,0),MATCH(Y$6,'Restaurant Base (Hidden)'!$A$1:$Z$1,0)),"")</f>
        <v>65,30 %</v>
      </c>
      <c r="Z307" s="106">
        <f>+IFERROR(INDEX('Restaurant Base (Hidden)'!$A$2:$Z$1048576,MATCH($C307,'Restaurant Base (Hidden)'!$C$2:$C$1048576,0),MATCH(Z$6,'Restaurant Base (Hidden)'!$A$1:$Z$1,0)),"")</f>
        <v>2</v>
      </c>
      <c r="AA307" s="65" t="str">
        <f>+IFERROR(INDEX('Restaurant Base (Hidden)'!$A$2:$Z$1048576,MATCH($C307,'Restaurant Base (Hidden)'!$C$2:$C$1048576,0),MATCH(AA$6,'Restaurant Base (Hidden)'!$A$1:$Z$1,0)),"")</f>
        <v>76,80 %</v>
      </c>
      <c r="AB307" s="1">
        <f>+IFERROR(INDEX('Restaurant Base (Hidden)'!$A$2:$Z$1048576,MATCH($C307,'Restaurant Base (Hidden)'!$C$2:$C$1048576,0),MATCH(AB$6,'Restaurant Base (Hidden)'!$A$1:$Z$1,0)),"")</f>
        <v>2</v>
      </c>
      <c r="AC307" s="20" t="str">
        <f>+IFERROR(INDEX('Restaurant Base (Hidden)'!$A$2:$Z$1048576,MATCH($C307,'Restaurant Base (Hidden)'!$C$2:$C$1048576,0),MATCH(AC$6,'Restaurant Base (Hidden)'!$A$1:$Z$1,0)),"")</f>
        <v/>
      </c>
      <c r="AD307" s="65" t="str">
        <f>+IFERROR(INDEX('Restaurant Base (Hidden)'!$A$2:$Z$1048576,MATCH($C307,'Restaurant Base (Hidden)'!$C$2:$C$1048576,0),MATCH(AD$6,'Restaurant Base (Hidden)'!$A$1:$Z$1,0)),"")</f>
        <v>92,80 %</v>
      </c>
      <c r="AE307" s="1">
        <f>+IFERROR(INDEX('Restaurant Base (Hidden)'!$A$2:$Z$1048576,MATCH($C307,'Restaurant Base (Hidden)'!$C$2:$C$1048576,0),MATCH(AE$6,'Restaurant Base (Hidden)'!$A$1:$Z$1,0)),"")</f>
        <v>4</v>
      </c>
      <c r="AF307" s="65" t="str">
        <f>+IFERROR(INDEX('Restaurant Base (Hidden)'!$A$2:$Z$1048576,MATCH($C307,'Restaurant Base (Hidden)'!$C$2:$C$1048576,0),MATCH(AF$6,'Restaurant Base (Hidden)'!$A$1:$Z$1,0)),"")</f>
        <v>80,80 %</v>
      </c>
      <c r="AG307" s="1">
        <f>+IFERROR(INDEX('Restaurant Base (Hidden)'!$A$2:$Z$1048576,MATCH($C307,'Restaurant Base (Hidden)'!$C$2:$C$1048576,0),MATCH(AG$6,'Restaurant Base (Hidden)'!$A$1:$Z$1,0)),"")</f>
        <v>2</v>
      </c>
    </row>
    <row r="308" spans="1:33" x14ac:dyDescent="0.4">
      <c r="A308" s="163" t="str">
        <f>IF('Restaurant Base (Hidden)'!A178=0,"", 'Restaurant Base (Hidden)'!A178)</f>
        <v>Casey Briarwood</v>
      </c>
      <c r="B308" s="163" t="str">
        <f>IF('Restaurant Base (Hidden)'!B178=0,"", 'Restaurant Base (Hidden)'!B178)</f>
        <v>Crownfield Hospitality</v>
      </c>
      <c r="C308" s="163" t="str">
        <f>IF('Restaurant Base (Hidden)'!C178=0,"", 'Restaurant Base (Hidden)'!C178)</f>
        <v>Pine Walk</v>
      </c>
      <c r="D308" s="104">
        <f t="shared" si="4"/>
        <v>299</v>
      </c>
      <c r="E308" s="105">
        <f>+IFERROR(INDEX('Restaurant Base (Hidden)'!$A$2:$Z$1048576,MATCH($C308,'Restaurant Base (Hidden)'!$C$2:$C$1048576,0),MATCH(E$6,'Restaurant Base (Hidden)'!$A$1:$Z$1,0)),"")</f>
        <v>2.7</v>
      </c>
      <c r="F308" s="2" t="str">
        <f>+IFERROR(INDEX('Restaurant Base (Hidden)'!$A$2:$Z$1048576,MATCH($C308,'Restaurant Base (Hidden)'!$C$2:$C$1048576,0),MATCH(F$6,'Restaurant Base (Hidden)'!$A$1:$Z$1,0)),"")</f>
        <v/>
      </c>
      <c r="G308" s="20" t="str">
        <f>+IFERROR(INDEX('Restaurant Base (Hidden)'!$A$2:$Z$1048576,MATCH($C308,'Restaurant Base (Hidden)'!$C$2:$C$1048576,0),MATCH(G$6,'Restaurant Base (Hidden)'!$A$1:$Z$1,0)),"")</f>
        <v>4,299</v>
      </c>
      <c r="H308" s="50">
        <f>+IFERROR(INDEX('Restaurant Base (Hidden)'!$A$2:$Z$1048576,MATCH($C308,'Restaurant Base (Hidden)'!$C$2:$C$1048576,0),MATCH(H$6,'Restaurant Base (Hidden)'!$A$1:$Z$1,0)),"")</f>
        <v>3</v>
      </c>
      <c r="I308" s="20" t="str">
        <f>+IFERROR(INDEX('Restaurant Base (Hidden)'!$A$2:$Z$1048576,MATCH($C308,'Restaurant Base (Hidden)'!$C$2:$C$1048576,0),MATCH(I$6,'Restaurant Base (Hidden)'!$A$1:$Z$1,0)),"")</f>
        <v>67,40 %</v>
      </c>
      <c r="J308" s="49">
        <f>+IFERROR(INDEX('Restaurant Base (Hidden)'!$A$2:$Z$1048576,MATCH($C308,'Restaurant Base (Hidden)'!$C$2:$C$1048576,0),MATCH(J$6,'Restaurant Base (Hidden)'!$A$1:$Z$1,0)),"")</f>
        <v>1</v>
      </c>
      <c r="K308" s="20" t="str">
        <f>+IFERROR(INDEX('Restaurant Base (Hidden)'!$A$2:$Z$1048576,MATCH($C308,'Restaurant Base (Hidden)'!$C$2:$C$1048576,0),MATCH(K$6,'Restaurant Base (Hidden)'!$A$1:$Z$1,0)),"")</f>
        <v>0,112</v>
      </c>
      <c r="L308" s="51">
        <f>+IFERROR(INDEX('Restaurant Base (Hidden)'!$A$2:$Z$1048576,MATCH($C308,'Restaurant Base (Hidden)'!$C$2:$C$1048576,0),MATCH(L$6,'Restaurant Base (Hidden)'!$A$1:$Z$1,0)),"")</f>
        <v>3</v>
      </c>
      <c r="M308" s="2" t="str">
        <f>+IFERROR(INDEX('Restaurant Base (Hidden)'!$A$2:$Z$1048576,MATCH($C308,'Restaurant Base (Hidden)'!$C$2:$C$1048576,0),MATCH(M$6,'Restaurant Base (Hidden)'!$A$1:$Z$1,0)),"")</f>
        <v/>
      </c>
      <c r="N308" s="234" t="str">
        <f>+IFERROR(INDEX('Restaurant Base (Hidden)'!$A$2:$Z$1048576,MATCH($C308,'Restaurant Base (Hidden)'!$C$2:$C$1048576,0),MATCH(N$6,'Restaurant Base (Hidden)'!$A$1:$Z$1,0)),"")</f>
        <v>90,10 %</v>
      </c>
      <c r="O308" s="1">
        <f>+IFERROR(INDEX('Restaurant Base (Hidden)'!$A$2:$Z$1048576,MATCH($C308,'Restaurant Base (Hidden)'!$C$2:$C$1048576,0),MATCH(O$6,'Restaurant Base (Hidden)'!$A$1:$Z$1,0)),"")</f>
        <v>5</v>
      </c>
      <c r="P308" s="2" t="str">
        <f>+IFERROR(INDEX('Restaurant Base (Hidden)'!$A$2:$Z$1048576,MATCH($C308,'Restaurant Base (Hidden)'!$C$2:$C$1048576,0),MATCH(P$6,'Restaurant Base (Hidden)'!$A$1:$Z$1,0)),"")</f>
        <v/>
      </c>
      <c r="Q308" s="234" t="str">
        <f>+IFERROR(INDEX('Restaurant Base (Hidden)'!$A$2:$Z$1048576,MATCH($C308,'Restaurant Base (Hidden)'!$C$2:$C$1048576,0),MATCH(Q$6,'Restaurant Base (Hidden)'!$A$1:$Z$1,0)),"")</f>
        <v>74,80 %</v>
      </c>
      <c r="R308" s="1">
        <f>+IFERROR(INDEX('Restaurant Base (Hidden)'!$A$2:$Z$1048576,MATCH($C308,'Restaurant Base (Hidden)'!$C$2:$C$1048576,0),MATCH(R$6,'Restaurant Base (Hidden)'!$A$1:$Z$1,0)),"")</f>
        <v>5</v>
      </c>
      <c r="S308" s="2" t="str">
        <f>+IFERROR(INDEX('Restaurant Base (Hidden)'!$A$2:$Z$1048576,MATCH($C308,'Restaurant Base (Hidden)'!$C$2:$C$1048576,0),MATCH(S$6,'Restaurant Base (Hidden)'!$A$1:$Z$1,0)),"")</f>
        <v/>
      </c>
      <c r="T308" s="62">
        <f>+IFERROR(INDEX('Restaurant Base (Hidden)'!$A$2:$Z$1048576,MATCH($C308,'Restaurant Base (Hidden)'!$C$2:$C$1048576,0),MATCH(T$6,'Restaurant Base (Hidden)'!$A$1:$Z$1,0)),"")</f>
        <v>54.2</v>
      </c>
      <c r="U308" s="1">
        <f>+IFERROR(INDEX('Restaurant Base (Hidden)'!$A$2:$Z$1048576,MATCH($C308,'Restaurant Base (Hidden)'!$C$2:$C$1048576,0),MATCH(U$6,'Restaurant Base (Hidden)'!$A$1:$Z$1,0)),"")</f>
        <v>1</v>
      </c>
      <c r="V308" s="2" t="str">
        <f>+IFERROR(INDEX('Restaurant Base (Hidden)'!$A$2:$Z$1048576,MATCH($C308,'Restaurant Base (Hidden)'!$C$2:$C$1048576,0),MATCH(V$6,'Restaurant Base (Hidden)'!$A$1:$Z$1,0)),"")</f>
        <v/>
      </c>
      <c r="W308" s="65" t="str">
        <f>+IFERROR(INDEX('Restaurant Base (Hidden)'!$A$2:$Z$1048576,MATCH($C308,'Restaurant Base (Hidden)'!$C$2:$C$1048576,0),MATCH(W$6,'Restaurant Base (Hidden)'!$A$1:$Z$1,0)),"")</f>
        <v>61,40 %</v>
      </c>
      <c r="X308" s="1">
        <f>+IFERROR(INDEX('Restaurant Base (Hidden)'!$A$2:$Z$1048576,MATCH($C308,'Restaurant Base (Hidden)'!$C$2:$C$1048576,0),MATCH(X$6,'Restaurant Base (Hidden)'!$A$1:$Z$1,0)),"")</f>
        <v>2</v>
      </c>
      <c r="Y308" s="65" t="str">
        <f>+IFERROR(INDEX('Restaurant Base (Hidden)'!$A$2:$Z$1048576,MATCH($C308,'Restaurant Base (Hidden)'!$C$2:$C$1048576,0),MATCH(Y$6,'Restaurant Base (Hidden)'!$A$1:$Z$1,0)),"")</f>
        <v>84,80 %</v>
      </c>
      <c r="Z308" s="106">
        <f>+IFERROR(INDEX('Restaurant Base (Hidden)'!$A$2:$Z$1048576,MATCH($C308,'Restaurant Base (Hidden)'!$C$2:$C$1048576,0),MATCH(Z$6,'Restaurant Base (Hidden)'!$A$1:$Z$1,0)),"")</f>
        <v>3</v>
      </c>
      <c r="AA308" s="65" t="str">
        <f>+IFERROR(INDEX('Restaurant Base (Hidden)'!$A$2:$Z$1048576,MATCH($C308,'Restaurant Base (Hidden)'!$C$2:$C$1048576,0),MATCH(AA$6,'Restaurant Base (Hidden)'!$A$1:$Z$1,0)),"")</f>
        <v>79,40 %</v>
      </c>
      <c r="AB308" s="1">
        <f>+IFERROR(INDEX('Restaurant Base (Hidden)'!$A$2:$Z$1048576,MATCH($C308,'Restaurant Base (Hidden)'!$C$2:$C$1048576,0),MATCH(AB$6,'Restaurant Base (Hidden)'!$A$1:$Z$1,0)),"")</f>
        <v>2</v>
      </c>
      <c r="AC308" s="20" t="str">
        <f>+IFERROR(INDEX('Restaurant Base (Hidden)'!$A$2:$Z$1048576,MATCH($C308,'Restaurant Base (Hidden)'!$C$2:$C$1048576,0),MATCH(AC$6,'Restaurant Base (Hidden)'!$A$1:$Z$1,0)),"")</f>
        <v/>
      </c>
      <c r="AD308" s="65" t="str">
        <f>+IFERROR(INDEX('Restaurant Base (Hidden)'!$A$2:$Z$1048576,MATCH($C308,'Restaurant Base (Hidden)'!$C$2:$C$1048576,0),MATCH(AD$6,'Restaurant Base (Hidden)'!$A$1:$Z$1,0)),"")</f>
        <v>72,10 %</v>
      </c>
      <c r="AE308" s="1">
        <f>+IFERROR(INDEX('Restaurant Base (Hidden)'!$A$2:$Z$1048576,MATCH($C308,'Restaurant Base (Hidden)'!$C$2:$C$1048576,0),MATCH(AE$6,'Restaurant Base (Hidden)'!$A$1:$Z$1,0)),"")</f>
        <v>2</v>
      </c>
      <c r="AF308" s="65" t="str">
        <f>+IFERROR(INDEX('Restaurant Base (Hidden)'!$A$2:$Z$1048576,MATCH($C308,'Restaurant Base (Hidden)'!$C$2:$C$1048576,0),MATCH(AF$6,'Restaurant Base (Hidden)'!$A$1:$Z$1,0)),"")</f>
        <v>56,10 %</v>
      </c>
      <c r="AG308" s="1">
        <f>+IFERROR(INDEX('Restaurant Base (Hidden)'!$A$2:$Z$1048576,MATCH($C308,'Restaurant Base (Hidden)'!$C$2:$C$1048576,0),MATCH(AG$6,'Restaurant Base (Hidden)'!$A$1:$Z$1,0)),"")</f>
        <v>1</v>
      </c>
    </row>
    <row r="309" spans="1:33" x14ac:dyDescent="0.4">
      <c r="A309" s="163" t="str">
        <f>IF('Restaurant Base (Hidden)'!A279=0,"", 'Restaurant Base (Hidden)'!A279)</f>
        <v>Reese Whitmore</v>
      </c>
      <c r="B309" s="163" t="str">
        <f>IF('Restaurant Base (Hidden)'!B279=0,"", 'Restaurant Base (Hidden)'!B279)</f>
        <v>Pinecrest Hospitality</v>
      </c>
      <c r="C309" s="163" t="str">
        <f>IF('Restaurant Base (Hidden)'!C279=0,"", 'Restaurant Base (Hidden)'!C279)</f>
        <v>Stone Lodge</v>
      </c>
      <c r="D309" s="104">
        <f t="shared" si="4"/>
        <v>299</v>
      </c>
      <c r="E309" s="105">
        <f>+IFERROR(INDEX('Restaurant Base (Hidden)'!$A$2:$Z$1048576,MATCH($C309,'Restaurant Base (Hidden)'!$C$2:$C$1048576,0),MATCH(E$6,'Restaurant Base (Hidden)'!$A$1:$Z$1,0)),"")</f>
        <v>2.7</v>
      </c>
      <c r="F309" s="2" t="str">
        <f>+IFERROR(INDEX('Restaurant Base (Hidden)'!$A$2:$Z$1048576,MATCH($C309,'Restaurant Base (Hidden)'!$C$2:$C$1048576,0),MATCH(F$6,'Restaurant Base (Hidden)'!$A$1:$Z$1,0)),"")</f>
        <v/>
      </c>
      <c r="G309" s="20" t="str">
        <f>+IFERROR(INDEX('Restaurant Base (Hidden)'!$A$2:$Z$1048576,MATCH($C309,'Restaurant Base (Hidden)'!$C$2:$C$1048576,0),MATCH(G$6,'Restaurant Base (Hidden)'!$A$1:$Z$1,0)),"")</f>
        <v>4,196</v>
      </c>
      <c r="H309" s="50">
        <f>+IFERROR(INDEX('Restaurant Base (Hidden)'!$A$2:$Z$1048576,MATCH($C309,'Restaurant Base (Hidden)'!$C$2:$C$1048576,0),MATCH(H$6,'Restaurant Base (Hidden)'!$A$1:$Z$1,0)),"")</f>
        <v>2</v>
      </c>
      <c r="I309" s="20" t="str">
        <f>+IFERROR(INDEX('Restaurant Base (Hidden)'!$A$2:$Z$1048576,MATCH($C309,'Restaurant Base (Hidden)'!$C$2:$C$1048576,0),MATCH(I$6,'Restaurant Base (Hidden)'!$A$1:$Z$1,0)),"")</f>
        <v>62,50 %</v>
      </c>
      <c r="J309" s="49">
        <f>+IFERROR(INDEX('Restaurant Base (Hidden)'!$A$2:$Z$1048576,MATCH($C309,'Restaurant Base (Hidden)'!$C$2:$C$1048576,0),MATCH(J$6,'Restaurant Base (Hidden)'!$A$1:$Z$1,0)),"")</f>
        <v>1</v>
      </c>
      <c r="K309" s="20" t="str">
        <f>+IFERROR(INDEX('Restaurant Base (Hidden)'!$A$2:$Z$1048576,MATCH($C309,'Restaurant Base (Hidden)'!$C$2:$C$1048576,0),MATCH(K$6,'Restaurant Base (Hidden)'!$A$1:$Z$1,0)),"")</f>
        <v>0,149</v>
      </c>
      <c r="L309" s="51">
        <f>+IFERROR(INDEX('Restaurant Base (Hidden)'!$A$2:$Z$1048576,MATCH($C309,'Restaurant Base (Hidden)'!$C$2:$C$1048576,0),MATCH(L$6,'Restaurant Base (Hidden)'!$A$1:$Z$1,0)),"")</f>
        <v>2</v>
      </c>
      <c r="M309" s="2" t="str">
        <f>+IFERROR(INDEX('Restaurant Base (Hidden)'!$A$2:$Z$1048576,MATCH($C309,'Restaurant Base (Hidden)'!$C$2:$C$1048576,0),MATCH(M$6,'Restaurant Base (Hidden)'!$A$1:$Z$1,0)),"")</f>
        <v/>
      </c>
      <c r="N309" s="234" t="str">
        <f>+IFERROR(INDEX('Restaurant Base (Hidden)'!$A$2:$Z$1048576,MATCH($C309,'Restaurant Base (Hidden)'!$C$2:$C$1048576,0),MATCH(N$6,'Restaurant Base (Hidden)'!$A$1:$Z$1,0)),"")</f>
        <v>88,90 %</v>
      </c>
      <c r="O309" s="1">
        <f>+IFERROR(INDEX('Restaurant Base (Hidden)'!$A$2:$Z$1048576,MATCH($C309,'Restaurant Base (Hidden)'!$C$2:$C$1048576,0),MATCH(O$6,'Restaurant Base (Hidden)'!$A$1:$Z$1,0)),"")</f>
        <v>5</v>
      </c>
      <c r="P309" s="2" t="str">
        <f>+IFERROR(INDEX('Restaurant Base (Hidden)'!$A$2:$Z$1048576,MATCH($C309,'Restaurant Base (Hidden)'!$C$2:$C$1048576,0),MATCH(P$6,'Restaurant Base (Hidden)'!$A$1:$Z$1,0)),"")</f>
        <v/>
      </c>
      <c r="Q309" s="234" t="str">
        <f>+IFERROR(INDEX('Restaurant Base (Hidden)'!$A$2:$Z$1048576,MATCH($C309,'Restaurant Base (Hidden)'!$C$2:$C$1048576,0),MATCH(Q$6,'Restaurant Base (Hidden)'!$A$1:$Z$1,0)),"")</f>
        <v>64,10 %</v>
      </c>
      <c r="R309" s="1">
        <f>+IFERROR(INDEX('Restaurant Base (Hidden)'!$A$2:$Z$1048576,MATCH($C309,'Restaurant Base (Hidden)'!$C$2:$C$1048576,0),MATCH(R$6,'Restaurant Base (Hidden)'!$A$1:$Z$1,0)),"")</f>
        <v>2</v>
      </c>
      <c r="S309" s="2" t="str">
        <f>+IFERROR(INDEX('Restaurant Base (Hidden)'!$A$2:$Z$1048576,MATCH($C309,'Restaurant Base (Hidden)'!$C$2:$C$1048576,0),MATCH(S$6,'Restaurant Base (Hidden)'!$A$1:$Z$1,0)),"")</f>
        <v/>
      </c>
      <c r="T309" s="62">
        <f>+IFERROR(INDEX('Restaurant Base (Hidden)'!$A$2:$Z$1048576,MATCH($C309,'Restaurant Base (Hidden)'!$C$2:$C$1048576,0),MATCH(T$6,'Restaurant Base (Hidden)'!$A$1:$Z$1,0)),"")</f>
        <v>75.8</v>
      </c>
      <c r="U309" s="1">
        <f>+IFERROR(INDEX('Restaurant Base (Hidden)'!$A$2:$Z$1048576,MATCH($C309,'Restaurant Base (Hidden)'!$C$2:$C$1048576,0),MATCH(U$6,'Restaurant Base (Hidden)'!$A$1:$Z$1,0)),"")</f>
        <v>5</v>
      </c>
      <c r="V309" s="2" t="str">
        <f>+IFERROR(INDEX('Restaurant Base (Hidden)'!$A$2:$Z$1048576,MATCH($C309,'Restaurant Base (Hidden)'!$C$2:$C$1048576,0),MATCH(V$6,'Restaurant Base (Hidden)'!$A$1:$Z$1,0)),"")</f>
        <v/>
      </c>
      <c r="W309" s="65" t="str">
        <f>+IFERROR(INDEX('Restaurant Base (Hidden)'!$A$2:$Z$1048576,MATCH($C309,'Restaurant Base (Hidden)'!$C$2:$C$1048576,0),MATCH(W$6,'Restaurant Base (Hidden)'!$A$1:$Z$1,0)),"")</f>
        <v>58,40 %</v>
      </c>
      <c r="X309" s="1">
        <f>+IFERROR(INDEX('Restaurant Base (Hidden)'!$A$2:$Z$1048576,MATCH($C309,'Restaurant Base (Hidden)'!$C$2:$C$1048576,0),MATCH(X$6,'Restaurant Base (Hidden)'!$A$1:$Z$1,0)),"")</f>
        <v>1</v>
      </c>
      <c r="Y309" s="65" t="str">
        <f>+IFERROR(INDEX('Restaurant Base (Hidden)'!$A$2:$Z$1048576,MATCH($C309,'Restaurant Base (Hidden)'!$C$2:$C$1048576,0),MATCH(Y$6,'Restaurant Base (Hidden)'!$A$1:$Z$1,0)),"")</f>
        <v>59,50 %</v>
      </c>
      <c r="Z309" s="106">
        <f>+IFERROR(INDEX('Restaurant Base (Hidden)'!$A$2:$Z$1048576,MATCH($C309,'Restaurant Base (Hidden)'!$C$2:$C$1048576,0),MATCH(Z$6,'Restaurant Base (Hidden)'!$A$1:$Z$1,0)),"")</f>
        <v>1</v>
      </c>
      <c r="AA309" s="65" t="str">
        <f>+IFERROR(INDEX('Restaurant Base (Hidden)'!$A$2:$Z$1048576,MATCH($C309,'Restaurant Base (Hidden)'!$C$2:$C$1048576,0),MATCH(AA$6,'Restaurant Base (Hidden)'!$A$1:$Z$1,0)),"")</f>
        <v>60,40 %</v>
      </c>
      <c r="AB309" s="1">
        <f>+IFERROR(INDEX('Restaurant Base (Hidden)'!$A$2:$Z$1048576,MATCH($C309,'Restaurant Base (Hidden)'!$C$2:$C$1048576,0),MATCH(AB$6,'Restaurant Base (Hidden)'!$A$1:$Z$1,0)),"")</f>
        <v>2</v>
      </c>
      <c r="AC309" s="20" t="str">
        <f>+IFERROR(INDEX('Restaurant Base (Hidden)'!$A$2:$Z$1048576,MATCH($C309,'Restaurant Base (Hidden)'!$C$2:$C$1048576,0),MATCH(AC$6,'Restaurant Base (Hidden)'!$A$1:$Z$1,0)),"")</f>
        <v/>
      </c>
      <c r="AD309" s="65" t="str">
        <f>+IFERROR(INDEX('Restaurant Base (Hidden)'!$A$2:$Z$1048576,MATCH($C309,'Restaurant Base (Hidden)'!$C$2:$C$1048576,0),MATCH(AD$6,'Restaurant Base (Hidden)'!$A$1:$Z$1,0)),"")</f>
        <v>98,70 %</v>
      </c>
      <c r="AE309" s="1">
        <f>+IFERROR(INDEX('Restaurant Base (Hidden)'!$A$2:$Z$1048576,MATCH($C309,'Restaurant Base (Hidden)'!$C$2:$C$1048576,0),MATCH(AE$6,'Restaurant Base (Hidden)'!$A$1:$Z$1,0)),"")</f>
        <v>5</v>
      </c>
      <c r="AF309" s="65" t="str">
        <f>+IFERROR(INDEX('Restaurant Base (Hidden)'!$A$2:$Z$1048576,MATCH($C309,'Restaurant Base (Hidden)'!$C$2:$C$1048576,0),MATCH(AF$6,'Restaurant Base (Hidden)'!$A$1:$Z$1,0)),"")</f>
        <v>60,90 %</v>
      </c>
      <c r="AG309" s="1">
        <f>+IFERROR(INDEX('Restaurant Base (Hidden)'!$A$2:$Z$1048576,MATCH($C309,'Restaurant Base (Hidden)'!$C$2:$C$1048576,0),MATCH(AG$6,'Restaurant Base (Hidden)'!$A$1:$Z$1,0)),"")</f>
        <v>1</v>
      </c>
    </row>
    <row r="310" spans="1:33" x14ac:dyDescent="0.4">
      <c r="A310" s="163" t="str">
        <f>IF('Restaurant Base (Hidden)'!A83=0,"", 'Restaurant Base (Hidden)'!A83)</f>
        <v>Bailey Silverton</v>
      </c>
      <c r="B310" s="163" t="str">
        <f>IF('Restaurant Base (Hidden)'!B83=0,"", 'Restaurant Base (Hidden)'!B83)</f>
        <v>Bluecrest Food Partners</v>
      </c>
      <c r="C310" s="163" t="str">
        <f>IF('Restaurant Base (Hidden)'!C83=0,"", 'Restaurant Base (Hidden)'!C83)</f>
        <v>Lunar Heath</v>
      </c>
      <c r="D310" s="104">
        <f t="shared" si="4"/>
        <v>304</v>
      </c>
      <c r="E310" s="105">
        <f>+IFERROR(INDEX('Restaurant Base (Hidden)'!$A$2:$Z$1048576,MATCH($C310,'Restaurant Base (Hidden)'!$C$2:$C$1048576,0),MATCH(E$6,'Restaurant Base (Hidden)'!$A$1:$Z$1,0)),"")</f>
        <v>2.69</v>
      </c>
      <c r="F310" s="2" t="str">
        <f>+IFERROR(INDEX('Restaurant Base (Hidden)'!$A$2:$Z$1048576,MATCH($C310,'Restaurant Base (Hidden)'!$C$2:$C$1048576,0),MATCH(F$6,'Restaurant Base (Hidden)'!$A$1:$Z$1,0)),"")</f>
        <v/>
      </c>
      <c r="G310" s="20" t="str">
        <f>+IFERROR(INDEX('Restaurant Base (Hidden)'!$A$2:$Z$1048576,MATCH($C310,'Restaurant Base (Hidden)'!$C$2:$C$1048576,0),MATCH(G$6,'Restaurant Base (Hidden)'!$A$1:$Z$1,0)),"")</f>
        <v>4,633</v>
      </c>
      <c r="H310" s="50">
        <f>+IFERROR(INDEX('Restaurant Base (Hidden)'!$A$2:$Z$1048576,MATCH($C310,'Restaurant Base (Hidden)'!$C$2:$C$1048576,0),MATCH(H$6,'Restaurant Base (Hidden)'!$A$1:$Z$1,0)),"")</f>
        <v>5</v>
      </c>
      <c r="I310" s="20" t="str">
        <f>+IFERROR(INDEX('Restaurant Base (Hidden)'!$A$2:$Z$1048576,MATCH($C310,'Restaurant Base (Hidden)'!$C$2:$C$1048576,0),MATCH(I$6,'Restaurant Base (Hidden)'!$A$1:$Z$1,0)),"")</f>
        <v>58,20 %</v>
      </c>
      <c r="J310" s="49">
        <f>+IFERROR(INDEX('Restaurant Base (Hidden)'!$A$2:$Z$1048576,MATCH($C310,'Restaurant Base (Hidden)'!$C$2:$C$1048576,0),MATCH(J$6,'Restaurant Base (Hidden)'!$A$1:$Z$1,0)),"")</f>
        <v>1</v>
      </c>
      <c r="K310" s="20" t="str">
        <f>+IFERROR(INDEX('Restaurant Base (Hidden)'!$A$2:$Z$1048576,MATCH($C310,'Restaurant Base (Hidden)'!$C$2:$C$1048576,0),MATCH(K$6,'Restaurant Base (Hidden)'!$A$1:$Z$1,0)),"")</f>
        <v>0,170</v>
      </c>
      <c r="L310" s="51">
        <f>+IFERROR(INDEX('Restaurant Base (Hidden)'!$A$2:$Z$1048576,MATCH($C310,'Restaurant Base (Hidden)'!$C$2:$C$1048576,0),MATCH(L$6,'Restaurant Base (Hidden)'!$A$1:$Z$1,0)),"")</f>
        <v>2</v>
      </c>
      <c r="M310" s="2" t="str">
        <f>+IFERROR(INDEX('Restaurant Base (Hidden)'!$A$2:$Z$1048576,MATCH($C310,'Restaurant Base (Hidden)'!$C$2:$C$1048576,0),MATCH(M$6,'Restaurant Base (Hidden)'!$A$1:$Z$1,0)),"")</f>
        <v/>
      </c>
      <c r="N310" s="234" t="str">
        <f>+IFERROR(INDEX('Restaurant Base (Hidden)'!$A$2:$Z$1048576,MATCH($C310,'Restaurant Base (Hidden)'!$C$2:$C$1048576,0),MATCH(N$6,'Restaurant Base (Hidden)'!$A$1:$Z$1,0)),"")</f>
        <v>56,60 %</v>
      </c>
      <c r="O310" s="1">
        <f>+IFERROR(INDEX('Restaurant Base (Hidden)'!$A$2:$Z$1048576,MATCH($C310,'Restaurant Base (Hidden)'!$C$2:$C$1048576,0),MATCH(O$6,'Restaurant Base (Hidden)'!$A$1:$Z$1,0)),"")</f>
        <v>1</v>
      </c>
      <c r="P310" s="2" t="str">
        <f>+IFERROR(INDEX('Restaurant Base (Hidden)'!$A$2:$Z$1048576,MATCH($C310,'Restaurant Base (Hidden)'!$C$2:$C$1048576,0),MATCH(P$6,'Restaurant Base (Hidden)'!$A$1:$Z$1,0)),"")</f>
        <v/>
      </c>
      <c r="Q310" s="234" t="str">
        <f>+IFERROR(INDEX('Restaurant Base (Hidden)'!$A$2:$Z$1048576,MATCH($C310,'Restaurant Base (Hidden)'!$C$2:$C$1048576,0),MATCH(Q$6,'Restaurant Base (Hidden)'!$A$1:$Z$1,0)),"")</f>
        <v>81,90 %</v>
      </c>
      <c r="R310" s="1">
        <f>+IFERROR(INDEX('Restaurant Base (Hidden)'!$A$2:$Z$1048576,MATCH($C310,'Restaurant Base (Hidden)'!$C$2:$C$1048576,0),MATCH(R$6,'Restaurant Base (Hidden)'!$A$1:$Z$1,0)),"")</f>
        <v>5</v>
      </c>
      <c r="S310" s="2" t="str">
        <f>+IFERROR(INDEX('Restaurant Base (Hidden)'!$A$2:$Z$1048576,MATCH($C310,'Restaurant Base (Hidden)'!$C$2:$C$1048576,0),MATCH(S$6,'Restaurant Base (Hidden)'!$A$1:$Z$1,0)),"")</f>
        <v/>
      </c>
      <c r="T310" s="62">
        <f>+IFERROR(INDEX('Restaurant Base (Hidden)'!$A$2:$Z$1048576,MATCH($C310,'Restaurant Base (Hidden)'!$C$2:$C$1048576,0),MATCH(T$6,'Restaurant Base (Hidden)'!$A$1:$Z$1,0)),"")</f>
        <v>57.5</v>
      </c>
      <c r="U310" s="1">
        <f>+IFERROR(INDEX('Restaurant Base (Hidden)'!$A$2:$Z$1048576,MATCH($C310,'Restaurant Base (Hidden)'!$C$2:$C$1048576,0),MATCH(U$6,'Restaurant Base (Hidden)'!$A$1:$Z$1,0)),"")</f>
        <v>2</v>
      </c>
      <c r="V310" s="2" t="str">
        <f>+IFERROR(INDEX('Restaurant Base (Hidden)'!$A$2:$Z$1048576,MATCH($C310,'Restaurant Base (Hidden)'!$C$2:$C$1048576,0),MATCH(V$6,'Restaurant Base (Hidden)'!$A$1:$Z$1,0)),"")</f>
        <v/>
      </c>
      <c r="W310" s="65" t="str">
        <f>+IFERROR(INDEX('Restaurant Base (Hidden)'!$A$2:$Z$1048576,MATCH($C310,'Restaurant Base (Hidden)'!$C$2:$C$1048576,0),MATCH(W$6,'Restaurant Base (Hidden)'!$A$1:$Z$1,0)),"")</f>
        <v>64,80 %</v>
      </c>
      <c r="X310" s="1">
        <f>+IFERROR(INDEX('Restaurant Base (Hidden)'!$A$2:$Z$1048576,MATCH($C310,'Restaurant Base (Hidden)'!$C$2:$C$1048576,0),MATCH(X$6,'Restaurant Base (Hidden)'!$A$1:$Z$1,0)),"")</f>
        <v>2</v>
      </c>
      <c r="Y310" s="65" t="str">
        <f>+IFERROR(INDEX('Restaurant Base (Hidden)'!$A$2:$Z$1048576,MATCH($C310,'Restaurant Base (Hidden)'!$C$2:$C$1048576,0),MATCH(Y$6,'Restaurant Base (Hidden)'!$A$1:$Z$1,0)),"")</f>
        <v>81,80 %</v>
      </c>
      <c r="Z310" s="106">
        <f>+IFERROR(INDEX('Restaurant Base (Hidden)'!$A$2:$Z$1048576,MATCH($C310,'Restaurant Base (Hidden)'!$C$2:$C$1048576,0),MATCH(Z$6,'Restaurant Base (Hidden)'!$A$1:$Z$1,0)),"")</f>
        <v>2</v>
      </c>
      <c r="AA310" s="65" t="str">
        <f>+IFERROR(INDEX('Restaurant Base (Hidden)'!$A$2:$Z$1048576,MATCH($C310,'Restaurant Base (Hidden)'!$C$2:$C$1048576,0),MATCH(AA$6,'Restaurant Base (Hidden)'!$A$1:$Z$1,0)),"")</f>
        <v>99,20 %</v>
      </c>
      <c r="AB310" s="1">
        <f>+IFERROR(INDEX('Restaurant Base (Hidden)'!$A$2:$Z$1048576,MATCH($C310,'Restaurant Base (Hidden)'!$C$2:$C$1048576,0),MATCH(AB$6,'Restaurant Base (Hidden)'!$A$1:$Z$1,0)),"")</f>
        <v>5</v>
      </c>
      <c r="AC310" s="20" t="str">
        <f>+IFERROR(INDEX('Restaurant Base (Hidden)'!$A$2:$Z$1048576,MATCH($C310,'Restaurant Base (Hidden)'!$C$2:$C$1048576,0),MATCH(AC$6,'Restaurant Base (Hidden)'!$A$1:$Z$1,0)),"")</f>
        <v/>
      </c>
      <c r="AD310" s="65" t="str">
        <f>+IFERROR(INDEX('Restaurant Base (Hidden)'!$A$2:$Z$1048576,MATCH($C310,'Restaurant Base (Hidden)'!$C$2:$C$1048576,0),MATCH(AD$6,'Restaurant Base (Hidden)'!$A$1:$Z$1,0)),"")</f>
        <v>56,50 %</v>
      </c>
      <c r="AE310" s="1">
        <f>+IFERROR(INDEX('Restaurant Base (Hidden)'!$A$2:$Z$1048576,MATCH($C310,'Restaurant Base (Hidden)'!$C$2:$C$1048576,0),MATCH(AE$6,'Restaurant Base (Hidden)'!$A$1:$Z$1,0)),"")</f>
        <v>1</v>
      </c>
      <c r="AF310" s="65" t="str">
        <f>+IFERROR(INDEX('Restaurant Base (Hidden)'!$A$2:$Z$1048576,MATCH($C310,'Restaurant Base (Hidden)'!$C$2:$C$1048576,0),MATCH(AF$6,'Restaurant Base (Hidden)'!$A$1:$Z$1,0)),"")</f>
        <v>97,00 %</v>
      </c>
      <c r="AG310" s="1">
        <f>+IFERROR(INDEX('Restaurant Base (Hidden)'!$A$2:$Z$1048576,MATCH($C310,'Restaurant Base (Hidden)'!$C$2:$C$1048576,0),MATCH(AG$6,'Restaurant Base (Hidden)'!$A$1:$Z$1,0)),"")</f>
        <v>4</v>
      </c>
    </row>
    <row r="311" spans="1:33" x14ac:dyDescent="0.4">
      <c r="A311" s="163" t="str">
        <f>IF('Restaurant Base (Hidden)'!A115=0,"", 'Restaurant Base (Hidden)'!A115)</f>
        <v>Sage Rosemont</v>
      </c>
      <c r="B311" s="163" t="str">
        <f>IF('Restaurant Base (Hidden)'!B115=0,"", 'Restaurant Base (Hidden)'!B115)</f>
        <v>Springwell Hospitality</v>
      </c>
      <c r="C311" s="163" t="str">
        <f>IF('Restaurant Base (Hidden)'!C115=0,"", 'Restaurant Base (Hidden)'!C115)</f>
        <v>Royal Village</v>
      </c>
      <c r="D311" s="104">
        <f t="shared" si="4"/>
        <v>304</v>
      </c>
      <c r="E311" s="105">
        <f>+IFERROR(INDEX('Restaurant Base (Hidden)'!$A$2:$Z$1048576,MATCH($C311,'Restaurant Base (Hidden)'!$C$2:$C$1048576,0),MATCH(E$6,'Restaurant Base (Hidden)'!$A$1:$Z$1,0)),"")</f>
        <v>2.69</v>
      </c>
      <c r="F311" s="2" t="str">
        <f>+IFERROR(INDEX('Restaurant Base (Hidden)'!$A$2:$Z$1048576,MATCH($C311,'Restaurant Base (Hidden)'!$C$2:$C$1048576,0),MATCH(F$6,'Restaurant Base (Hidden)'!$A$1:$Z$1,0)),"")</f>
        <v/>
      </c>
      <c r="G311" s="20" t="str">
        <f>+IFERROR(INDEX('Restaurant Base (Hidden)'!$A$2:$Z$1048576,MATCH($C311,'Restaurant Base (Hidden)'!$C$2:$C$1048576,0),MATCH(G$6,'Restaurant Base (Hidden)'!$A$1:$Z$1,0)),"")</f>
        <v>4,103</v>
      </c>
      <c r="H311" s="50">
        <f>+IFERROR(INDEX('Restaurant Base (Hidden)'!$A$2:$Z$1048576,MATCH($C311,'Restaurant Base (Hidden)'!$C$2:$C$1048576,0),MATCH(H$6,'Restaurant Base (Hidden)'!$A$1:$Z$1,0)),"")</f>
        <v>2</v>
      </c>
      <c r="I311" s="20" t="str">
        <f>+IFERROR(INDEX('Restaurant Base (Hidden)'!$A$2:$Z$1048576,MATCH($C311,'Restaurant Base (Hidden)'!$C$2:$C$1048576,0),MATCH(I$6,'Restaurant Base (Hidden)'!$A$1:$Z$1,0)),"")</f>
        <v>82,80 %</v>
      </c>
      <c r="J311" s="49">
        <f>+IFERROR(INDEX('Restaurant Base (Hidden)'!$A$2:$Z$1048576,MATCH($C311,'Restaurant Base (Hidden)'!$C$2:$C$1048576,0),MATCH(J$6,'Restaurant Base (Hidden)'!$A$1:$Z$1,0)),"")</f>
        <v>2</v>
      </c>
      <c r="K311" s="20" t="str">
        <f>+IFERROR(INDEX('Restaurant Base (Hidden)'!$A$2:$Z$1048576,MATCH($C311,'Restaurant Base (Hidden)'!$C$2:$C$1048576,0),MATCH(K$6,'Restaurant Base (Hidden)'!$A$1:$Z$1,0)),"")</f>
        <v>0,073</v>
      </c>
      <c r="L311" s="51">
        <f>+IFERROR(INDEX('Restaurant Base (Hidden)'!$A$2:$Z$1048576,MATCH($C311,'Restaurant Base (Hidden)'!$C$2:$C$1048576,0),MATCH(L$6,'Restaurant Base (Hidden)'!$A$1:$Z$1,0)),"")</f>
        <v>4</v>
      </c>
      <c r="M311" s="2" t="str">
        <f>+IFERROR(INDEX('Restaurant Base (Hidden)'!$A$2:$Z$1048576,MATCH($C311,'Restaurant Base (Hidden)'!$C$2:$C$1048576,0),MATCH(M$6,'Restaurant Base (Hidden)'!$A$1:$Z$1,0)),"")</f>
        <v/>
      </c>
      <c r="N311" s="234" t="str">
        <f>+IFERROR(INDEX('Restaurant Base (Hidden)'!$A$2:$Z$1048576,MATCH($C311,'Restaurant Base (Hidden)'!$C$2:$C$1048576,0),MATCH(N$6,'Restaurant Base (Hidden)'!$A$1:$Z$1,0)),"")</f>
        <v>55,40 %</v>
      </c>
      <c r="O311" s="1">
        <f>+IFERROR(INDEX('Restaurant Base (Hidden)'!$A$2:$Z$1048576,MATCH($C311,'Restaurant Base (Hidden)'!$C$2:$C$1048576,0),MATCH(O$6,'Restaurant Base (Hidden)'!$A$1:$Z$1,0)),"")</f>
        <v>1</v>
      </c>
      <c r="P311" s="2" t="str">
        <f>+IFERROR(INDEX('Restaurant Base (Hidden)'!$A$2:$Z$1048576,MATCH($C311,'Restaurant Base (Hidden)'!$C$2:$C$1048576,0),MATCH(P$6,'Restaurant Base (Hidden)'!$A$1:$Z$1,0)),"")</f>
        <v/>
      </c>
      <c r="Q311" s="234" t="str">
        <f>+IFERROR(INDEX('Restaurant Base (Hidden)'!$A$2:$Z$1048576,MATCH($C311,'Restaurant Base (Hidden)'!$C$2:$C$1048576,0),MATCH(Q$6,'Restaurant Base (Hidden)'!$A$1:$Z$1,0)),"")</f>
        <v>90,40 %</v>
      </c>
      <c r="R311" s="1">
        <f>+IFERROR(INDEX('Restaurant Base (Hidden)'!$A$2:$Z$1048576,MATCH($C311,'Restaurant Base (Hidden)'!$C$2:$C$1048576,0),MATCH(R$6,'Restaurant Base (Hidden)'!$A$1:$Z$1,0)),"")</f>
        <v>5</v>
      </c>
      <c r="S311" s="2" t="str">
        <f>+IFERROR(INDEX('Restaurant Base (Hidden)'!$A$2:$Z$1048576,MATCH($C311,'Restaurant Base (Hidden)'!$C$2:$C$1048576,0),MATCH(S$6,'Restaurant Base (Hidden)'!$A$1:$Z$1,0)),"")</f>
        <v/>
      </c>
      <c r="T311" s="62">
        <f>+IFERROR(INDEX('Restaurant Base (Hidden)'!$A$2:$Z$1048576,MATCH($C311,'Restaurant Base (Hidden)'!$C$2:$C$1048576,0),MATCH(T$6,'Restaurant Base (Hidden)'!$A$1:$Z$1,0)),"")</f>
        <v>77.2</v>
      </c>
      <c r="U311" s="1">
        <f>+IFERROR(INDEX('Restaurant Base (Hidden)'!$A$2:$Z$1048576,MATCH($C311,'Restaurant Base (Hidden)'!$C$2:$C$1048576,0),MATCH(U$6,'Restaurant Base (Hidden)'!$A$1:$Z$1,0)),"")</f>
        <v>5</v>
      </c>
      <c r="V311" s="2" t="str">
        <f>+IFERROR(INDEX('Restaurant Base (Hidden)'!$A$2:$Z$1048576,MATCH($C311,'Restaurant Base (Hidden)'!$C$2:$C$1048576,0),MATCH(V$6,'Restaurant Base (Hidden)'!$A$1:$Z$1,0)),"")</f>
        <v/>
      </c>
      <c r="W311" s="65" t="str">
        <f>+IFERROR(INDEX('Restaurant Base (Hidden)'!$A$2:$Z$1048576,MATCH($C311,'Restaurant Base (Hidden)'!$C$2:$C$1048576,0),MATCH(W$6,'Restaurant Base (Hidden)'!$A$1:$Z$1,0)),"")</f>
        <v>81,70 %</v>
      </c>
      <c r="X311" s="1">
        <f>+IFERROR(INDEX('Restaurant Base (Hidden)'!$A$2:$Z$1048576,MATCH($C311,'Restaurant Base (Hidden)'!$C$2:$C$1048576,0),MATCH(X$6,'Restaurant Base (Hidden)'!$A$1:$Z$1,0)),"")</f>
        <v>3</v>
      </c>
      <c r="Y311" s="65" t="str">
        <f>+IFERROR(INDEX('Restaurant Base (Hidden)'!$A$2:$Z$1048576,MATCH($C311,'Restaurant Base (Hidden)'!$C$2:$C$1048576,0),MATCH(Y$6,'Restaurant Base (Hidden)'!$A$1:$Z$1,0)),"")</f>
        <v>77,30 %</v>
      </c>
      <c r="Z311" s="106">
        <f>+IFERROR(INDEX('Restaurant Base (Hidden)'!$A$2:$Z$1048576,MATCH($C311,'Restaurant Base (Hidden)'!$C$2:$C$1048576,0),MATCH(Z$6,'Restaurant Base (Hidden)'!$A$1:$Z$1,0)),"")</f>
        <v>2</v>
      </c>
      <c r="AA311" s="65" t="str">
        <f>+IFERROR(INDEX('Restaurant Base (Hidden)'!$A$2:$Z$1048576,MATCH($C311,'Restaurant Base (Hidden)'!$C$2:$C$1048576,0),MATCH(AA$6,'Restaurant Base (Hidden)'!$A$1:$Z$1,0)),"")</f>
        <v>72,90 %</v>
      </c>
      <c r="AB311" s="1">
        <f>+IFERROR(INDEX('Restaurant Base (Hidden)'!$A$2:$Z$1048576,MATCH($C311,'Restaurant Base (Hidden)'!$C$2:$C$1048576,0),MATCH(AB$6,'Restaurant Base (Hidden)'!$A$1:$Z$1,0)),"")</f>
        <v>2</v>
      </c>
      <c r="AC311" s="20" t="str">
        <f>+IFERROR(INDEX('Restaurant Base (Hidden)'!$A$2:$Z$1048576,MATCH($C311,'Restaurant Base (Hidden)'!$C$2:$C$1048576,0),MATCH(AC$6,'Restaurant Base (Hidden)'!$A$1:$Z$1,0)),"")</f>
        <v/>
      </c>
      <c r="AD311" s="65" t="str">
        <f>+IFERROR(INDEX('Restaurant Base (Hidden)'!$A$2:$Z$1048576,MATCH($C311,'Restaurant Base (Hidden)'!$C$2:$C$1048576,0),MATCH(AD$6,'Restaurant Base (Hidden)'!$A$1:$Z$1,0)),"")</f>
        <v>59,00 %</v>
      </c>
      <c r="AE311" s="1">
        <f>+IFERROR(INDEX('Restaurant Base (Hidden)'!$A$2:$Z$1048576,MATCH($C311,'Restaurant Base (Hidden)'!$C$2:$C$1048576,0),MATCH(AE$6,'Restaurant Base (Hidden)'!$A$1:$Z$1,0)),"")</f>
        <v>1</v>
      </c>
      <c r="AF311" s="65" t="str">
        <f>+IFERROR(INDEX('Restaurant Base (Hidden)'!$A$2:$Z$1048576,MATCH($C311,'Restaurant Base (Hidden)'!$C$2:$C$1048576,0),MATCH(AF$6,'Restaurant Base (Hidden)'!$A$1:$Z$1,0)),"")</f>
        <v>78,30 %</v>
      </c>
      <c r="AG311" s="1">
        <f>+IFERROR(INDEX('Restaurant Base (Hidden)'!$A$2:$Z$1048576,MATCH($C311,'Restaurant Base (Hidden)'!$C$2:$C$1048576,0),MATCH(AG$6,'Restaurant Base (Hidden)'!$A$1:$Z$1,0)),"")</f>
        <v>2</v>
      </c>
    </row>
    <row r="312" spans="1:33" x14ac:dyDescent="0.4">
      <c r="A312" s="163" t="str">
        <f>IF('Restaurant Base (Hidden)'!A137=0,"", 'Restaurant Base (Hidden)'!A137)</f>
        <v>Skyler Everhart</v>
      </c>
      <c r="B312" s="163" t="str">
        <f>IF('Restaurant Base (Hidden)'!B137=0,"", 'Restaurant Base (Hidden)'!B137)</f>
        <v>Greenhaven Restaurants</v>
      </c>
      <c r="C312" s="163" t="str">
        <f>IF('Restaurant Base (Hidden)'!C137=0,"", 'Restaurant Base (Hidden)'!C137)</f>
        <v>Willow View</v>
      </c>
      <c r="D312" s="104">
        <f t="shared" si="4"/>
        <v>304</v>
      </c>
      <c r="E312" s="105">
        <f>+IFERROR(INDEX('Restaurant Base (Hidden)'!$A$2:$Z$1048576,MATCH($C312,'Restaurant Base (Hidden)'!$C$2:$C$1048576,0),MATCH(E$6,'Restaurant Base (Hidden)'!$A$1:$Z$1,0)),"")</f>
        <v>2.69</v>
      </c>
      <c r="F312" s="2" t="str">
        <f>+IFERROR(INDEX('Restaurant Base (Hidden)'!$A$2:$Z$1048576,MATCH($C312,'Restaurant Base (Hidden)'!$C$2:$C$1048576,0),MATCH(F$6,'Restaurant Base (Hidden)'!$A$1:$Z$1,0)),"")</f>
        <v/>
      </c>
      <c r="G312" s="20" t="str">
        <f>+IFERROR(INDEX('Restaurant Base (Hidden)'!$A$2:$Z$1048576,MATCH($C312,'Restaurant Base (Hidden)'!$C$2:$C$1048576,0),MATCH(G$6,'Restaurant Base (Hidden)'!$A$1:$Z$1,0)),"")</f>
        <v>4,339</v>
      </c>
      <c r="H312" s="50">
        <f>+IFERROR(INDEX('Restaurant Base (Hidden)'!$A$2:$Z$1048576,MATCH($C312,'Restaurant Base (Hidden)'!$C$2:$C$1048576,0),MATCH(H$6,'Restaurant Base (Hidden)'!$A$1:$Z$1,0)),"")</f>
        <v>3</v>
      </c>
      <c r="I312" s="20" t="str">
        <f>+IFERROR(INDEX('Restaurant Base (Hidden)'!$A$2:$Z$1048576,MATCH($C312,'Restaurant Base (Hidden)'!$C$2:$C$1048576,0),MATCH(I$6,'Restaurant Base (Hidden)'!$A$1:$Z$1,0)),"")</f>
        <v>70,40 %</v>
      </c>
      <c r="J312" s="49">
        <f>+IFERROR(INDEX('Restaurant Base (Hidden)'!$A$2:$Z$1048576,MATCH($C312,'Restaurant Base (Hidden)'!$C$2:$C$1048576,0),MATCH(J$6,'Restaurant Base (Hidden)'!$A$1:$Z$1,0)),"")</f>
        <v>1</v>
      </c>
      <c r="K312" s="20" t="str">
        <f>+IFERROR(INDEX('Restaurant Base (Hidden)'!$A$2:$Z$1048576,MATCH($C312,'Restaurant Base (Hidden)'!$C$2:$C$1048576,0),MATCH(K$6,'Restaurant Base (Hidden)'!$A$1:$Z$1,0)),"")</f>
        <v>0,131</v>
      </c>
      <c r="L312" s="51">
        <f>+IFERROR(INDEX('Restaurant Base (Hidden)'!$A$2:$Z$1048576,MATCH($C312,'Restaurant Base (Hidden)'!$C$2:$C$1048576,0),MATCH(L$6,'Restaurant Base (Hidden)'!$A$1:$Z$1,0)),"")</f>
        <v>2</v>
      </c>
      <c r="M312" s="2" t="str">
        <f>+IFERROR(INDEX('Restaurant Base (Hidden)'!$A$2:$Z$1048576,MATCH($C312,'Restaurant Base (Hidden)'!$C$2:$C$1048576,0),MATCH(M$6,'Restaurant Base (Hidden)'!$A$1:$Z$1,0)),"")</f>
        <v/>
      </c>
      <c r="N312" s="234" t="str">
        <f>+IFERROR(INDEX('Restaurant Base (Hidden)'!$A$2:$Z$1048576,MATCH($C312,'Restaurant Base (Hidden)'!$C$2:$C$1048576,0),MATCH(N$6,'Restaurant Base (Hidden)'!$A$1:$Z$1,0)),"")</f>
        <v>67,60 %</v>
      </c>
      <c r="O312" s="1">
        <f>+IFERROR(INDEX('Restaurant Base (Hidden)'!$A$2:$Z$1048576,MATCH($C312,'Restaurant Base (Hidden)'!$C$2:$C$1048576,0),MATCH(O$6,'Restaurant Base (Hidden)'!$A$1:$Z$1,0)),"")</f>
        <v>3</v>
      </c>
      <c r="P312" s="2" t="str">
        <f>+IFERROR(INDEX('Restaurant Base (Hidden)'!$A$2:$Z$1048576,MATCH($C312,'Restaurant Base (Hidden)'!$C$2:$C$1048576,0),MATCH(P$6,'Restaurant Base (Hidden)'!$A$1:$Z$1,0)),"")</f>
        <v/>
      </c>
      <c r="Q312" s="234" t="str">
        <f>+IFERROR(INDEX('Restaurant Base (Hidden)'!$A$2:$Z$1048576,MATCH($C312,'Restaurant Base (Hidden)'!$C$2:$C$1048576,0),MATCH(Q$6,'Restaurant Base (Hidden)'!$A$1:$Z$1,0)),"")</f>
        <v>85,30 %</v>
      </c>
      <c r="R312" s="1">
        <f>+IFERROR(INDEX('Restaurant Base (Hidden)'!$A$2:$Z$1048576,MATCH($C312,'Restaurant Base (Hidden)'!$C$2:$C$1048576,0),MATCH(R$6,'Restaurant Base (Hidden)'!$A$1:$Z$1,0)),"")</f>
        <v>5</v>
      </c>
      <c r="S312" s="2" t="str">
        <f>+IFERROR(INDEX('Restaurant Base (Hidden)'!$A$2:$Z$1048576,MATCH($C312,'Restaurant Base (Hidden)'!$C$2:$C$1048576,0),MATCH(S$6,'Restaurant Base (Hidden)'!$A$1:$Z$1,0)),"")</f>
        <v/>
      </c>
      <c r="T312" s="62">
        <f>+IFERROR(INDEX('Restaurant Base (Hidden)'!$A$2:$Z$1048576,MATCH($C312,'Restaurant Base (Hidden)'!$C$2:$C$1048576,0),MATCH(T$6,'Restaurant Base (Hidden)'!$A$1:$Z$1,0)),"")</f>
        <v>69.5</v>
      </c>
      <c r="U312" s="1">
        <f>+IFERROR(INDEX('Restaurant Base (Hidden)'!$A$2:$Z$1048576,MATCH($C312,'Restaurant Base (Hidden)'!$C$2:$C$1048576,0),MATCH(U$6,'Restaurant Base (Hidden)'!$A$1:$Z$1,0)),"")</f>
        <v>5</v>
      </c>
      <c r="V312" s="2" t="str">
        <f>+IFERROR(INDEX('Restaurant Base (Hidden)'!$A$2:$Z$1048576,MATCH($C312,'Restaurant Base (Hidden)'!$C$2:$C$1048576,0),MATCH(V$6,'Restaurant Base (Hidden)'!$A$1:$Z$1,0)),"")</f>
        <v/>
      </c>
      <c r="W312" s="65" t="str">
        <f>+IFERROR(INDEX('Restaurant Base (Hidden)'!$A$2:$Z$1048576,MATCH($C312,'Restaurant Base (Hidden)'!$C$2:$C$1048576,0),MATCH(W$6,'Restaurant Base (Hidden)'!$A$1:$Z$1,0)),"")</f>
        <v>58,80 %</v>
      </c>
      <c r="X312" s="1">
        <f>+IFERROR(INDEX('Restaurant Base (Hidden)'!$A$2:$Z$1048576,MATCH($C312,'Restaurant Base (Hidden)'!$C$2:$C$1048576,0),MATCH(X$6,'Restaurant Base (Hidden)'!$A$1:$Z$1,0)),"")</f>
        <v>1</v>
      </c>
      <c r="Y312" s="65" t="str">
        <f>+IFERROR(INDEX('Restaurant Base (Hidden)'!$A$2:$Z$1048576,MATCH($C312,'Restaurant Base (Hidden)'!$C$2:$C$1048576,0),MATCH(Y$6,'Restaurant Base (Hidden)'!$A$1:$Z$1,0)),"")</f>
        <v>86,50 %</v>
      </c>
      <c r="Z312" s="106">
        <f>+IFERROR(INDEX('Restaurant Base (Hidden)'!$A$2:$Z$1048576,MATCH($C312,'Restaurant Base (Hidden)'!$C$2:$C$1048576,0),MATCH(Z$6,'Restaurant Base (Hidden)'!$A$1:$Z$1,0)),"")</f>
        <v>3</v>
      </c>
      <c r="AA312" s="65" t="str">
        <f>+IFERROR(INDEX('Restaurant Base (Hidden)'!$A$2:$Z$1048576,MATCH($C312,'Restaurant Base (Hidden)'!$C$2:$C$1048576,0),MATCH(AA$6,'Restaurant Base (Hidden)'!$A$1:$Z$1,0)),"")</f>
        <v>56,50 %</v>
      </c>
      <c r="AB312" s="1">
        <f>+IFERROR(INDEX('Restaurant Base (Hidden)'!$A$2:$Z$1048576,MATCH($C312,'Restaurant Base (Hidden)'!$C$2:$C$1048576,0),MATCH(AB$6,'Restaurant Base (Hidden)'!$A$1:$Z$1,0)),"")</f>
        <v>1</v>
      </c>
      <c r="AC312" s="20" t="str">
        <f>+IFERROR(INDEX('Restaurant Base (Hidden)'!$A$2:$Z$1048576,MATCH($C312,'Restaurant Base (Hidden)'!$C$2:$C$1048576,0),MATCH(AC$6,'Restaurant Base (Hidden)'!$A$1:$Z$1,0)),"")</f>
        <v/>
      </c>
      <c r="AD312" s="65" t="str">
        <f>+IFERROR(INDEX('Restaurant Base (Hidden)'!$A$2:$Z$1048576,MATCH($C312,'Restaurant Base (Hidden)'!$C$2:$C$1048576,0),MATCH(AD$6,'Restaurant Base (Hidden)'!$A$1:$Z$1,0)),"")</f>
        <v>74,90 %</v>
      </c>
      <c r="AE312" s="1">
        <f>+IFERROR(INDEX('Restaurant Base (Hidden)'!$A$2:$Z$1048576,MATCH($C312,'Restaurant Base (Hidden)'!$C$2:$C$1048576,0),MATCH(AE$6,'Restaurant Base (Hidden)'!$A$1:$Z$1,0)),"")</f>
        <v>2</v>
      </c>
      <c r="AF312" s="65" t="str">
        <f>+IFERROR(INDEX('Restaurant Base (Hidden)'!$A$2:$Z$1048576,MATCH($C312,'Restaurant Base (Hidden)'!$C$2:$C$1048576,0),MATCH(AF$6,'Restaurant Base (Hidden)'!$A$1:$Z$1,0)),"")</f>
        <v>56,00 %</v>
      </c>
      <c r="AG312" s="1">
        <f>+IFERROR(INDEX('Restaurant Base (Hidden)'!$A$2:$Z$1048576,MATCH($C312,'Restaurant Base (Hidden)'!$C$2:$C$1048576,0),MATCH(AG$6,'Restaurant Base (Hidden)'!$A$1:$Z$1,0)),"")</f>
        <v>1</v>
      </c>
    </row>
    <row r="313" spans="1:33" x14ac:dyDescent="0.4">
      <c r="A313" s="163" t="str">
        <f>IF('Restaurant Base (Hidden)'!A348=0,"", 'Restaurant Base (Hidden)'!A348)</f>
        <v>Sawyer Thornfield</v>
      </c>
      <c r="B313" s="163" t="str">
        <f>IF('Restaurant Base (Hidden)'!B348=0,"", 'Restaurant Base (Hidden)'!B348)</f>
        <v>Silverbrook Dining</v>
      </c>
      <c r="C313" s="163" t="str">
        <f>IF('Restaurant Base (Hidden)'!C348=0,"", 'Restaurant Base (Hidden)'!C348)</f>
        <v>Northvale Valley</v>
      </c>
      <c r="D313" s="104">
        <f t="shared" si="4"/>
        <v>304</v>
      </c>
      <c r="E313" s="105">
        <f>+IFERROR(INDEX('Restaurant Base (Hidden)'!$A$2:$Z$1048576,MATCH($C313,'Restaurant Base (Hidden)'!$C$2:$C$1048576,0),MATCH(E$6,'Restaurant Base (Hidden)'!$A$1:$Z$1,0)),"")</f>
        <v>2.69</v>
      </c>
      <c r="F313" s="2" t="str">
        <f>+IFERROR(INDEX('Restaurant Base (Hidden)'!$A$2:$Z$1048576,MATCH($C313,'Restaurant Base (Hidden)'!$C$2:$C$1048576,0),MATCH(F$6,'Restaurant Base (Hidden)'!$A$1:$Z$1,0)),"")</f>
        <v/>
      </c>
      <c r="G313" s="20" t="str">
        <f>+IFERROR(INDEX('Restaurant Base (Hidden)'!$A$2:$Z$1048576,MATCH($C313,'Restaurant Base (Hidden)'!$C$2:$C$1048576,0),MATCH(G$6,'Restaurant Base (Hidden)'!$A$1:$Z$1,0)),"")</f>
        <v>4,009</v>
      </c>
      <c r="H313" s="50">
        <f>+IFERROR(INDEX('Restaurant Base (Hidden)'!$A$2:$Z$1048576,MATCH($C313,'Restaurant Base (Hidden)'!$C$2:$C$1048576,0),MATCH(H$6,'Restaurant Base (Hidden)'!$A$1:$Z$1,0)),"")</f>
        <v>1</v>
      </c>
      <c r="I313" s="20" t="str">
        <f>+IFERROR(INDEX('Restaurant Base (Hidden)'!$A$2:$Z$1048576,MATCH($C313,'Restaurant Base (Hidden)'!$C$2:$C$1048576,0),MATCH(I$6,'Restaurant Base (Hidden)'!$A$1:$Z$1,0)),"")</f>
        <v>91,60 %</v>
      </c>
      <c r="J313" s="49">
        <f>+IFERROR(INDEX('Restaurant Base (Hidden)'!$A$2:$Z$1048576,MATCH($C313,'Restaurant Base (Hidden)'!$C$2:$C$1048576,0),MATCH(J$6,'Restaurant Base (Hidden)'!$A$1:$Z$1,0)),"")</f>
        <v>4</v>
      </c>
      <c r="K313" s="20" t="str">
        <f>+IFERROR(INDEX('Restaurant Base (Hidden)'!$A$2:$Z$1048576,MATCH($C313,'Restaurant Base (Hidden)'!$C$2:$C$1048576,0),MATCH(K$6,'Restaurant Base (Hidden)'!$A$1:$Z$1,0)),"")</f>
        <v>0,105</v>
      </c>
      <c r="L313" s="51">
        <f>+IFERROR(INDEX('Restaurant Base (Hidden)'!$A$2:$Z$1048576,MATCH($C313,'Restaurant Base (Hidden)'!$C$2:$C$1048576,0),MATCH(L$6,'Restaurant Base (Hidden)'!$A$1:$Z$1,0)),"")</f>
        <v>3</v>
      </c>
      <c r="M313" s="2" t="str">
        <f>+IFERROR(INDEX('Restaurant Base (Hidden)'!$A$2:$Z$1048576,MATCH($C313,'Restaurant Base (Hidden)'!$C$2:$C$1048576,0),MATCH(M$6,'Restaurant Base (Hidden)'!$A$1:$Z$1,0)),"")</f>
        <v/>
      </c>
      <c r="N313" s="234" t="str">
        <f>+IFERROR(INDEX('Restaurant Base (Hidden)'!$A$2:$Z$1048576,MATCH($C313,'Restaurant Base (Hidden)'!$C$2:$C$1048576,0),MATCH(N$6,'Restaurant Base (Hidden)'!$A$1:$Z$1,0)),"")</f>
        <v>88,40 %</v>
      </c>
      <c r="O313" s="1">
        <f>+IFERROR(INDEX('Restaurant Base (Hidden)'!$A$2:$Z$1048576,MATCH($C313,'Restaurant Base (Hidden)'!$C$2:$C$1048576,0),MATCH(O$6,'Restaurant Base (Hidden)'!$A$1:$Z$1,0)),"")</f>
        <v>5</v>
      </c>
      <c r="P313" s="2" t="str">
        <f>+IFERROR(INDEX('Restaurant Base (Hidden)'!$A$2:$Z$1048576,MATCH($C313,'Restaurant Base (Hidden)'!$C$2:$C$1048576,0),MATCH(P$6,'Restaurant Base (Hidden)'!$A$1:$Z$1,0)),"")</f>
        <v/>
      </c>
      <c r="Q313" s="234" t="str">
        <f>+IFERROR(INDEX('Restaurant Base (Hidden)'!$A$2:$Z$1048576,MATCH($C313,'Restaurant Base (Hidden)'!$C$2:$C$1048576,0),MATCH(Q$6,'Restaurant Base (Hidden)'!$A$1:$Z$1,0)),"")</f>
        <v>57,00 %</v>
      </c>
      <c r="R313" s="1">
        <f>+IFERROR(INDEX('Restaurant Base (Hidden)'!$A$2:$Z$1048576,MATCH($C313,'Restaurant Base (Hidden)'!$C$2:$C$1048576,0),MATCH(R$6,'Restaurant Base (Hidden)'!$A$1:$Z$1,0)),"")</f>
        <v>1</v>
      </c>
      <c r="S313" s="2" t="str">
        <f>+IFERROR(INDEX('Restaurant Base (Hidden)'!$A$2:$Z$1048576,MATCH($C313,'Restaurant Base (Hidden)'!$C$2:$C$1048576,0),MATCH(S$6,'Restaurant Base (Hidden)'!$A$1:$Z$1,0)),"")</f>
        <v/>
      </c>
      <c r="T313" s="62">
        <f>+IFERROR(INDEX('Restaurant Base (Hidden)'!$A$2:$Z$1048576,MATCH($C313,'Restaurant Base (Hidden)'!$C$2:$C$1048576,0),MATCH(T$6,'Restaurant Base (Hidden)'!$A$1:$Z$1,0)),"")</f>
        <v>64.5</v>
      </c>
      <c r="U313" s="1">
        <f>+IFERROR(INDEX('Restaurant Base (Hidden)'!$A$2:$Z$1048576,MATCH($C313,'Restaurant Base (Hidden)'!$C$2:$C$1048576,0),MATCH(U$6,'Restaurant Base (Hidden)'!$A$1:$Z$1,0)),"")</f>
        <v>4</v>
      </c>
      <c r="V313" s="2" t="str">
        <f>+IFERROR(INDEX('Restaurant Base (Hidden)'!$A$2:$Z$1048576,MATCH($C313,'Restaurant Base (Hidden)'!$C$2:$C$1048576,0),MATCH(V$6,'Restaurant Base (Hidden)'!$A$1:$Z$1,0)),"")</f>
        <v/>
      </c>
      <c r="W313" s="65" t="str">
        <f>+IFERROR(INDEX('Restaurant Base (Hidden)'!$A$2:$Z$1048576,MATCH($C313,'Restaurant Base (Hidden)'!$C$2:$C$1048576,0),MATCH(W$6,'Restaurant Base (Hidden)'!$A$1:$Z$1,0)),"")</f>
        <v>70,90 %</v>
      </c>
      <c r="X313" s="1">
        <f>+IFERROR(INDEX('Restaurant Base (Hidden)'!$A$2:$Z$1048576,MATCH($C313,'Restaurant Base (Hidden)'!$C$2:$C$1048576,0),MATCH(X$6,'Restaurant Base (Hidden)'!$A$1:$Z$1,0)),"")</f>
        <v>2</v>
      </c>
      <c r="Y313" s="65" t="str">
        <f>+IFERROR(INDEX('Restaurant Base (Hidden)'!$A$2:$Z$1048576,MATCH($C313,'Restaurant Base (Hidden)'!$C$2:$C$1048576,0),MATCH(Y$6,'Restaurant Base (Hidden)'!$A$1:$Z$1,0)),"")</f>
        <v>56,50 %</v>
      </c>
      <c r="Z313" s="106">
        <f>+IFERROR(INDEX('Restaurant Base (Hidden)'!$A$2:$Z$1048576,MATCH($C313,'Restaurant Base (Hidden)'!$C$2:$C$1048576,0),MATCH(Z$6,'Restaurant Base (Hidden)'!$A$1:$Z$1,0)),"")</f>
        <v>1</v>
      </c>
      <c r="AA313" s="65" t="str">
        <f>+IFERROR(INDEX('Restaurant Base (Hidden)'!$A$2:$Z$1048576,MATCH($C313,'Restaurant Base (Hidden)'!$C$2:$C$1048576,0),MATCH(AA$6,'Restaurant Base (Hidden)'!$A$1:$Z$1,0)),"")</f>
        <v>98,00 %</v>
      </c>
      <c r="AB313" s="1">
        <f>+IFERROR(INDEX('Restaurant Base (Hidden)'!$A$2:$Z$1048576,MATCH($C313,'Restaurant Base (Hidden)'!$C$2:$C$1048576,0),MATCH(AB$6,'Restaurant Base (Hidden)'!$A$1:$Z$1,0)),"")</f>
        <v>4</v>
      </c>
      <c r="AC313" s="20" t="str">
        <f>+IFERROR(INDEX('Restaurant Base (Hidden)'!$A$2:$Z$1048576,MATCH($C313,'Restaurant Base (Hidden)'!$C$2:$C$1048576,0),MATCH(AC$6,'Restaurant Base (Hidden)'!$A$1:$Z$1,0)),"")</f>
        <v/>
      </c>
      <c r="AD313" s="65" t="str">
        <f>+IFERROR(INDEX('Restaurant Base (Hidden)'!$A$2:$Z$1048576,MATCH($C313,'Restaurant Base (Hidden)'!$C$2:$C$1048576,0),MATCH(AD$6,'Restaurant Base (Hidden)'!$A$1:$Z$1,0)),"")</f>
        <v>77,90 %</v>
      </c>
      <c r="AE313" s="1">
        <f>+IFERROR(INDEX('Restaurant Base (Hidden)'!$A$2:$Z$1048576,MATCH($C313,'Restaurant Base (Hidden)'!$C$2:$C$1048576,0),MATCH(AE$6,'Restaurant Base (Hidden)'!$A$1:$Z$1,0)),"")</f>
        <v>2</v>
      </c>
      <c r="AF313" s="65" t="str">
        <f>+IFERROR(INDEX('Restaurant Base (Hidden)'!$A$2:$Z$1048576,MATCH($C313,'Restaurant Base (Hidden)'!$C$2:$C$1048576,0),MATCH(AF$6,'Restaurant Base (Hidden)'!$A$1:$Z$1,0)),"")</f>
        <v>67,30 %</v>
      </c>
      <c r="AG313" s="1">
        <f>+IFERROR(INDEX('Restaurant Base (Hidden)'!$A$2:$Z$1048576,MATCH($C313,'Restaurant Base (Hidden)'!$C$2:$C$1048576,0),MATCH(AG$6,'Restaurant Base (Hidden)'!$A$1:$Z$1,0)),"")</f>
        <v>1</v>
      </c>
    </row>
    <row r="314" spans="1:33" x14ac:dyDescent="0.4">
      <c r="A314" s="163" t="str">
        <f>IF('Restaurant Base (Hidden)'!A374=0,"", 'Restaurant Base (Hidden)'!A374)</f>
        <v>Dakota Cavendish</v>
      </c>
      <c r="B314" s="163" t="str">
        <f>IF('Restaurant Base (Hidden)'!B374=0,"", 'Restaurant Base (Hidden)'!B374)</f>
        <v>Stonebridge Restaurant Co</v>
      </c>
      <c r="C314" s="163" t="str">
        <f>IF('Restaurant Base (Hidden)'!C374=0,"", 'Restaurant Base (Hidden)'!C374)</f>
        <v>Golden Way</v>
      </c>
      <c r="D314" s="104">
        <f t="shared" si="4"/>
        <v>304</v>
      </c>
      <c r="E314" s="105">
        <f>+IFERROR(INDEX('Restaurant Base (Hidden)'!$A$2:$Z$1048576,MATCH($C314,'Restaurant Base (Hidden)'!$C$2:$C$1048576,0),MATCH(E$6,'Restaurant Base (Hidden)'!$A$1:$Z$1,0)),"")</f>
        <v>2.69</v>
      </c>
      <c r="F314" s="2" t="str">
        <f>+IFERROR(INDEX('Restaurant Base (Hidden)'!$A$2:$Z$1048576,MATCH($C314,'Restaurant Base (Hidden)'!$C$2:$C$1048576,0),MATCH(F$6,'Restaurant Base (Hidden)'!$A$1:$Z$1,0)),"")</f>
        <v/>
      </c>
      <c r="G314" s="20" t="str">
        <f>+IFERROR(INDEX('Restaurant Base (Hidden)'!$A$2:$Z$1048576,MATCH($C314,'Restaurant Base (Hidden)'!$C$2:$C$1048576,0),MATCH(G$6,'Restaurant Base (Hidden)'!$A$1:$Z$1,0)),"")</f>
        <v>4,182</v>
      </c>
      <c r="H314" s="50">
        <f>+IFERROR(INDEX('Restaurant Base (Hidden)'!$A$2:$Z$1048576,MATCH($C314,'Restaurant Base (Hidden)'!$C$2:$C$1048576,0),MATCH(H$6,'Restaurant Base (Hidden)'!$A$1:$Z$1,0)),"")</f>
        <v>2</v>
      </c>
      <c r="I314" s="20" t="str">
        <f>+IFERROR(INDEX('Restaurant Base (Hidden)'!$A$2:$Z$1048576,MATCH($C314,'Restaurant Base (Hidden)'!$C$2:$C$1048576,0),MATCH(I$6,'Restaurant Base (Hidden)'!$A$1:$Z$1,0)),"")</f>
        <v>74,00 %</v>
      </c>
      <c r="J314" s="49">
        <f>+IFERROR(INDEX('Restaurant Base (Hidden)'!$A$2:$Z$1048576,MATCH($C314,'Restaurant Base (Hidden)'!$C$2:$C$1048576,0),MATCH(J$6,'Restaurant Base (Hidden)'!$A$1:$Z$1,0)),"")</f>
        <v>1</v>
      </c>
      <c r="K314" s="20" t="str">
        <f>+IFERROR(INDEX('Restaurant Base (Hidden)'!$A$2:$Z$1048576,MATCH($C314,'Restaurant Base (Hidden)'!$C$2:$C$1048576,0),MATCH(K$6,'Restaurant Base (Hidden)'!$A$1:$Z$1,0)),"")</f>
        <v>0,135</v>
      </c>
      <c r="L314" s="51">
        <f>+IFERROR(INDEX('Restaurant Base (Hidden)'!$A$2:$Z$1048576,MATCH($C314,'Restaurant Base (Hidden)'!$C$2:$C$1048576,0),MATCH(L$6,'Restaurant Base (Hidden)'!$A$1:$Z$1,0)),"")</f>
        <v>2</v>
      </c>
      <c r="M314" s="2" t="str">
        <f>+IFERROR(INDEX('Restaurant Base (Hidden)'!$A$2:$Z$1048576,MATCH($C314,'Restaurant Base (Hidden)'!$C$2:$C$1048576,0),MATCH(M$6,'Restaurant Base (Hidden)'!$A$1:$Z$1,0)),"")</f>
        <v/>
      </c>
      <c r="N314" s="234" t="str">
        <f>+IFERROR(INDEX('Restaurant Base (Hidden)'!$A$2:$Z$1048576,MATCH($C314,'Restaurant Base (Hidden)'!$C$2:$C$1048576,0),MATCH(N$6,'Restaurant Base (Hidden)'!$A$1:$Z$1,0)),"")</f>
        <v>93,80 %</v>
      </c>
      <c r="O314" s="1">
        <f>+IFERROR(INDEX('Restaurant Base (Hidden)'!$A$2:$Z$1048576,MATCH($C314,'Restaurant Base (Hidden)'!$C$2:$C$1048576,0),MATCH(O$6,'Restaurant Base (Hidden)'!$A$1:$Z$1,0)),"")</f>
        <v>5</v>
      </c>
      <c r="P314" s="2" t="str">
        <f>+IFERROR(INDEX('Restaurant Base (Hidden)'!$A$2:$Z$1048576,MATCH($C314,'Restaurant Base (Hidden)'!$C$2:$C$1048576,0),MATCH(P$6,'Restaurant Base (Hidden)'!$A$1:$Z$1,0)),"")</f>
        <v/>
      </c>
      <c r="Q314" s="234" t="str">
        <f>+IFERROR(INDEX('Restaurant Base (Hidden)'!$A$2:$Z$1048576,MATCH($C314,'Restaurant Base (Hidden)'!$C$2:$C$1048576,0),MATCH(Q$6,'Restaurant Base (Hidden)'!$A$1:$Z$1,0)),"")</f>
        <v>81,70 %</v>
      </c>
      <c r="R314" s="1">
        <f>+IFERROR(INDEX('Restaurant Base (Hidden)'!$A$2:$Z$1048576,MATCH($C314,'Restaurant Base (Hidden)'!$C$2:$C$1048576,0),MATCH(R$6,'Restaurant Base (Hidden)'!$A$1:$Z$1,0)),"")</f>
        <v>5</v>
      </c>
      <c r="S314" s="2" t="str">
        <f>+IFERROR(INDEX('Restaurant Base (Hidden)'!$A$2:$Z$1048576,MATCH($C314,'Restaurant Base (Hidden)'!$C$2:$C$1048576,0),MATCH(S$6,'Restaurant Base (Hidden)'!$A$1:$Z$1,0)),"")</f>
        <v/>
      </c>
      <c r="T314" s="62">
        <f>+IFERROR(INDEX('Restaurant Base (Hidden)'!$A$2:$Z$1048576,MATCH($C314,'Restaurant Base (Hidden)'!$C$2:$C$1048576,0),MATCH(T$6,'Restaurant Base (Hidden)'!$A$1:$Z$1,0)),"")</f>
        <v>63.4</v>
      </c>
      <c r="U314" s="1">
        <f>+IFERROR(INDEX('Restaurant Base (Hidden)'!$A$2:$Z$1048576,MATCH($C314,'Restaurant Base (Hidden)'!$C$2:$C$1048576,0),MATCH(U$6,'Restaurant Base (Hidden)'!$A$1:$Z$1,0)),"")</f>
        <v>3</v>
      </c>
      <c r="V314" s="2" t="str">
        <f>+IFERROR(INDEX('Restaurant Base (Hidden)'!$A$2:$Z$1048576,MATCH($C314,'Restaurant Base (Hidden)'!$C$2:$C$1048576,0),MATCH(V$6,'Restaurant Base (Hidden)'!$A$1:$Z$1,0)),"")</f>
        <v/>
      </c>
      <c r="W314" s="65" t="str">
        <f>+IFERROR(INDEX('Restaurant Base (Hidden)'!$A$2:$Z$1048576,MATCH($C314,'Restaurant Base (Hidden)'!$C$2:$C$1048576,0),MATCH(W$6,'Restaurant Base (Hidden)'!$A$1:$Z$1,0)),"")</f>
        <v>83,20 %</v>
      </c>
      <c r="X314" s="1">
        <f>+IFERROR(INDEX('Restaurant Base (Hidden)'!$A$2:$Z$1048576,MATCH($C314,'Restaurant Base (Hidden)'!$C$2:$C$1048576,0),MATCH(X$6,'Restaurant Base (Hidden)'!$A$1:$Z$1,0)),"")</f>
        <v>3</v>
      </c>
      <c r="Y314" s="65" t="str">
        <f>+IFERROR(INDEX('Restaurant Base (Hidden)'!$A$2:$Z$1048576,MATCH($C314,'Restaurant Base (Hidden)'!$C$2:$C$1048576,0),MATCH(Y$6,'Restaurant Base (Hidden)'!$A$1:$Z$1,0)),"")</f>
        <v>75,20 %</v>
      </c>
      <c r="Z314" s="106">
        <f>+IFERROR(INDEX('Restaurant Base (Hidden)'!$A$2:$Z$1048576,MATCH($C314,'Restaurant Base (Hidden)'!$C$2:$C$1048576,0),MATCH(Z$6,'Restaurant Base (Hidden)'!$A$1:$Z$1,0)),"")</f>
        <v>2</v>
      </c>
      <c r="AA314" s="65" t="str">
        <f>+IFERROR(INDEX('Restaurant Base (Hidden)'!$A$2:$Z$1048576,MATCH($C314,'Restaurant Base (Hidden)'!$C$2:$C$1048576,0),MATCH(AA$6,'Restaurant Base (Hidden)'!$A$1:$Z$1,0)),"")</f>
        <v>64,90 %</v>
      </c>
      <c r="AB314" s="1">
        <f>+IFERROR(INDEX('Restaurant Base (Hidden)'!$A$2:$Z$1048576,MATCH($C314,'Restaurant Base (Hidden)'!$C$2:$C$1048576,0),MATCH(AB$6,'Restaurant Base (Hidden)'!$A$1:$Z$1,0)),"")</f>
        <v>2</v>
      </c>
      <c r="AC314" s="20" t="str">
        <f>+IFERROR(INDEX('Restaurant Base (Hidden)'!$A$2:$Z$1048576,MATCH($C314,'Restaurant Base (Hidden)'!$C$2:$C$1048576,0),MATCH(AC$6,'Restaurant Base (Hidden)'!$A$1:$Z$1,0)),"")</f>
        <v/>
      </c>
      <c r="AD314" s="65" t="str">
        <f>+IFERROR(INDEX('Restaurant Base (Hidden)'!$A$2:$Z$1048576,MATCH($C314,'Restaurant Base (Hidden)'!$C$2:$C$1048576,0),MATCH(AD$6,'Restaurant Base (Hidden)'!$A$1:$Z$1,0)),"")</f>
        <v>68,90 %</v>
      </c>
      <c r="AE314" s="1">
        <f>+IFERROR(INDEX('Restaurant Base (Hidden)'!$A$2:$Z$1048576,MATCH($C314,'Restaurant Base (Hidden)'!$C$2:$C$1048576,0),MATCH(AE$6,'Restaurant Base (Hidden)'!$A$1:$Z$1,0)),"")</f>
        <v>1</v>
      </c>
      <c r="AF314" s="65" t="str">
        <f>+IFERROR(INDEX('Restaurant Base (Hidden)'!$A$2:$Z$1048576,MATCH($C314,'Restaurant Base (Hidden)'!$C$2:$C$1048576,0),MATCH(AF$6,'Restaurant Base (Hidden)'!$A$1:$Z$1,0)),"")</f>
        <v>55,30 %</v>
      </c>
      <c r="AG314" s="1">
        <f>+IFERROR(INDEX('Restaurant Base (Hidden)'!$A$2:$Z$1048576,MATCH($C314,'Restaurant Base (Hidden)'!$C$2:$C$1048576,0),MATCH(AG$6,'Restaurant Base (Hidden)'!$A$1:$Z$1,0)),"")</f>
        <v>1</v>
      </c>
    </row>
    <row r="315" spans="1:33" x14ac:dyDescent="0.4">
      <c r="A315" s="163" t="str">
        <f>IF('Restaurant Base (Hidden)'!A39=0,"", 'Restaurant Base (Hidden)'!A39)</f>
        <v>Hayden Merriton</v>
      </c>
      <c r="B315" s="163" t="str">
        <f>IF('Restaurant Base (Hidden)'!B39=0,"", 'Restaurant Base (Hidden)'!B39)</f>
        <v>Pinecrest Hospitality</v>
      </c>
      <c r="C315" s="163" t="str">
        <f>IF('Restaurant Base (Hidden)'!C39=0,"", 'Restaurant Base (Hidden)'!C39)</f>
        <v>Western Point</v>
      </c>
      <c r="D315" s="104">
        <f t="shared" si="4"/>
        <v>309</v>
      </c>
      <c r="E315" s="105">
        <f>+IFERROR(INDEX('Restaurant Base (Hidden)'!$A$2:$Z$1048576,MATCH($C315,'Restaurant Base (Hidden)'!$C$2:$C$1048576,0),MATCH(E$6,'Restaurant Base (Hidden)'!$A$1:$Z$1,0)),"")</f>
        <v>2.68</v>
      </c>
      <c r="F315" s="64" t="str">
        <f>+IFERROR(INDEX('Restaurant Base (Hidden)'!$A$2:$Z$1048576,MATCH($C315,'Restaurant Base (Hidden)'!$C$2:$C$1048576,0),MATCH(F$6,'Restaurant Base (Hidden)'!$A$1:$Z$1,0)),"")</f>
        <v/>
      </c>
      <c r="G315" s="20" t="str">
        <f>+IFERROR(INDEX('Restaurant Base (Hidden)'!$A$2:$Z$1048576,MATCH($C315,'Restaurant Base (Hidden)'!$C$2:$C$1048576,0),MATCH(G$6,'Restaurant Base (Hidden)'!$A$1:$Z$1,0)),"")</f>
        <v>4,179</v>
      </c>
      <c r="H315" s="50">
        <f>+IFERROR(INDEX('Restaurant Base (Hidden)'!$A$2:$Z$1048576,MATCH($C315,'Restaurant Base (Hidden)'!$C$2:$C$1048576,0),MATCH(H$6,'Restaurant Base (Hidden)'!$A$1:$Z$1,0)),"")</f>
        <v>2</v>
      </c>
      <c r="I315" s="20" t="str">
        <f>+IFERROR(INDEX('Restaurant Base (Hidden)'!$A$2:$Z$1048576,MATCH($C315,'Restaurant Base (Hidden)'!$C$2:$C$1048576,0),MATCH(I$6,'Restaurant Base (Hidden)'!$A$1:$Z$1,0)),"")</f>
        <v>58,00 %</v>
      </c>
      <c r="J315" s="49">
        <f>+IFERROR(INDEX('Restaurant Base (Hidden)'!$A$2:$Z$1048576,MATCH($C315,'Restaurant Base (Hidden)'!$C$2:$C$1048576,0),MATCH(J$6,'Restaurant Base (Hidden)'!$A$1:$Z$1,0)),"")</f>
        <v>1</v>
      </c>
      <c r="K315" s="20" t="str">
        <f>+IFERROR(INDEX('Restaurant Base (Hidden)'!$A$2:$Z$1048576,MATCH($C315,'Restaurant Base (Hidden)'!$C$2:$C$1048576,0),MATCH(K$6,'Restaurant Base (Hidden)'!$A$1:$Z$1,0)),"")</f>
        <v>0,113</v>
      </c>
      <c r="L315" s="51">
        <f>+IFERROR(INDEX('Restaurant Base (Hidden)'!$A$2:$Z$1048576,MATCH($C315,'Restaurant Base (Hidden)'!$C$2:$C$1048576,0),MATCH(L$6,'Restaurant Base (Hidden)'!$A$1:$Z$1,0)),"")</f>
        <v>3</v>
      </c>
      <c r="M315" s="2" t="str">
        <f>+IFERROR(INDEX('Restaurant Base (Hidden)'!$A$2:$Z$1048576,MATCH($C315,'Restaurant Base (Hidden)'!$C$2:$C$1048576,0),MATCH(M$6,'Restaurant Base (Hidden)'!$A$1:$Z$1,0)),"")</f>
        <v/>
      </c>
      <c r="N315" s="234" t="str">
        <f>+IFERROR(INDEX('Restaurant Base (Hidden)'!$A$2:$Z$1048576,MATCH($C315,'Restaurant Base (Hidden)'!$C$2:$C$1048576,0),MATCH(N$6,'Restaurant Base (Hidden)'!$A$1:$Z$1,0)),"")</f>
        <v>93,20 %</v>
      </c>
      <c r="O315" s="1">
        <f>+IFERROR(INDEX('Restaurant Base (Hidden)'!$A$2:$Z$1048576,MATCH($C315,'Restaurant Base (Hidden)'!$C$2:$C$1048576,0),MATCH(O$6,'Restaurant Base (Hidden)'!$A$1:$Z$1,0)),"")</f>
        <v>5</v>
      </c>
      <c r="P315" s="2" t="str">
        <f>+IFERROR(INDEX('Restaurant Base (Hidden)'!$A$2:$Z$1048576,MATCH($C315,'Restaurant Base (Hidden)'!$C$2:$C$1048576,0),MATCH(P$6,'Restaurant Base (Hidden)'!$A$1:$Z$1,0)),"")</f>
        <v/>
      </c>
      <c r="Q315" s="234" t="str">
        <f>+IFERROR(INDEX('Restaurant Base (Hidden)'!$A$2:$Z$1048576,MATCH($C315,'Restaurant Base (Hidden)'!$C$2:$C$1048576,0),MATCH(Q$6,'Restaurant Base (Hidden)'!$A$1:$Z$1,0)),"")</f>
        <v>97,80 %</v>
      </c>
      <c r="R315" s="1">
        <f>+IFERROR(INDEX('Restaurant Base (Hidden)'!$A$2:$Z$1048576,MATCH($C315,'Restaurant Base (Hidden)'!$C$2:$C$1048576,0),MATCH(R$6,'Restaurant Base (Hidden)'!$A$1:$Z$1,0)),"")</f>
        <v>5</v>
      </c>
      <c r="S315" s="2" t="str">
        <f>+IFERROR(INDEX('Restaurant Base (Hidden)'!$A$2:$Z$1048576,MATCH($C315,'Restaurant Base (Hidden)'!$C$2:$C$1048576,0),MATCH(S$6,'Restaurant Base (Hidden)'!$A$1:$Z$1,0)),"")</f>
        <v/>
      </c>
      <c r="T315" s="62">
        <f>+IFERROR(INDEX('Restaurant Base (Hidden)'!$A$2:$Z$1048576,MATCH($C315,'Restaurant Base (Hidden)'!$C$2:$C$1048576,0),MATCH(T$6,'Restaurant Base (Hidden)'!$A$1:$Z$1,0)),"")</f>
        <v>61.1</v>
      </c>
      <c r="U315" s="1">
        <f>+IFERROR(INDEX('Restaurant Base (Hidden)'!$A$2:$Z$1048576,MATCH($C315,'Restaurant Base (Hidden)'!$C$2:$C$1048576,0),MATCH(U$6,'Restaurant Base (Hidden)'!$A$1:$Z$1,0)),"")</f>
        <v>3</v>
      </c>
      <c r="V315" s="2" t="str">
        <f>+IFERROR(INDEX('Restaurant Base (Hidden)'!$A$2:$Z$1048576,MATCH($C315,'Restaurant Base (Hidden)'!$C$2:$C$1048576,0),MATCH(V$6,'Restaurant Base (Hidden)'!$A$1:$Z$1,0)),"")</f>
        <v/>
      </c>
      <c r="W315" s="65" t="str">
        <f>+IFERROR(INDEX('Restaurant Base (Hidden)'!$A$2:$Z$1048576,MATCH($C315,'Restaurant Base (Hidden)'!$C$2:$C$1048576,0),MATCH(W$6,'Restaurant Base (Hidden)'!$A$1:$Z$1,0)),"")</f>
        <v>55,40 %</v>
      </c>
      <c r="X315" s="1">
        <f>+IFERROR(INDEX('Restaurant Base (Hidden)'!$A$2:$Z$1048576,MATCH($C315,'Restaurant Base (Hidden)'!$C$2:$C$1048576,0),MATCH(X$6,'Restaurant Base (Hidden)'!$A$1:$Z$1,0)),"")</f>
        <v>1</v>
      </c>
      <c r="Y315" s="65" t="str">
        <f>+IFERROR(INDEX('Restaurant Base (Hidden)'!$A$2:$Z$1048576,MATCH($C315,'Restaurant Base (Hidden)'!$C$2:$C$1048576,0),MATCH(Y$6,'Restaurant Base (Hidden)'!$A$1:$Z$1,0)),"")</f>
        <v>72,30 %</v>
      </c>
      <c r="Z315" s="106">
        <f>+IFERROR(INDEX('Restaurant Base (Hidden)'!$A$2:$Z$1048576,MATCH($C315,'Restaurant Base (Hidden)'!$C$2:$C$1048576,0),MATCH(Z$6,'Restaurant Base (Hidden)'!$A$1:$Z$1,0)),"")</f>
        <v>2</v>
      </c>
      <c r="AA315" s="65" t="str">
        <f>+IFERROR(INDEX('Restaurant Base (Hidden)'!$A$2:$Z$1048576,MATCH($C315,'Restaurant Base (Hidden)'!$C$2:$C$1048576,0),MATCH(AA$6,'Restaurant Base (Hidden)'!$A$1:$Z$1,0)),"")</f>
        <v>55,30 %</v>
      </c>
      <c r="AB315" s="1">
        <f>+IFERROR(INDEX('Restaurant Base (Hidden)'!$A$2:$Z$1048576,MATCH($C315,'Restaurant Base (Hidden)'!$C$2:$C$1048576,0),MATCH(AB$6,'Restaurant Base (Hidden)'!$A$1:$Z$1,0)),"")</f>
        <v>1</v>
      </c>
      <c r="AC315" s="20" t="str">
        <f>+IFERROR(INDEX('Restaurant Base (Hidden)'!$A$2:$Z$1048576,MATCH($C315,'Restaurant Base (Hidden)'!$C$2:$C$1048576,0),MATCH(AC$6,'Restaurant Base (Hidden)'!$A$1:$Z$1,0)),"")</f>
        <v/>
      </c>
      <c r="AD315" s="65" t="str">
        <f>+IFERROR(INDEX('Restaurant Base (Hidden)'!$A$2:$Z$1048576,MATCH($C315,'Restaurant Base (Hidden)'!$C$2:$C$1048576,0),MATCH(AD$6,'Restaurant Base (Hidden)'!$A$1:$Z$1,0)),"")</f>
        <v>79,60 %</v>
      </c>
      <c r="AE315" s="1">
        <f>+IFERROR(INDEX('Restaurant Base (Hidden)'!$A$2:$Z$1048576,MATCH($C315,'Restaurant Base (Hidden)'!$C$2:$C$1048576,0),MATCH(AE$6,'Restaurant Base (Hidden)'!$A$1:$Z$1,0)),"")</f>
        <v>2</v>
      </c>
      <c r="AF315" s="65" t="str">
        <f>+IFERROR(INDEX('Restaurant Base (Hidden)'!$A$2:$Z$1048576,MATCH($C315,'Restaurant Base (Hidden)'!$C$2:$C$1048576,0),MATCH(AF$6,'Restaurant Base (Hidden)'!$A$1:$Z$1,0)),"")</f>
        <v>66,40 %</v>
      </c>
      <c r="AG315" s="1">
        <f>+IFERROR(INDEX('Restaurant Base (Hidden)'!$A$2:$Z$1048576,MATCH($C315,'Restaurant Base (Hidden)'!$C$2:$C$1048576,0),MATCH(AG$6,'Restaurant Base (Hidden)'!$A$1:$Z$1,0)),"")</f>
        <v>1</v>
      </c>
    </row>
    <row r="316" spans="1:33" x14ac:dyDescent="0.4">
      <c r="A316" s="163" t="str">
        <f>IF('Restaurant Base (Hidden)'!A116=0,"", 'Restaurant Base (Hidden)'!A116)</f>
        <v>Sawyer Thornfield</v>
      </c>
      <c r="B316" s="163" t="str">
        <f>IF('Restaurant Base (Hidden)'!B116=0,"", 'Restaurant Base (Hidden)'!B116)</f>
        <v>Crestwood Dining</v>
      </c>
      <c r="C316" s="163" t="str">
        <f>IF('Restaurant Base (Hidden)'!C116=0,"", 'Restaurant Base (Hidden)'!C116)</f>
        <v>Sunny Gate</v>
      </c>
      <c r="D316" s="104">
        <f t="shared" si="4"/>
        <v>309</v>
      </c>
      <c r="E316" s="105">
        <f>+IFERROR(INDEX('Restaurant Base (Hidden)'!$A$2:$Z$1048576,MATCH($C316,'Restaurant Base (Hidden)'!$C$2:$C$1048576,0),MATCH(E$6,'Restaurant Base (Hidden)'!$A$1:$Z$1,0)),"")</f>
        <v>2.68</v>
      </c>
      <c r="F316" s="2" t="str">
        <f>+IFERROR(INDEX('Restaurant Base (Hidden)'!$A$2:$Z$1048576,MATCH($C316,'Restaurant Base (Hidden)'!$C$2:$C$1048576,0),MATCH(F$6,'Restaurant Base (Hidden)'!$A$1:$Z$1,0)),"")</f>
        <v/>
      </c>
      <c r="G316" s="20" t="str">
        <f>+IFERROR(INDEX('Restaurant Base (Hidden)'!$A$2:$Z$1048576,MATCH($C316,'Restaurant Base (Hidden)'!$C$2:$C$1048576,0),MATCH(G$6,'Restaurant Base (Hidden)'!$A$1:$Z$1,0)),"")</f>
        <v>4,650</v>
      </c>
      <c r="H316" s="50">
        <f>+IFERROR(INDEX('Restaurant Base (Hidden)'!$A$2:$Z$1048576,MATCH($C316,'Restaurant Base (Hidden)'!$C$2:$C$1048576,0),MATCH(H$6,'Restaurant Base (Hidden)'!$A$1:$Z$1,0)),"")</f>
        <v>5</v>
      </c>
      <c r="I316" s="20" t="str">
        <f>+IFERROR(INDEX('Restaurant Base (Hidden)'!$A$2:$Z$1048576,MATCH($C316,'Restaurant Base (Hidden)'!$C$2:$C$1048576,0),MATCH(I$6,'Restaurant Base (Hidden)'!$A$1:$Z$1,0)),"")</f>
        <v>82,80 %</v>
      </c>
      <c r="J316" s="49">
        <f>+IFERROR(INDEX('Restaurant Base (Hidden)'!$A$2:$Z$1048576,MATCH($C316,'Restaurant Base (Hidden)'!$C$2:$C$1048576,0),MATCH(J$6,'Restaurant Base (Hidden)'!$A$1:$Z$1,0)),"")</f>
        <v>2</v>
      </c>
      <c r="K316" s="20" t="str">
        <f>+IFERROR(INDEX('Restaurant Base (Hidden)'!$A$2:$Z$1048576,MATCH($C316,'Restaurant Base (Hidden)'!$C$2:$C$1048576,0),MATCH(K$6,'Restaurant Base (Hidden)'!$A$1:$Z$1,0)),"")</f>
        <v>0,190</v>
      </c>
      <c r="L316" s="51">
        <f>+IFERROR(INDEX('Restaurant Base (Hidden)'!$A$2:$Z$1048576,MATCH($C316,'Restaurant Base (Hidden)'!$C$2:$C$1048576,0),MATCH(L$6,'Restaurant Base (Hidden)'!$A$1:$Z$1,0)),"")</f>
        <v>1</v>
      </c>
      <c r="M316" s="2" t="str">
        <f>+IFERROR(INDEX('Restaurant Base (Hidden)'!$A$2:$Z$1048576,MATCH($C316,'Restaurant Base (Hidden)'!$C$2:$C$1048576,0),MATCH(M$6,'Restaurant Base (Hidden)'!$A$1:$Z$1,0)),"")</f>
        <v/>
      </c>
      <c r="N316" s="234" t="str">
        <f>+IFERROR(INDEX('Restaurant Base (Hidden)'!$A$2:$Z$1048576,MATCH($C316,'Restaurant Base (Hidden)'!$C$2:$C$1048576,0),MATCH(N$6,'Restaurant Base (Hidden)'!$A$1:$Z$1,0)),"")</f>
        <v>97,10 %</v>
      </c>
      <c r="O316" s="1">
        <f>+IFERROR(INDEX('Restaurant Base (Hidden)'!$A$2:$Z$1048576,MATCH($C316,'Restaurant Base (Hidden)'!$C$2:$C$1048576,0),MATCH(O$6,'Restaurant Base (Hidden)'!$A$1:$Z$1,0)),"")</f>
        <v>5</v>
      </c>
      <c r="P316" s="2" t="str">
        <f>+IFERROR(INDEX('Restaurant Base (Hidden)'!$A$2:$Z$1048576,MATCH($C316,'Restaurant Base (Hidden)'!$C$2:$C$1048576,0),MATCH(P$6,'Restaurant Base (Hidden)'!$A$1:$Z$1,0)),"")</f>
        <v/>
      </c>
      <c r="Q316" s="234" t="str">
        <f>+IFERROR(INDEX('Restaurant Base (Hidden)'!$A$2:$Z$1048576,MATCH($C316,'Restaurant Base (Hidden)'!$C$2:$C$1048576,0),MATCH(Q$6,'Restaurant Base (Hidden)'!$A$1:$Z$1,0)),"")</f>
        <v>59,40 %</v>
      </c>
      <c r="R316" s="1">
        <f>+IFERROR(INDEX('Restaurant Base (Hidden)'!$A$2:$Z$1048576,MATCH($C316,'Restaurant Base (Hidden)'!$C$2:$C$1048576,0),MATCH(R$6,'Restaurant Base (Hidden)'!$A$1:$Z$1,0)),"")</f>
        <v>1</v>
      </c>
      <c r="S316" s="2" t="str">
        <f>+IFERROR(INDEX('Restaurant Base (Hidden)'!$A$2:$Z$1048576,MATCH($C316,'Restaurant Base (Hidden)'!$C$2:$C$1048576,0),MATCH(S$6,'Restaurant Base (Hidden)'!$A$1:$Z$1,0)),"")</f>
        <v/>
      </c>
      <c r="T316" s="62">
        <f>+IFERROR(INDEX('Restaurant Base (Hidden)'!$A$2:$Z$1048576,MATCH($C316,'Restaurant Base (Hidden)'!$C$2:$C$1048576,0),MATCH(T$6,'Restaurant Base (Hidden)'!$A$1:$Z$1,0)),"")</f>
        <v>68.3</v>
      </c>
      <c r="U316" s="1">
        <f>+IFERROR(INDEX('Restaurant Base (Hidden)'!$A$2:$Z$1048576,MATCH($C316,'Restaurant Base (Hidden)'!$C$2:$C$1048576,0),MATCH(U$6,'Restaurant Base (Hidden)'!$A$1:$Z$1,0)),"")</f>
        <v>4</v>
      </c>
      <c r="V316" s="2" t="str">
        <f>+IFERROR(INDEX('Restaurant Base (Hidden)'!$A$2:$Z$1048576,MATCH($C316,'Restaurant Base (Hidden)'!$C$2:$C$1048576,0),MATCH(V$6,'Restaurant Base (Hidden)'!$A$1:$Z$1,0)),"")</f>
        <v/>
      </c>
      <c r="W316" s="65" t="str">
        <f>+IFERROR(INDEX('Restaurant Base (Hidden)'!$A$2:$Z$1048576,MATCH($C316,'Restaurant Base (Hidden)'!$C$2:$C$1048576,0),MATCH(W$6,'Restaurant Base (Hidden)'!$A$1:$Z$1,0)),"")</f>
        <v>85,00 %</v>
      </c>
      <c r="X316" s="1">
        <f>+IFERROR(INDEX('Restaurant Base (Hidden)'!$A$2:$Z$1048576,MATCH($C316,'Restaurant Base (Hidden)'!$C$2:$C$1048576,0),MATCH(X$6,'Restaurant Base (Hidden)'!$A$1:$Z$1,0)),"")</f>
        <v>3</v>
      </c>
      <c r="Y316" s="65" t="str">
        <f>+IFERROR(INDEX('Restaurant Base (Hidden)'!$A$2:$Z$1048576,MATCH($C316,'Restaurant Base (Hidden)'!$C$2:$C$1048576,0),MATCH(Y$6,'Restaurant Base (Hidden)'!$A$1:$Z$1,0)),"")</f>
        <v>77,20 %</v>
      </c>
      <c r="Z316" s="106">
        <f>+IFERROR(INDEX('Restaurant Base (Hidden)'!$A$2:$Z$1048576,MATCH($C316,'Restaurant Base (Hidden)'!$C$2:$C$1048576,0),MATCH(Z$6,'Restaurant Base (Hidden)'!$A$1:$Z$1,0)),"")</f>
        <v>2</v>
      </c>
      <c r="AA316" s="65" t="str">
        <f>+IFERROR(INDEX('Restaurant Base (Hidden)'!$A$2:$Z$1048576,MATCH($C316,'Restaurant Base (Hidden)'!$C$2:$C$1048576,0),MATCH(AA$6,'Restaurant Base (Hidden)'!$A$1:$Z$1,0)),"")</f>
        <v>55,00 %</v>
      </c>
      <c r="AB316" s="1">
        <f>+IFERROR(INDEX('Restaurant Base (Hidden)'!$A$2:$Z$1048576,MATCH($C316,'Restaurant Base (Hidden)'!$C$2:$C$1048576,0),MATCH(AB$6,'Restaurant Base (Hidden)'!$A$1:$Z$1,0)),"")</f>
        <v>1</v>
      </c>
      <c r="AC316" s="20" t="str">
        <f>+IFERROR(INDEX('Restaurant Base (Hidden)'!$A$2:$Z$1048576,MATCH($C316,'Restaurant Base (Hidden)'!$C$2:$C$1048576,0),MATCH(AC$6,'Restaurant Base (Hidden)'!$A$1:$Z$1,0)),"")</f>
        <v/>
      </c>
      <c r="AD316" s="65" t="str">
        <f>+IFERROR(INDEX('Restaurant Base (Hidden)'!$A$2:$Z$1048576,MATCH($C316,'Restaurant Base (Hidden)'!$C$2:$C$1048576,0),MATCH(AD$6,'Restaurant Base (Hidden)'!$A$1:$Z$1,0)),"")</f>
        <v>64,60 %</v>
      </c>
      <c r="AE316" s="1">
        <f>+IFERROR(INDEX('Restaurant Base (Hidden)'!$A$2:$Z$1048576,MATCH($C316,'Restaurant Base (Hidden)'!$C$2:$C$1048576,0),MATCH(AE$6,'Restaurant Base (Hidden)'!$A$1:$Z$1,0)),"")</f>
        <v>1</v>
      </c>
      <c r="AF316" s="65" t="str">
        <f>+IFERROR(INDEX('Restaurant Base (Hidden)'!$A$2:$Z$1048576,MATCH($C316,'Restaurant Base (Hidden)'!$C$2:$C$1048576,0),MATCH(AF$6,'Restaurant Base (Hidden)'!$A$1:$Z$1,0)),"")</f>
        <v>86,20 %</v>
      </c>
      <c r="AG316" s="1">
        <f>+IFERROR(INDEX('Restaurant Base (Hidden)'!$A$2:$Z$1048576,MATCH($C316,'Restaurant Base (Hidden)'!$C$2:$C$1048576,0),MATCH(AG$6,'Restaurant Base (Hidden)'!$A$1:$Z$1,0)),"")</f>
        <v>3</v>
      </c>
    </row>
    <row r="317" spans="1:33" x14ac:dyDescent="0.4">
      <c r="A317" s="163" t="str">
        <f>IF('Restaurant Base (Hidden)'!A32=0,"", 'Restaurant Base (Hidden)'!A32)</f>
        <v>Blake Bellamy</v>
      </c>
      <c r="B317" s="163" t="str">
        <f>IF('Restaurant Base (Hidden)'!B32=0,"", 'Restaurant Base (Hidden)'!B32)</f>
        <v>Oakmont Dining Partners</v>
      </c>
      <c r="C317" s="163" t="str">
        <f>IF('Restaurant Base (Hidden)'!C32=0,"", 'Restaurant Base (Hidden)'!C32)</f>
        <v>Northern Point</v>
      </c>
      <c r="D317" s="104">
        <f t="shared" si="4"/>
        <v>311</v>
      </c>
      <c r="E317" s="105">
        <f>+IFERROR(INDEX('Restaurant Base (Hidden)'!$A$2:$Z$1048576,MATCH($C317,'Restaurant Base (Hidden)'!$C$2:$C$1048576,0),MATCH(E$6,'Restaurant Base (Hidden)'!$A$1:$Z$1,0)),"")</f>
        <v>2.67</v>
      </c>
      <c r="F317" s="64" t="str">
        <f>+IFERROR(INDEX('Restaurant Base (Hidden)'!$A$2:$Z$1048576,MATCH($C317,'Restaurant Base (Hidden)'!$C$2:$C$1048576,0),MATCH(F$6,'Restaurant Base (Hidden)'!$A$1:$Z$1,0)),"")</f>
        <v/>
      </c>
      <c r="G317" s="20" t="str">
        <f>+IFERROR(INDEX('Restaurant Base (Hidden)'!$A$2:$Z$1048576,MATCH($C317,'Restaurant Base (Hidden)'!$C$2:$C$1048576,0),MATCH(G$6,'Restaurant Base (Hidden)'!$A$1:$Z$1,0)),"")</f>
        <v>4,099</v>
      </c>
      <c r="H317" s="50">
        <f>+IFERROR(INDEX('Restaurant Base (Hidden)'!$A$2:$Z$1048576,MATCH($C317,'Restaurant Base (Hidden)'!$C$2:$C$1048576,0),MATCH(H$6,'Restaurant Base (Hidden)'!$A$1:$Z$1,0)),"")</f>
        <v>2</v>
      </c>
      <c r="I317" s="20" t="str">
        <f>+IFERROR(INDEX('Restaurant Base (Hidden)'!$A$2:$Z$1048576,MATCH($C317,'Restaurant Base (Hidden)'!$C$2:$C$1048576,0),MATCH(I$6,'Restaurant Base (Hidden)'!$A$1:$Z$1,0)),"")</f>
        <v>55,60 %</v>
      </c>
      <c r="J317" s="49">
        <f>+IFERROR(INDEX('Restaurant Base (Hidden)'!$A$2:$Z$1048576,MATCH($C317,'Restaurant Base (Hidden)'!$C$2:$C$1048576,0),MATCH(J$6,'Restaurant Base (Hidden)'!$A$1:$Z$1,0)),"")</f>
        <v>1</v>
      </c>
      <c r="K317" s="20" t="str">
        <f>+IFERROR(INDEX('Restaurant Base (Hidden)'!$A$2:$Z$1048576,MATCH($C317,'Restaurant Base (Hidden)'!$C$2:$C$1048576,0),MATCH(K$6,'Restaurant Base (Hidden)'!$A$1:$Z$1,0)),"")</f>
        <v>0,182</v>
      </c>
      <c r="L317" s="51">
        <f>+IFERROR(INDEX('Restaurant Base (Hidden)'!$A$2:$Z$1048576,MATCH($C317,'Restaurant Base (Hidden)'!$C$2:$C$1048576,0),MATCH(L$6,'Restaurant Base (Hidden)'!$A$1:$Z$1,0)),"")</f>
        <v>1</v>
      </c>
      <c r="M317" s="2" t="str">
        <f>+IFERROR(INDEX('Restaurant Base (Hidden)'!$A$2:$Z$1048576,MATCH($C317,'Restaurant Base (Hidden)'!$C$2:$C$1048576,0),MATCH(M$6,'Restaurant Base (Hidden)'!$A$1:$Z$1,0)),"")</f>
        <v/>
      </c>
      <c r="N317" s="234" t="str">
        <f>+IFERROR(INDEX('Restaurant Base (Hidden)'!$A$2:$Z$1048576,MATCH($C317,'Restaurant Base (Hidden)'!$C$2:$C$1048576,0),MATCH(N$6,'Restaurant Base (Hidden)'!$A$1:$Z$1,0)),"")</f>
        <v>81,00 %</v>
      </c>
      <c r="O317" s="1">
        <f>+IFERROR(INDEX('Restaurant Base (Hidden)'!$A$2:$Z$1048576,MATCH($C317,'Restaurant Base (Hidden)'!$C$2:$C$1048576,0),MATCH(O$6,'Restaurant Base (Hidden)'!$A$1:$Z$1,0)),"")</f>
        <v>5</v>
      </c>
      <c r="P317" s="2" t="str">
        <f>+IFERROR(INDEX('Restaurant Base (Hidden)'!$A$2:$Z$1048576,MATCH($C317,'Restaurant Base (Hidden)'!$C$2:$C$1048576,0),MATCH(P$6,'Restaurant Base (Hidden)'!$A$1:$Z$1,0)),"")</f>
        <v/>
      </c>
      <c r="Q317" s="234" t="str">
        <f>+IFERROR(INDEX('Restaurant Base (Hidden)'!$A$2:$Z$1048576,MATCH($C317,'Restaurant Base (Hidden)'!$C$2:$C$1048576,0),MATCH(Q$6,'Restaurant Base (Hidden)'!$A$1:$Z$1,0)),"")</f>
        <v>63,60 %</v>
      </c>
      <c r="R317" s="1">
        <f>+IFERROR(INDEX('Restaurant Base (Hidden)'!$A$2:$Z$1048576,MATCH($C317,'Restaurant Base (Hidden)'!$C$2:$C$1048576,0),MATCH(R$6,'Restaurant Base (Hidden)'!$A$1:$Z$1,0)),"")</f>
        <v>2</v>
      </c>
      <c r="S317" s="2" t="str">
        <f>+IFERROR(INDEX('Restaurant Base (Hidden)'!$A$2:$Z$1048576,MATCH($C317,'Restaurant Base (Hidden)'!$C$2:$C$1048576,0),MATCH(S$6,'Restaurant Base (Hidden)'!$A$1:$Z$1,0)),"")</f>
        <v/>
      </c>
      <c r="T317" s="62">
        <f>+IFERROR(INDEX('Restaurant Base (Hidden)'!$A$2:$Z$1048576,MATCH($C317,'Restaurant Base (Hidden)'!$C$2:$C$1048576,0),MATCH(T$6,'Restaurant Base (Hidden)'!$A$1:$Z$1,0)),"")</f>
        <v>76.099999999999994</v>
      </c>
      <c r="U317" s="1">
        <f>+IFERROR(INDEX('Restaurant Base (Hidden)'!$A$2:$Z$1048576,MATCH($C317,'Restaurant Base (Hidden)'!$C$2:$C$1048576,0),MATCH(U$6,'Restaurant Base (Hidden)'!$A$1:$Z$1,0)),"")</f>
        <v>5</v>
      </c>
      <c r="V317" s="2" t="str">
        <f>+IFERROR(INDEX('Restaurant Base (Hidden)'!$A$2:$Z$1048576,MATCH($C317,'Restaurant Base (Hidden)'!$C$2:$C$1048576,0),MATCH(V$6,'Restaurant Base (Hidden)'!$A$1:$Z$1,0)),"")</f>
        <v/>
      </c>
      <c r="W317" s="65" t="str">
        <f>+IFERROR(INDEX('Restaurant Base (Hidden)'!$A$2:$Z$1048576,MATCH($C317,'Restaurant Base (Hidden)'!$C$2:$C$1048576,0),MATCH(W$6,'Restaurant Base (Hidden)'!$A$1:$Z$1,0)),"")</f>
        <v>64,70 %</v>
      </c>
      <c r="X317" s="1">
        <f>+IFERROR(INDEX('Restaurant Base (Hidden)'!$A$2:$Z$1048576,MATCH($C317,'Restaurant Base (Hidden)'!$C$2:$C$1048576,0),MATCH(X$6,'Restaurant Base (Hidden)'!$A$1:$Z$1,0)),"")</f>
        <v>2</v>
      </c>
      <c r="Y317" s="65" t="str">
        <f>+IFERROR(INDEX('Restaurant Base (Hidden)'!$A$2:$Z$1048576,MATCH($C317,'Restaurant Base (Hidden)'!$C$2:$C$1048576,0),MATCH(Y$6,'Restaurant Base (Hidden)'!$A$1:$Z$1,0)),"")</f>
        <v>69,20 %</v>
      </c>
      <c r="Z317" s="106">
        <f>+IFERROR(INDEX('Restaurant Base (Hidden)'!$A$2:$Z$1048576,MATCH($C317,'Restaurant Base (Hidden)'!$C$2:$C$1048576,0),MATCH(Z$6,'Restaurant Base (Hidden)'!$A$1:$Z$1,0)),"")</f>
        <v>2</v>
      </c>
      <c r="AA317" s="65" t="str">
        <f>+IFERROR(INDEX('Restaurant Base (Hidden)'!$A$2:$Z$1048576,MATCH($C317,'Restaurant Base (Hidden)'!$C$2:$C$1048576,0),MATCH(AA$6,'Restaurant Base (Hidden)'!$A$1:$Z$1,0)),"")</f>
        <v>81,40 %</v>
      </c>
      <c r="AB317" s="1">
        <f>+IFERROR(INDEX('Restaurant Base (Hidden)'!$A$2:$Z$1048576,MATCH($C317,'Restaurant Base (Hidden)'!$C$2:$C$1048576,0),MATCH(AB$6,'Restaurant Base (Hidden)'!$A$1:$Z$1,0)),"")</f>
        <v>2</v>
      </c>
      <c r="AC317" s="20" t="str">
        <f>+IFERROR(INDEX('Restaurant Base (Hidden)'!$A$2:$Z$1048576,MATCH($C317,'Restaurant Base (Hidden)'!$C$2:$C$1048576,0),MATCH(AC$6,'Restaurant Base (Hidden)'!$A$1:$Z$1,0)),"")</f>
        <v/>
      </c>
      <c r="AD317" s="65" t="str">
        <f>+IFERROR(INDEX('Restaurant Base (Hidden)'!$A$2:$Z$1048576,MATCH($C317,'Restaurant Base (Hidden)'!$C$2:$C$1048576,0),MATCH(AD$6,'Restaurant Base (Hidden)'!$A$1:$Z$1,0)),"")</f>
        <v>73,30 %</v>
      </c>
      <c r="AE317" s="1">
        <f>+IFERROR(INDEX('Restaurant Base (Hidden)'!$A$2:$Z$1048576,MATCH($C317,'Restaurant Base (Hidden)'!$C$2:$C$1048576,0),MATCH(AE$6,'Restaurant Base (Hidden)'!$A$1:$Z$1,0)),"")</f>
        <v>2</v>
      </c>
      <c r="AF317" s="65" t="str">
        <f>+IFERROR(INDEX('Restaurant Base (Hidden)'!$A$2:$Z$1048576,MATCH($C317,'Restaurant Base (Hidden)'!$C$2:$C$1048576,0),MATCH(AF$6,'Restaurant Base (Hidden)'!$A$1:$Z$1,0)),"")</f>
        <v>91,30 %</v>
      </c>
      <c r="AG317" s="1">
        <f>+IFERROR(INDEX('Restaurant Base (Hidden)'!$A$2:$Z$1048576,MATCH($C317,'Restaurant Base (Hidden)'!$C$2:$C$1048576,0),MATCH(AG$6,'Restaurant Base (Hidden)'!$A$1:$Z$1,0)),"")</f>
        <v>3</v>
      </c>
    </row>
    <row r="318" spans="1:33" x14ac:dyDescent="0.4">
      <c r="A318" s="163" t="str">
        <f>IF('Restaurant Base (Hidden)'!A176=0,"", 'Restaurant Base (Hidden)'!A176)</f>
        <v>Avery Ashford</v>
      </c>
      <c r="B318" s="163" t="str">
        <f>IF('Restaurant Base (Hidden)'!B176=0,"", 'Restaurant Base (Hidden)'!B176)</f>
        <v>Redwood Food Partners</v>
      </c>
      <c r="C318" s="163" t="str">
        <f>IF('Restaurant Base (Hidden)'!C176=0,"", 'Restaurant Base (Hidden)'!C176)</f>
        <v>Fox Square</v>
      </c>
      <c r="D318" s="104">
        <f t="shared" si="4"/>
        <v>312</v>
      </c>
      <c r="E318" s="105">
        <f>+IFERROR(INDEX('Restaurant Base (Hidden)'!$A$2:$Z$1048576,MATCH($C318,'Restaurant Base (Hidden)'!$C$2:$C$1048576,0),MATCH(E$6,'Restaurant Base (Hidden)'!$A$1:$Z$1,0)),"")</f>
        <v>2.66</v>
      </c>
      <c r="F318" s="2" t="str">
        <f>+IFERROR(INDEX('Restaurant Base (Hidden)'!$A$2:$Z$1048576,MATCH($C318,'Restaurant Base (Hidden)'!$C$2:$C$1048576,0),MATCH(F$6,'Restaurant Base (Hidden)'!$A$1:$Z$1,0)),"")</f>
        <v/>
      </c>
      <c r="G318" s="20" t="str">
        <f>+IFERROR(INDEX('Restaurant Base (Hidden)'!$A$2:$Z$1048576,MATCH($C318,'Restaurant Base (Hidden)'!$C$2:$C$1048576,0),MATCH(G$6,'Restaurant Base (Hidden)'!$A$1:$Z$1,0)),"")</f>
        <v>4,357</v>
      </c>
      <c r="H318" s="50">
        <f>+IFERROR(INDEX('Restaurant Base (Hidden)'!$A$2:$Z$1048576,MATCH($C318,'Restaurant Base (Hidden)'!$C$2:$C$1048576,0),MATCH(H$6,'Restaurant Base (Hidden)'!$A$1:$Z$1,0)),"")</f>
        <v>4</v>
      </c>
      <c r="I318" s="20" t="str">
        <f>+IFERROR(INDEX('Restaurant Base (Hidden)'!$A$2:$Z$1048576,MATCH($C318,'Restaurant Base (Hidden)'!$C$2:$C$1048576,0),MATCH(I$6,'Restaurant Base (Hidden)'!$A$1:$Z$1,0)),"")</f>
        <v>77,30 %</v>
      </c>
      <c r="J318" s="49">
        <f>+IFERROR(INDEX('Restaurant Base (Hidden)'!$A$2:$Z$1048576,MATCH($C318,'Restaurant Base (Hidden)'!$C$2:$C$1048576,0),MATCH(J$6,'Restaurant Base (Hidden)'!$A$1:$Z$1,0)),"")</f>
        <v>1</v>
      </c>
      <c r="K318" s="20" t="str">
        <f>+IFERROR(INDEX('Restaurant Base (Hidden)'!$A$2:$Z$1048576,MATCH($C318,'Restaurant Base (Hidden)'!$C$2:$C$1048576,0),MATCH(K$6,'Restaurant Base (Hidden)'!$A$1:$Z$1,0)),"")</f>
        <v>0,136</v>
      </c>
      <c r="L318" s="51">
        <f>+IFERROR(INDEX('Restaurant Base (Hidden)'!$A$2:$Z$1048576,MATCH($C318,'Restaurant Base (Hidden)'!$C$2:$C$1048576,0),MATCH(L$6,'Restaurant Base (Hidden)'!$A$1:$Z$1,0)),"")</f>
        <v>2</v>
      </c>
      <c r="M318" s="2" t="str">
        <f>+IFERROR(INDEX('Restaurant Base (Hidden)'!$A$2:$Z$1048576,MATCH($C318,'Restaurant Base (Hidden)'!$C$2:$C$1048576,0),MATCH(M$6,'Restaurant Base (Hidden)'!$A$1:$Z$1,0)),"")</f>
        <v/>
      </c>
      <c r="N318" s="234" t="str">
        <f>+IFERROR(INDEX('Restaurant Base (Hidden)'!$A$2:$Z$1048576,MATCH($C318,'Restaurant Base (Hidden)'!$C$2:$C$1048576,0),MATCH(N$6,'Restaurant Base (Hidden)'!$A$1:$Z$1,0)),"")</f>
        <v>57,40 %</v>
      </c>
      <c r="O318" s="1">
        <f>+IFERROR(INDEX('Restaurant Base (Hidden)'!$A$2:$Z$1048576,MATCH($C318,'Restaurant Base (Hidden)'!$C$2:$C$1048576,0),MATCH(O$6,'Restaurant Base (Hidden)'!$A$1:$Z$1,0)),"")</f>
        <v>1</v>
      </c>
      <c r="P318" s="2" t="str">
        <f>+IFERROR(INDEX('Restaurant Base (Hidden)'!$A$2:$Z$1048576,MATCH($C318,'Restaurant Base (Hidden)'!$C$2:$C$1048576,0),MATCH(P$6,'Restaurant Base (Hidden)'!$A$1:$Z$1,0)),"")</f>
        <v/>
      </c>
      <c r="Q318" s="234" t="str">
        <f>+IFERROR(INDEX('Restaurant Base (Hidden)'!$A$2:$Z$1048576,MATCH($C318,'Restaurant Base (Hidden)'!$C$2:$C$1048576,0),MATCH(Q$6,'Restaurant Base (Hidden)'!$A$1:$Z$1,0)),"")</f>
        <v>81,20 %</v>
      </c>
      <c r="R318" s="1">
        <f>+IFERROR(INDEX('Restaurant Base (Hidden)'!$A$2:$Z$1048576,MATCH($C318,'Restaurant Base (Hidden)'!$C$2:$C$1048576,0),MATCH(R$6,'Restaurant Base (Hidden)'!$A$1:$Z$1,0)),"")</f>
        <v>5</v>
      </c>
      <c r="S318" s="2" t="str">
        <f>+IFERROR(INDEX('Restaurant Base (Hidden)'!$A$2:$Z$1048576,MATCH($C318,'Restaurant Base (Hidden)'!$C$2:$C$1048576,0),MATCH(S$6,'Restaurant Base (Hidden)'!$A$1:$Z$1,0)),"")</f>
        <v/>
      </c>
      <c r="T318" s="62">
        <f>+IFERROR(INDEX('Restaurant Base (Hidden)'!$A$2:$Z$1048576,MATCH($C318,'Restaurant Base (Hidden)'!$C$2:$C$1048576,0),MATCH(T$6,'Restaurant Base (Hidden)'!$A$1:$Z$1,0)),"")</f>
        <v>70</v>
      </c>
      <c r="U318" s="1">
        <f>+IFERROR(INDEX('Restaurant Base (Hidden)'!$A$2:$Z$1048576,MATCH($C318,'Restaurant Base (Hidden)'!$C$2:$C$1048576,0),MATCH(U$6,'Restaurant Base (Hidden)'!$A$1:$Z$1,0)),"")</f>
        <v>5</v>
      </c>
      <c r="V318" s="2" t="str">
        <f>+IFERROR(INDEX('Restaurant Base (Hidden)'!$A$2:$Z$1048576,MATCH($C318,'Restaurant Base (Hidden)'!$C$2:$C$1048576,0),MATCH(V$6,'Restaurant Base (Hidden)'!$A$1:$Z$1,0)),"")</f>
        <v/>
      </c>
      <c r="W318" s="65" t="str">
        <f>+IFERROR(INDEX('Restaurant Base (Hidden)'!$A$2:$Z$1048576,MATCH($C318,'Restaurant Base (Hidden)'!$C$2:$C$1048576,0),MATCH(W$6,'Restaurant Base (Hidden)'!$A$1:$Z$1,0)),"")</f>
        <v>70,10 %</v>
      </c>
      <c r="X318" s="1">
        <f>+IFERROR(INDEX('Restaurant Base (Hidden)'!$A$2:$Z$1048576,MATCH($C318,'Restaurant Base (Hidden)'!$C$2:$C$1048576,0),MATCH(X$6,'Restaurant Base (Hidden)'!$A$1:$Z$1,0)),"")</f>
        <v>2</v>
      </c>
      <c r="Y318" s="65" t="str">
        <f>+IFERROR(INDEX('Restaurant Base (Hidden)'!$A$2:$Z$1048576,MATCH($C318,'Restaurant Base (Hidden)'!$C$2:$C$1048576,0),MATCH(Y$6,'Restaurant Base (Hidden)'!$A$1:$Z$1,0)),"")</f>
        <v>97,10 %</v>
      </c>
      <c r="Z318" s="106">
        <f>+IFERROR(INDEX('Restaurant Base (Hidden)'!$A$2:$Z$1048576,MATCH($C318,'Restaurant Base (Hidden)'!$C$2:$C$1048576,0),MATCH(Z$6,'Restaurant Base (Hidden)'!$A$1:$Z$1,0)),"")</f>
        <v>4</v>
      </c>
      <c r="AA318" s="65" t="str">
        <f>+IFERROR(INDEX('Restaurant Base (Hidden)'!$A$2:$Z$1048576,MATCH($C318,'Restaurant Base (Hidden)'!$C$2:$C$1048576,0),MATCH(AA$6,'Restaurant Base (Hidden)'!$A$1:$Z$1,0)),"")</f>
        <v>68,20 %</v>
      </c>
      <c r="AB318" s="1">
        <f>+IFERROR(INDEX('Restaurant Base (Hidden)'!$A$2:$Z$1048576,MATCH($C318,'Restaurant Base (Hidden)'!$C$2:$C$1048576,0),MATCH(AB$6,'Restaurant Base (Hidden)'!$A$1:$Z$1,0)),"")</f>
        <v>2</v>
      </c>
      <c r="AC318" s="20" t="str">
        <f>+IFERROR(INDEX('Restaurant Base (Hidden)'!$A$2:$Z$1048576,MATCH($C318,'Restaurant Base (Hidden)'!$C$2:$C$1048576,0),MATCH(AC$6,'Restaurant Base (Hidden)'!$A$1:$Z$1,0)),"")</f>
        <v/>
      </c>
      <c r="AD318" s="65" t="str">
        <f>+IFERROR(INDEX('Restaurant Base (Hidden)'!$A$2:$Z$1048576,MATCH($C318,'Restaurant Base (Hidden)'!$C$2:$C$1048576,0),MATCH(AD$6,'Restaurant Base (Hidden)'!$A$1:$Z$1,0)),"")</f>
        <v>55,70 %</v>
      </c>
      <c r="AE318" s="1">
        <f>+IFERROR(INDEX('Restaurant Base (Hidden)'!$A$2:$Z$1048576,MATCH($C318,'Restaurant Base (Hidden)'!$C$2:$C$1048576,0),MATCH(AE$6,'Restaurant Base (Hidden)'!$A$1:$Z$1,0)),"")</f>
        <v>1</v>
      </c>
      <c r="AF318" s="65" t="str">
        <f>+IFERROR(INDEX('Restaurant Base (Hidden)'!$A$2:$Z$1048576,MATCH($C318,'Restaurant Base (Hidden)'!$C$2:$C$1048576,0),MATCH(AF$6,'Restaurant Base (Hidden)'!$A$1:$Z$1,0)),"")</f>
        <v>78,10 %</v>
      </c>
      <c r="AG318" s="1">
        <f>+IFERROR(INDEX('Restaurant Base (Hidden)'!$A$2:$Z$1048576,MATCH($C318,'Restaurant Base (Hidden)'!$C$2:$C$1048576,0),MATCH(AG$6,'Restaurant Base (Hidden)'!$A$1:$Z$1,0)),"")</f>
        <v>2</v>
      </c>
    </row>
    <row r="319" spans="1:33" x14ac:dyDescent="0.4">
      <c r="A319" s="163" t="str">
        <f>IF('Restaurant Base (Hidden)'!A78=0,"", 'Restaurant Base (Hidden)'!A78)</f>
        <v>Rowan Kingsley</v>
      </c>
      <c r="B319" s="163" t="str">
        <f>IF('Restaurant Base (Hidden)'!B78=0,"", 'Restaurant Base (Hidden)'!B78)</f>
        <v>Havenbrook Restaurants</v>
      </c>
      <c r="C319" s="163" t="str">
        <f>IF('Restaurant Base (Hidden)'!C78=0,"", 'Restaurant Base (Hidden)'!C78)</f>
        <v>Riverside Point</v>
      </c>
      <c r="D319" s="104">
        <f t="shared" si="4"/>
        <v>313</v>
      </c>
      <c r="E319" s="105">
        <f>+IFERROR(INDEX('Restaurant Base (Hidden)'!$A$2:$Z$1048576,MATCH($C319,'Restaurant Base (Hidden)'!$C$2:$C$1048576,0),MATCH(E$6,'Restaurant Base (Hidden)'!$A$1:$Z$1,0)),"")</f>
        <v>2.65</v>
      </c>
      <c r="F319" s="64" t="str">
        <f>+IFERROR(INDEX('Restaurant Base (Hidden)'!$A$2:$Z$1048576,MATCH($C319,'Restaurant Base (Hidden)'!$C$2:$C$1048576,0),MATCH(F$6,'Restaurant Base (Hidden)'!$A$1:$Z$1,0)),"")</f>
        <v/>
      </c>
      <c r="G319" s="20" t="str">
        <f>+IFERROR(INDEX('Restaurant Base (Hidden)'!$A$2:$Z$1048576,MATCH($C319,'Restaurant Base (Hidden)'!$C$2:$C$1048576,0),MATCH(G$6,'Restaurant Base (Hidden)'!$A$1:$Z$1,0)),"")</f>
        <v>4,060</v>
      </c>
      <c r="H319" s="50">
        <f>+IFERROR(INDEX('Restaurant Base (Hidden)'!$A$2:$Z$1048576,MATCH($C319,'Restaurant Base (Hidden)'!$C$2:$C$1048576,0),MATCH(H$6,'Restaurant Base (Hidden)'!$A$1:$Z$1,0)),"")</f>
        <v>2</v>
      </c>
      <c r="I319" s="20" t="str">
        <f>+IFERROR(INDEX('Restaurant Base (Hidden)'!$A$2:$Z$1048576,MATCH($C319,'Restaurant Base (Hidden)'!$C$2:$C$1048576,0),MATCH(I$6,'Restaurant Base (Hidden)'!$A$1:$Z$1,0)),"")</f>
        <v>58,10 %</v>
      </c>
      <c r="J319" s="49">
        <f>+IFERROR(INDEX('Restaurant Base (Hidden)'!$A$2:$Z$1048576,MATCH($C319,'Restaurant Base (Hidden)'!$C$2:$C$1048576,0),MATCH(J$6,'Restaurant Base (Hidden)'!$A$1:$Z$1,0)),"")</f>
        <v>1</v>
      </c>
      <c r="K319" s="20" t="str">
        <f>+IFERROR(INDEX('Restaurant Base (Hidden)'!$A$2:$Z$1048576,MATCH($C319,'Restaurant Base (Hidden)'!$C$2:$C$1048576,0),MATCH(K$6,'Restaurant Base (Hidden)'!$A$1:$Z$1,0)),"")</f>
        <v>0,049</v>
      </c>
      <c r="L319" s="51">
        <f>+IFERROR(INDEX('Restaurant Base (Hidden)'!$A$2:$Z$1048576,MATCH($C319,'Restaurant Base (Hidden)'!$C$2:$C$1048576,0),MATCH(L$6,'Restaurant Base (Hidden)'!$A$1:$Z$1,0)),"")</f>
        <v>5</v>
      </c>
      <c r="M319" s="2" t="str">
        <f>+IFERROR(INDEX('Restaurant Base (Hidden)'!$A$2:$Z$1048576,MATCH($C319,'Restaurant Base (Hidden)'!$C$2:$C$1048576,0),MATCH(M$6,'Restaurant Base (Hidden)'!$A$1:$Z$1,0)),"")</f>
        <v/>
      </c>
      <c r="N319" s="234" t="str">
        <f>+IFERROR(INDEX('Restaurant Base (Hidden)'!$A$2:$Z$1048576,MATCH($C319,'Restaurant Base (Hidden)'!$C$2:$C$1048576,0),MATCH(N$6,'Restaurant Base (Hidden)'!$A$1:$Z$1,0)),"")</f>
        <v>69,20 %</v>
      </c>
      <c r="O319" s="1">
        <f>+IFERROR(INDEX('Restaurant Base (Hidden)'!$A$2:$Z$1048576,MATCH($C319,'Restaurant Base (Hidden)'!$C$2:$C$1048576,0),MATCH(O$6,'Restaurant Base (Hidden)'!$A$1:$Z$1,0)),"")</f>
        <v>4</v>
      </c>
      <c r="P319" s="2" t="str">
        <f>+IFERROR(INDEX('Restaurant Base (Hidden)'!$A$2:$Z$1048576,MATCH($C319,'Restaurant Base (Hidden)'!$C$2:$C$1048576,0),MATCH(P$6,'Restaurant Base (Hidden)'!$A$1:$Z$1,0)),"")</f>
        <v/>
      </c>
      <c r="Q319" s="234" t="str">
        <f>+IFERROR(INDEX('Restaurant Base (Hidden)'!$A$2:$Z$1048576,MATCH($C319,'Restaurant Base (Hidden)'!$C$2:$C$1048576,0),MATCH(Q$6,'Restaurant Base (Hidden)'!$A$1:$Z$1,0)),"")</f>
        <v>57,80 %</v>
      </c>
      <c r="R319" s="1">
        <f>+IFERROR(INDEX('Restaurant Base (Hidden)'!$A$2:$Z$1048576,MATCH($C319,'Restaurant Base (Hidden)'!$C$2:$C$1048576,0),MATCH(R$6,'Restaurant Base (Hidden)'!$A$1:$Z$1,0)),"")</f>
        <v>1</v>
      </c>
      <c r="S319" s="2" t="str">
        <f>+IFERROR(INDEX('Restaurant Base (Hidden)'!$A$2:$Z$1048576,MATCH($C319,'Restaurant Base (Hidden)'!$C$2:$C$1048576,0),MATCH(S$6,'Restaurant Base (Hidden)'!$A$1:$Z$1,0)),"")</f>
        <v/>
      </c>
      <c r="T319" s="62">
        <f>+IFERROR(INDEX('Restaurant Base (Hidden)'!$A$2:$Z$1048576,MATCH($C319,'Restaurant Base (Hidden)'!$C$2:$C$1048576,0),MATCH(T$6,'Restaurant Base (Hidden)'!$A$1:$Z$1,0)),"")</f>
        <v>58.3</v>
      </c>
      <c r="U319" s="1">
        <f>+IFERROR(INDEX('Restaurant Base (Hidden)'!$A$2:$Z$1048576,MATCH($C319,'Restaurant Base (Hidden)'!$C$2:$C$1048576,0),MATCH(U$6,'Restaurant Base (Hidden)'!$A$1:$Z$1,0)),"")</f>
        <v>2</v>
      </c>
      <c r="V319" s="2" t="str">
        <f>+IFERROR(INDEX('Restaurant Base (Hidden)'!$A$2:$Z$1048576,MATCH($C319,'Restaurant Base (Hidden)'!$C$2:$C$1048576,0),MATCH(V$6,'Restaurant Base (Hidden)'!$A$1:$Z$1,0)),"")</f>
        <v/>
      </c>
      <c r="W319" s="65" t="str">
        <f>+IFERROR(INDEX('Restaurant Base (Hidden)'!$A$2:$Z$1048576,MATCH($C319,'Restaurant Base (Hidden)'!$C$2:$C$1048576,0),MATCH(W$6,'Restaurant Base (Hidden)'!$A$1:$Z$1,0)),"")</f>
        <v>91,10 %</v>
      </c>
      <c r="X319" s="1">
        <f>+IFERROR(INDEX('Restaurant Base (Hidden)'!$A$2:$Z$1048576,MATCH($C319,'Restaurant Base (Hidden)'!$C$2:$C$1048576,0),MATCH(X$6,'Restaurant Base (Hidden)'!$A$1:$Z$1,0)),"")</f>
        <v>3</v>
      </c>
      <c r="Y319" s="65" t="str">
        <f>+IFERROR(INDEX('Restaurant Base (Hidden)'!$A$2:$Z$1048576,MATCH($C319,'Restaurant Base (Hidden)'!$C$2:$C$1048576,0),MATCH(Y$6,'Restaurant Base (Hidden)'!$A$1:$Z$1,0)),"")</f>
        <v>96,20 %</v>
      </c>
      <c r="Z319" s="106">
        <f>+IFERROR(INDEX('Restaurant Base (Hidden)'!$A$2:$Z$1048576,MATCH($C319,'Restaurant Base (Hidden)'!$C$2:$C$1048576,0),MATCH(Z$6,'Restaurant Base (Hidden)'!$A$1:$Z$1,0)),"")</f>
        <v>4</v>
      </c>
      <c r="AA319" s="65" t="str">
        <f>+IFERROR(INDEX('Restaurant Base (Hidden)'!$A$2:$Z$1048576,MATCH($C319,'Restaurant Base (Hidden)'!$C$2:$C$1048576,0),MATCH(AA$6,'Restaurant Base (Hidden)'!$A$1:$Z$1,0)),"")</f>
        <v>97,30 %</v>
      </c>
      <c r="AB319" s="1">
        <f>+IFERROR(INDEX('Restaurant Base (Hidden)'!$A$2:$Z$1048576,MATCH($C319,'Restaurant Base (Hidden)'!$C$2:$C$1048576,0),MATCH(AB$6,'Restaurant Base (Hidden)'!$A$1:$Z$1,0)),"")</f>
        <v>4</v>
      </c>
      <c r="AC319" s="20" t="str">
        <f>+IFERROR(INDEX('Restaurant Base (Hidden)'!$A$2:$Z$1048576,MATCH($C319,'Restaurant Base (Hidden)'!$C$2:$C$1048576,0),MATCH(AC$6,'Restaurant Base (Hidden)'!$A$1:$Z$1,0)),"")</f>
        <v/>
      </c>
      <c r="AD319" s="65" t="str">
        <f>+IFERROR(INDEX('Restaurant Base (Hidden)'!$A$2:$Z$1048576,MATCH($C319,'Restaurant Base (Hidden)'!$C$2:$C$1048576,0),MATCH(AD$6,'Restaurant Base (Hidden)'!$A$1:$Z$1,0)),"")</f>
        <v>91,30 %</v>
      </c>
      <c r="AE319" s="1">
        <f>+IFERROR(INDEX('Restaurant Base (Hidden)'!$A$2:$Z$1048576,MATCH($C319,'Restaurant Base (Hidden)'!$C$2:$C$1048576,0),MATCH(AE$6,'Restaurant Base (Hidden)'!$A$1:$Z$1,0)),"")</f>
        <v>4</v>
      </c>
      <c r="AF319" s="65" t="str">
        <f>+IFERROR(INDEX('Restaurant Base (Hidden)'!$A$2:$Z$1048576,MATCH($C319,'Restaurant Base (Hidden)'!$C$2:$C$1048576,0),MATCH(AF$6,'Restaurant Base (Hidden)'!$A$1:$Z$1,0)),"")</f>
        <v>81,20 %</v>
      </c>
      <c r="AG319" s="1">
        <f>+IFERROR(INDEX('Restaurant Base (Hidden)'!$A$2:$Z$1048576,MATCH($C319,'Restaurant Base (Hidden)'!$C$2:$C$1048576,0),MATCH(AG$6,'Restaurant Base (Hidden)'!$A$1:$Z$1,0)),"")</f>
        <v>2</v>
      </c>
    </row>
    <row r="320" spans="1:33" x14ac:dyDescent="0.4">
      <c r="A320" s="163" t="str">
        <f>IF('Restaurant Base (Hidden)'!A47=0,"", 'Restaurant Base (Hidden)'!A47)</f>
        <v>Reese Whitmore</v>
      </c>
      <c r="B320" s="163" t="str">
        <f>IF('Restaurant Base (Hidden)'!B47=0,"", 'Restaurant Base (Hidden)'!B47)</f>
        <v>Brightfield Dining</v>
      </c>
      <c r="C320" s="163" t="str">
        <f>IF('Restaurant Base (Hidden)'!C47=0,"", 'Restaurant Base (Hidden)'!C47)</f>
        <v>Eagle Boulevard</v>
      </c>
      <c r="D320" s="104">
        <f t="shared" si="4"/>
        <v>314</v>
      </c>
      <c r="E320" s="105">
        <f>+IFERROR(INDEX('Restaurant Base (Hidden)'!$A$2:$Z$1048576,MATCH($C320,'Restaurant Base (Hidden)'!$C$2:$C$1048576,0),MATCH(E$6,'Restaurant Base (Hidden)'!$A$1:$Z$1,0)),"")</f>
        <v>2.64</v>
      </c>
      <c r="F320" s="64" t="str">
        <f>+IFERROR(INDEX('Restaurant Base (Hidden)'!$A$2:$Z$1048576,MATCH($C320,'Restaurant Base (Hidden)'!$C$2:$C$1048576,0),MATCH(F$6,'Restaurant Base (Hidden)'!$A$1:$Z$1,0)),"")</f>
        <v/>
      </c>
      <c r="G320" s="20" t="str">
        <f>+IFERROR(INDEX('Restaurant Base (Hidden)'!$A$2:$Z$1048576,MATCH($C320,'Restaurant Base (Hidden)'!$C$2:$C$1048576,0),MATCH(G$6,'Restaurant Base (Hidden)'!$A$1:$Z$1,0)),"")</f>
        <v>4,595</v>
      </c>
      <c r="H320" s="50">
        <f>+IFERROR(INDEX('Restaurant Base (Hidden)'!$A$2:$Z$1048576,MATCH($C320,'Restaurant Base (Hidden)'!$C$2:$C$1048576,0),MATCH(H$6,'Restaurant Base (Hidden)'!$A$1:$Z$1,0)),"")</f>
        <v>5</v>
      </c>
      <c r="I320" s="20" t="str">
        <f>+IFERROR(INDEX('Restaurant Base (Hidden)'!$A$2:$Z$1048576,MATCH($C320,'Restaurant Base (Hidden)'!$C$2:$C$1048576,0),MATCH(I$6,'Restaurant Base (Hidden)'!$A$1:$Z$1,0)),"")</f>
        <v>98,90 %</v>
      </c>
      <c r="J320" s="49">
        <f>+IFERROR(INDEX('Restaurant Base (Hidden)'!$A$2:$Z$1048576,MATCH($C320,'Restaurant Base (Hidden)'!$C$2:$C$1048576,0),MATCH(J$6,'Restaurant Base (Hidden)'!$A$1:$Z$1,0)),"")</f>
        <v>5</v>
      </c>
      <c r="K320" s="20" t="str">
        <f>+IFERROR(INDEX('Restaurant Base (Hidden)'!$A$2:$Z$1048576,MATCH($C320,'Restaurant Base (Hidden)'!$C$2:$C$1048576,0),MATCH(K$6,'Restaurant Base (Hidden)'!$A$1:$Z$1,0)),"")</f>
        <v>0,089</v>
      </c>
      <c r="L320" s="51">
        <f>+IFERROR(INDEX('Restaurant Base (Hidden)'!$A$2:$Z$1048576,MATCH($C320,'Restaurant Base (Hidden)'!$C$2:$C$1048576,0),MATCH(L$6,'Restaurant Base (Hidden)'!$A$1:$Z$1,0)),"")</f>
        <v>4</v>
      </c>
      <c r="M320" s="2" t="str">
        <f>+IFERROR(INDEX('Restaurant Base (Hidden)'!$A$2:$Z$1048576,MATCH($C320,'Restaurant Base (Hidden)'!$C$2:$C$1048576,0),MATCH(M$6,'Restaurant Base (Hidden)'!$A$1:$Z$1,0)),"")</f>
        <v/>
      </c>
      <c r="N320" s="234" t="str">
        <f>+IFERROR(INDEX('Restaurant Base (Hidden)'!$A$2:$Z$1048576,MATCH($C320,'Restaurant Base (Hidden)'!$C$2:$C$1048576,0),MATCH(N$6,'Restaurant Base (Hidden)'!$A$1:$Z$1,0)),"")</f>
        <v>62,40 %</v>
      </c>
      <c r="O320" s="1">
        <f>+IFERROR(INDEX('Restaurant Base (Hidden)'!$A$2:$Z$1048576,MATCH($C320,'Restaurant Base (Hidden)'!$C$2:$C$1048576,0),MATCH(O$6,'Restaurant Base (Hidden)'!$A$1:$Z$1,0)),"")</f>
        <v>2</v>
      </c>
      <c r="P320" s="2" t="str">
        <f>+IFERROR(INDEX('Restaurant Base (Hidden)'!$A$2:$Z$1048576,MATCH($C320,'Restaurant Base (Hidden)'!$C$2:$C$1048576,0),MATCH(P$6,'Restaurant Base (Hidden)'!$A$1:$Z$1,0)),"")</f>
        <v/>
      </c>
      <c r="Q320" s="234" t="str">
        <f>+IFERROR(INDEX('Restaurant Base (Hidden)'!$A$2:$Z$1048576,MATCH($C320,'Restaurant Base (Hidden)'!$C$2:$C$1048576,0),MATCH(Q$6,'Restaurant Base (Hidden)'!$A$1:$Z$1,0)),"")</f>
        <v>68,20 %</v>
      </c>
      <c r="R320" s="1">
        <f>+IFERROR(INDEX('Restaurant Base (Hidden)'!$A$2:$Z$1048576,MATCH($C320,'Restaurant Base (Hidden)'!$C$2:$C$1048576,0),MATCH(R$6,'Restaurant Base (Hidden)'!$A$1:$Z$1,0)),"")</f>
        <v>3</v>
      </c>
      <c r="S320" s="2" t="str">
        <f>+IFERROR(INDEX('Restaurant Base (Hidden)'!$A$2:$Z$1048576,MATCH($C320,'Restaurant Base (Hidden)'!$C$2:$C$1048576,0),MATCH(S$6,'Restaurant Base (Hidden)'!$A$1:$Z$1,0)),"")</f>
        <v/>
      </c>
      <c r="T320" s="62">
        <f>+IFERROR(INDEX('Restaurant Base (Hidden)'!$A$2:$Z$1048576,MATCH($C320,'Restaurant Base (Hidden)'!$C$2:$C$1048576,0),MATCH(T$6,'Restaurant Base (Hidden)'!$A$1:$Z$1,0)),"")</f>
        <v>54.4</v>
      </c>
      <c r="U320" s="1">
        <f>+IFERROR(INDEX('Restaurant Base (Hidden)'!$A$2:$Z$1048576,MATCH($C320,'Restaurant Base (Hidden)'!$C$2:$C$1048576,0),MATCH(U$6,'Restaurant Base (Hidden)'!$A$1:$Z$1,0)),"")</f>
        <v>1</v>
      </c>
      <c r="V320" s="2" t="str">
        <f>+IFERROR(INDEX('Restaurant Base (Hidden)'!$A$2:$Z$1048576,MATCH($C320,'Restaurant Base (Hidden)'!$C$2:$C$1048576,0),MATCH(V$6,'Restaurant Base (Hidden)'!$A$1:$Z$1,0)),"")</f>
        <v/>
      </c>
      <c r="W320" s="65" t="str">
        <f>+IFERROR(INDEX('Restaurant Base (Hidden)'!$A$2:$Z$1048576,MATCH($C320,'Restaurant Base (Hidden)'!$C$2:$C$1048576,0),MATCH(W$6,'Restaurant Base (Hidden)'!$A$1:$Z$1,0)),"")</f>
        <v>80,80 %</v>
      </c>
      <c r="X320" s="1">
        <f>+IFERROR(INDEX('Restaurant Base (Hidden)'!$A$2:$Z$1048576,MATCH($C320,'Restaurant Base (Hidden)'!$C$2:$C$1048576,0),MATCH(X$6,'Restaurant Base (Hidden)'!$A$1:$Z$1,0)),"")</f>
        <v>3</v>
      </c>
      <c r="Y320" s="65" t="str">
        <f>+IFERROR(INDEX('Restaurant Base (Hidden)'!$A$2:$Z$1048576,MATCH($C320,'Restaurant Base (Hidden)'!$C$2:$C$1048576,0),MATCH(Y$6,'Restaurant Base (Hidden)'!$A$1:$Z$1,0)),"")</f>
        <v>75,40 %</v>
      </c>
      <c r="Z320" s="106">
        <f>+IFERROR(INDEX('Restaurant Base (Hidden)'!$A$2:$Z$1048576,MATCH($C320,'Restaurant Base (Hidden)'!$C$2:$C$1048576,0),MATCH(Z$6,'Restaurant Base (Hidden)'!$A$1:$Z$1,0)),"")</f>
        <v>2</v>
      </c>
      <c r="AA320" s="65" t="str">
        <f>+IFERROR(INDEX('Restaurant Base (Hidden)'!$A$2:$Z$1048576,MATCH($C320,'Restaurant Base (Hidden)'!$C$2:$C$1048576,0),MATCH(AA$6,'Restaurant Base (Hidden)'!$A$1:$Z$1,0)),"")</f>
        <v>56,40 %</v>
      </c>
      <c r="AB320" s="1">
        <f>+IFERROR(INDEX('Restaurant Base (Hidden)'!$A$2:$Z$1048576,MATCH($C320,'Restaurant Base (Hidden)'!$C$2:$C$1048576,0),MATCH(AB$6,'Restaurant Base (Hidden)'!$A$1:$Z$1,0)),"")</f>
        <v>1</v>
      </c>
      <c r="AC320" s="20" t="str">
        <f>+IFERROR(INDEX('Restaurant Base (Hidden)'!$A$2:$Z$1048576,MATCH($C320,'Restaurant Base (Hidden)'!$C$2:$C$1048576,0),MATCH(AC$6,'Restaurant Base (Hidden)'!$A$1:$Z$1,0)),"")</f>
        <v/>
      </c>
      <c r="AD320" s="65" t="str">
        <f>+IFERROR(INDEX('Restaurant Base (Hidden)'!$A$2:$Z$1048576,MATCH($C320,'Restaurant Base (Hidden)'!$C$2:$C$1048576,0),MATCH(AD$6,'Restaurant Base (Hidden)'!$A$1:$Z$1,0)),"")</f>
        <v>81,20 %</v>
      </c>
      <c r="AE320" s="1">
        <f>+IFERROR(INDEX('Restaurant Base (Hidden)'!$A$2:$Z$1048576,MATCH($C320,'Restaurant Base (Hidden)'!$C$2:$C$1048576,0),MATCH(AE$6,'Restaurant Base (Hidden)'!$A$1:$Z$1,0)),"")</f>
        <v>2</v>
      </c>
      <c r="AF320" s="65" t="str">
        <f>+IFERROR(INDEX('Restaurant Base (Hidden)'!$A$2:$Z$1048576,MATCH($C320,'Restaurant Base (Hidden)'!$C$2:$C$1048576,0),MATCH(AF$6,'Restaurant Base (Hidden)'!$A$1:$Z$1,0)),"")</f>
        <v>59,60 %</v>
      </c>
      <c r="AG320" s="1">
        <f>+IFERROR(INDEX('Restaurant Base (Hidden)'!$A$2:$Z$1048576,MATCH($C320,'Restaurant Base (Hidden)'!$C$2:$C$1048576,0),MATCH(AG$6,'Restaurant Base (Hidden)'!$A$1:$Z$1,0)),"")</f>
        <v>1</v>
      </c>
    </row>
    <row r="321" spans="1:33" x14ac:dyDescent="0.4">
      <c r="A321" s="163" t="str">
        <f>IF('Restaurant Base (Hidden)'!A88=0,"", 'Restaurant Base (Hidden)'!A88)</f>
        <v>Tatum Westmere</v>
      </c>
      <c r="B321" s="163" t="str">
        <f>IF('Restaurant Base (Hidden)'!B88=0,"", 'Restaurant Base (Hidden)'!B88)</f>
        <v>Cedarstone Hospitality</v>
      </c>
      <c r="C321" s="163" t="str">
        <f>IF('Restaurant Base (Hidden)'!C88=0,"", 'Restaurant Base (Hidden)'!C88)</f>
        <v>Liberty Gate</v>
      </c>
      <c r="D321" s="104">
        <f t="shared" si="4"/>
        <v>315</v>
      </c>
      <c r="E321" s="105">
        <f>+IFERROR(INDEX('Restaurant Base (Hidden)'!$A$2:$Z$1048576,MATCH($C321,'Restaurant Base (Hidden)'!$C$2:$C$1048576,0),MATCH(E$6,'Restaurant Base (Hidden)'!$A$1:$Z$1,0)),"")</f>
        <v>2.63</v>
      </c>
      <c r="F321" s="2" t="str">
        <f>+IFERROR(INDEX('Restaurant Base (Hidden)'!$A$2:$Z$1048576,MATCH($C321,'Restaurant Base (Hidden)'!$C$2:$C$1048576,0),MATCH(F$6,'Restaurant Base (Hidden)'!$A$1:$Z$1,0)),"")</f>
        <v/>
      </c>
      <c r="G321" s="20" t="str">
        <f>+IFERROR(INDEX('Restaurant Base (Hidden)'!$A$2:$Z$1048576,MATCH($C321,'Restaurant Base (Hidden)'!$C$2:$C$1048576,0),MATCH(G$6,'Restaurant Base (Hidden)'!$A$1:$Z$1,0)),"")</f>
        <v>4,488</v>
      </c>
      <c r="H321" s="50">
        <f>+IFERROR(INDEX('Restaurant Base (Hidden)'!$A$2:$Z$1048576,MATCH($C321,'Restaurant Base (Hidden)'!$C$2:$C$1048576,0),MATCH(H$6,'Restaurant Base (Hidden)'!$A$1:$Z$1,0)),"")</f>
        <v>4</v>
      </c>
      <c r="I321" s="20" t="str">
        <f>+IFERROR(INDEX('Restaurant Base (Hidden)'!$A$2:$Z$1048576,MATCH($C321,'Restaurant Base (Hidden)'!$C$2:$C$1048576,0),MATCH(I$6,'Restaurant Base (Hidden)'!$A$1:$Z$1,0)),"")</f>
        <v>69,80 %</v>
      </c>
      <c r="J321" s="49">
        <f>+IFERROR(INDEX('Restaurant Base (Hidden)'!$A$2:$Z$1048576,MATCH($C321,'Restaurant Base (Hidden)'!$C$2:$C$1048576,0),MATCH(J$6,'Restaurant Base (Hidden)'!$A$1:$Z$1,0)),"")</f>
        <v>1</v>
      </c>
      <c r="K321" s="20" t="str">
        <f>+IFERROR(INDEX('Restaurant Base (Hidden)'!$A$2:$Z$1048576,MATCH($C321,'Restaurant Base (Hidden)'!$C$2:$C$1048576,0),MATCH(K$6,'Restaurant Base (Hidden)'!$A$1:$Z$1,0)),"")</f>
        <v>0,196</v>
      </c>
      <c r="L321" s="51">
        <f>+IFERROR(INDEX('Restaurant Base (Hidden)'!$A$2:$Z$1048576,MATCH($C321,'Restaurant Base (Hidden)'!$C$2:$C$1048576,0),MATCH(L$6,'Restaurant Base (Hidden)'!$A$1:$Z$1,0)),"")</f>
        <v>1</v>
      </c>
      <c r="M321" s="2" t="str">
        <f>+IFERROR(INDEX('Restaurant Base (Hidden)'!$A$2:$Z$1048576,MATCH($C321,'Restaurant Base (Hidden)'!$C$2:$C$1048576,0),MATCH(M$6,'Restaurant Base (Hidden)'!$A$1:$Z$1,0)),"")</f>
        <v/>
      </c>
      <c r="N321" s="234" t="str">
        <f>+IFERROR(INDEX('Restaurant Base (Hidden)'!$A$2:$Z$1048576,MATCH($C321,'Restaurant Base (Hidden)'!$C$2:$C$1048576,0),MATCH(N$6,'Restaurant Base (Hidden)'!$A$1:$Z$1,0)),"")</f>
        <v>87,40 %</v>
      </c>
      <c r="O321" s="1">
        <f>+IFERROR(INDEX('Restaurant Base (Hidden)'!$A$2:$Z$1048576,MATCH($C321,'Restaurant Base (Hidden)'!$C$2:$C$1048576,0),MATCH(O$6,'Restaurant Base (Hidden)'!$A$1:$Z$1,0)),"")</f>
        <v>5</v>
      </c>
      <c r="P321" s="2" t="str">
        <f>+IFERROR(INDEX('Restaurant Base (Hidden)'!$A$2:$Z$1048576,MATCH($C321,'Restaurant Base (Hidden)'!$C$2:$C$1048576,0),MATCH(P$6,'Restaurant Base (Hidden)'!$A$1:$Z$1,0)),"")</f>
        <v/>
      </c>
      <c r="Q321" s="234" t="str">
        <f>+IFERROR(INDEX('Restaurant Base (Hidden)'!$A$2:$Z$1048576,MATCH($C321,'Restaurant Base (Hidden)'!$C$2:$C$1048576,0),MATCH(Q$6,'Restaurant Base (Hidden)'!$A$1:$Z$1,0)),"")</f>
        <v>94,10 %</v>
      </c>
      <c r="R321" s="1">
        <f>+IFERROR(INDEX('Restaurant Base (Hidden)'!$A$2:$Z$1048576,MATCH($C321,'Restaurant Base (Hidden)'!$C$2:$C$1048576,0),MATCH(R$6,'Restaurant Base (Hidden)'!$A$1:$Z$1,0)),"")</f>
        <v>5</v>
      </c>
      <c r="S321" s="2" t="str">
        <f>+IFERROR(INDEX('Restaurant Base (Hidden)'!$A$2:$Z$1048576,MATCH($C321,'Restaurant Base (Hidden)'!$C$2:$C$1048576,0),MATCH(S$6,'Restaurant Base (Hidden)'!$A$1:$Z$1,0)),"")</f>
        <v/>
      </c>
      <c r="T321" s="62">
        <f>+IFERROR(INDEX('Restaurant Base (Hidden)'!$A$2:$Z$1048576,MATCH($C321,'Restaurant Base (Hidden)'!$C$2:$C$1048576,0),MATCH(T$6,'Restaurant Base (Hidden)'!$A$1:$Z$1,0)),"")</f>
        <v>60.3</v>
      </c>
      <c r="U321" s="1">
        <f>+IFERROR(INDEX('Restaurant Base (Hidden)'!$A$2:$Z$1048576,MATCH($C321,'Restaurant Base (Hidden)'!$C$2:$C$1048576,0),MATCH(U$6,'Restaurant Base (Hidden)'!$A$1:$Z$1,0)),"")</f>
        <v>2</v>
      </c>
      <c r="V321" s="2" t="str">
        <f>+IFERROR(INDEX('Restaurant Base (Hidden)'!$A$2:$Z$1048576,MATCH($C321,'Restaurant Base (Hidden)'!$C$2:$C$1048576,0),MATCH(V$6,'Restaurant Base (Hidden)'!$A$1:$Z$1,0)),"")</f>
        <v/>
      </c>
      <c r="W321" s="65" t="str">
        <f>+IFERROR(INDEX('Restaurant Base (Hidden)'!$A$2:$Z$1048576,MATCH($C321,'Restaurant Base (Hidden)'!$C$2:$C$1048576,0),MATCH(W$6,'Restaurant Base (Hidden)'!$A$1:$Z$1,0)),"")</f>
        <v>77,10 %</v>
      </c>
      <c r="X321" s="1">
        <f>+IFERROR(INDEX('Restaurant Base (Hidden)'!$A$2:$Z$1048576,MATCH($C321,'Restaurant Base (Hidden)'!$C$2:$C$1048576,0),MATCH(X$6,'Restaurant Base (Hidden)'!$A$1:$Z$1,0)),"")</f>
        <v>2</v>
      </c>
      <c r="Y321" s="65" t="str">
        <f>+IFERROR(INDEX('Restaurant Base (Hidden)'!$A$2:$Z$1048576,MATCH($C321,'Restaurant Base (Hidden)'!$C$2:$C$1048576,0),MATCH(Y$6,'Restaurant Base (Hidden)'!$A$1:$Z$1,0)),"")</f>
        <v>77,40 %</v>
      </c>
      <c r="Z321" s="106">
        <f>+IFERROR(INDEX('Restaurant Base (Hidden)'!$A$2:$Z$1048576,MATCH($C321,'Restaurant Base (Hidden)'!$C$2:$C$1048576,0),MATCH(Z$6,'Restaurant Base (Hidden)'!$A$1:$Z$1,0)),"")</f>
        <v>2</v>
      </c>
      <c r="AA321" s="65" t="str">
        <f>+IFERROR(INDEX('Restaurant Base (Hidden)'!$A$2:$Z$1048576,MATCH($C321,'Restaurant Base (Hidden)'!$C$2:$C$1048576,0),MATCH(AA$6,'Restaurant Base (Hidden)'!$A$1:$Z$1,0)),"")</f>
        <v>72,40 %</v>
      </c>
      <c r="AB321" s="1">
        <f>+IFERROR(INDEX('Restaurant Base (Hidden)'!$A$2:$Z$1048576,MATCH($C321,'Restaurant Base (Hidden)'!$C$2:$C$1048576,0),MATCH(AB$6,'Restaurant Base (Hidden)'!$A$1:$Z$1,0)),"")</f>
        <v>2</v>
      </c>
      <c r="AC321" s="20" t="str">
        <f>+IFERROR(INDEX('Restaurant Base (Hidden)'!$A$2:$Z$1048576,MATCH($C321,'Restaurant Base (Hidden)'!$C$2:$C$1048576,0),MATCH(AC$6,'Restaurant Base (Hidden)'!$A$1:$Z$1,0)),"")</f>
        <v/>
      </c>
      <c r="AD321" s="65" t="str">
        <f>+IFERROR(INDEX('Restaurant Base (Hidden)'!$A$2:$Z$1048576,MATCH($C321,'Restaurant Base (Hidden)'!$C$2:$C$1048576,0),MATCH(AD$6,'Restaurant Base (Hidden)'!$A$1:$Z$1,0)),"")</f>
        <v>57,20 %</v>
      </c>
      <c r="AE321" s="1">
        <f>+IFERROR(INDEX('Restaurant Base (Hidden)'!$A$2:$Z$1048576,MATCH($C321,'Restaurant Base (Hidden)'!$C$2:$C$1048576,0),MATCH(AE$6,'Restaurant Base (Hidden)'!$A$1:$Z$1,0)),"")</f>
        <v>1</v>
      </c>
      <c r="AF321" s="65" t="str">
        <f>+IFERROR(INDEX('Restaurant Base (Hidden)'!$A$2:$Z$1048576,MATCH($C321,'Restaurant Base (Hidden)'!$C$2:$C$1048576,0),MATCH(AF$6,'Restaurant Base (Hidden)'!$A$1:$Z$1,0)),"")</f>
        <v>56,30 %</v>
      </c>
      <c r="AG321" s="1">
        <f>+IFERROR(INDEX('Restaurant Base (Hidden)'!$A$2:$Z$1048576,MATCH($C321,'Restaurant Base (Hidden)'!$C$2:$C$1048576,0),MATCH(AG$6,'Restaurant Base (Hidden)'!$A$1:$Z$1,0)),"")</f>
        <v>1</v>
      </c>
    </row>
    <row r="322" spans="1:33" x14ac:dyDescent="0.4">
      <c r="A322" s="163" t="str">
        <f>IF('Restaurant Base (Hidden)'!A131=0,"", 'Restaurant Base (Hidden)'!A131)</f>
        <v>Morgan Rivington</v>
      </c>
      <c r="B322" s="163" t="str">
        <f>IF('Restaurant Base (Hidden)'!B131=0,"", 'Restaurant Base (Hidden)'!B131)</f>
        <v>Harborline Dining</v>
      </c>
      <c r="C322" s="163" t="str">
        <f>IF('Restaurant Base (Hidden)'!C131=0,"", 'Restaurant Base (Hidden)'!C131)</f>
        <v>Silver Bridge</v>
      </c>
      <c r="D322" s="104">
        <f t="shared" si="4"/>
        <v>315</v>
      </c>
      <c r="E322" s="105">
        <f>+IFERROR(INDEX('Restaurant Base (Hidden)'!$A$2:$Z$1048576,MATCH($C322,'Restaurant Base (Hidden)'!$C$2:$C$1048576,0),MATCH(E$6,'Restaurant Base (Hidden)'!$A$1:$Z$1,0)),"")</f>
        <v>2.63</v>
      </c>
      <c r="F322" s="2" t="str">
        <f>+IFERROR(INDEX('Restaurant Base (Hidden)'!$A$2:$Z$1048576,MATCH($C322,'Restaurant Base (Hidden)'!$C$2:$C$1048576,0),MATCH(F$6,'Restaurant Base (Hidden)'!$A$1:$Z$1,0)),"")</f>
        <v/>
      </c>
      <c r="G322" s="20" t="str">
        <f>+IFERROR(INDEX('Restaurant Base (Hidden)'!$A$2:$Z$1048576,MATCH($C322,'Restaurant Base (Hidden)'!$C$2:$C$1048576,0),MATCH(G$6,'Restaurant Base (Hidden)'!$A$1:$Z$1,0)),"")</f>
        <v>4,148</v>
      </c>
      <c r="H322" s="50">
        <f>+IFERROR(INDEX('Restaurant Base (Hidden)'!$A$2:$Z$1048576,MATCH($C322,'Restaurant Base (Hidden)'!$C$2:$C$1048576,0),MATCH(H$6,'Restaurant Base (Hidden)'!$A$1:$Z$1,0)),"")</f>
        <v>2</v>
      </c>
      <c r="I322" s="20" t="str">
        <f>+IFERROR(INDEX('Restaurant Base (Hidden)'!$A$2:$Z$1048576,MATCH($C322,'Restaurant Base (Hidden)'!$C$2:$C$1048576,0),MATCH(I$6,'Restaurant Base (Hidden)'!$A$1:$Z$1,0)),"")</f>
        <v>62,70 %</v>
      </c>
      <c r="J322" s="49">
        <f>+IFERROR(INDEX('Restaurant Base (Hidden)'!$A$2:$Z$1048576,MATCH($C322,'Restaurant Base (Hidden)'!$C$2:$C$1048576,0),MATCH(J$6,'Restaurant Base (Hidden)'!$A$1:$Z$1,0)),"")</f>
        <v>1</v>
      </c>
      <c r="K322" s="20" t="str">
        <f>+IFERROR(INDEX('Restaurant Base (Hidden)'!$A$2:$Z$1048576,MATCH($C322,'Restaurant Base (Hidden)'!$C$2:$C$1048576,0),MATCH(K$6,'Restaurant Base (Hidden)'!$A$1:$Z$1,0)),"")</f>
        <v>0,181</v>
      </c>
      <c r="L322" s="51">
        <f>+IFERROR(INDEX('Restaurant Base (Hidden)'!$A$2:$Z$1048576,MATCH($C322,'Restaurant Base (Hidden)'!$C$2:$C$1048576,0),MATCH(L$6,'Restaurant Base (Hidden)'!$A$1:$Z$1,0)),"")</f>
        <v>1</v>
      </c>
      <c r="M322" s="2" t="str">
        <f>+IFERROR(INDEX('Restaurant Base (Hidden)'!$A$2:$Z$1048576,MATCH($C322,'Restaurant Base (Hidden)'!$C$2:$C$1048576,0),MATCH(M$6,'Restaurant Base (Hidden)'!$A$1:$Z$1,0)),"")</f>
        <v/>
      </c>
      <c r="N322" s="234" t="str">
        <f>+IFERROR(INDEX('Restaurant Base (Hidden)'!$A$2:$Z$1048576,MATCH($C322,'Restaurant Base (Hidden)'!$C$2:$C$1048576,0),MATCH(N$6,'Restaurant Base (Hidden)'!$A$1:$Z$1,0)),"")</f>
        <v>86,00 %</v>
      </c>
      <c r="O322" s="1">
        <f>+IFERROR(INDEX('Restaurant Base (Hidden)'!$A$2:$Z$1048576,MATCH($C322,'Restaurant Base (Hidden)'!$C$2:$C$1048576,0),MATCH(O$6,'Restaurant Base (Hidden)'!$A$1:$Z$1,0)),"")</f>
        <v>5</v>
      </c>
      <c r="P322" s="2" t="str">
        <f>+IFERROR(INDEX('Restaurant Base (Hidden)'!$A$2:$Z$1048576,MATCH($C322,'Restaurant Base (Hidden)'!$C$2:$C$1048576,0),MATCH(P$6,'Restaurant Base (Hidden)'!$A$1:$Z$1,0)),"")</f>
        <v/>
      </c>
      <c r="Q322" s="234" t="str">
        <f>+IFERROR(INDEX('Restaurant Base (Hidden)'!$A$2:$Z$1048576,MATCH($C322,'Restaurant Base (Hidden)'!$C$2:$C$1048576,0),MATCH(Q$6,'Restaurant Base (Hidden)'!$A$1:$Z$1,0)),"")</f>
        <v>88,70 %</v>
      </c>
      <c r="R322" s="1">
        <f>+IFERROR(INDEX('Restaurant Base (Hidden)'!$A$2:$Z$1048576,MATCH($C322,'Restaurant Base (Hidden)'!$C$2:$C$1048576,0),MATCH(R$6,'Restaurant Base (Hidden)'!$A$1:$Z$1,0)),"")</f>
        <v>5</v>
      </c>
      <c r="S322" s="2" t="str">
        <f>+IFERROR(INDEX('Restaurant Base (Hidden)'!$A$2:$Z$1048576,MATCH($C322,'Restaurant Base (Hidden)'!$C$2:$C$1048576,0),MATCH(S$6,'Restaurant Base (Hidden)'!$A$1:$Z$1,0)),"")</f>
        <v/>
      </c>
      <c r="T322" s="62">
        <f>+IFERROR(INDEX('Restaurant Base (Hidden)'!$A$2:$Z$1048576,MATCH($C322,'Restaurant Base (Hidden)'!$C$2:$C$1048576,0),MATCH(T$6,'Restaurant Base (Hidden)'!$A$1:$Z$1,0)),"")</f>
        <v>58.2</v>
      </c>
      <c r="U322" s="1">
        <f>+IFERROR(INDEX('Restaurant Base (Hidden)'!$A$2:$Z$1048576,MATCH($C322,'Restaurant Base (Hidden)'!$C$2:$C$1048576,0),MATCH(U$6,'Restaurant Base (Hidden)'!$A$1:$Z$1,0)),"")</f>
        <v>2</v>
      </c>
      <c r="V322" s="2" t="str">
        <f>+IFERROR(INDEX('Restaurant Base (Hidden)'!$A$2:$Z$1048576,MATCH($C322,'Restaurant Base (Hidden)'!$C$2:$C$1048576,0),MATCH(V$6,'Restaurant Base (Hidden)'!$A$1:$Z$1,0)),"")</f>
        <v/>
      </c>
      <c r="W322" s="65" t="str">
        <f>+IFERROR(INDEX('Restaurant Base (Hidden)'!$A$2:$Z$1048576,MATCH($C322,'Restaurant Base (Hidden)'!$C$2:$C$1048576,0),MATCH(W$6,'Restaurant Base (Hidden)'!$A$1:$Z$1,0)),"")</f>
        <v>66,60 %</v>
      </c>
      <c r="X322" s="1">
        <f>+IFERROR(INDEX('Restaurant Base (Hidden)'!$A$2:$Z$1048576,MATCH($C322,'Restaurant Base (Hidden)'!$C$2:$C$1048576,0),MATCH(X$6,'Restaurant Base (Hidden)'!$A$1:$Z$1,0)),"")</f>
        <v>2</v>
      </c>
      <c r="Y322" s="65" t="str">
        <f>+IFERROR(INDEX('Restaurant Base (Hidden)'!$A$2:$Z$1048576,MATCH($C322,'Restaurant Base (Hidden)'!$C$2:$C$1048576,0),MATCH(Y$6,'Restaurant Base (Hidden)'!$A$1:$Z$1,0)),"")</f>
        <v>65,60 %</v>
      </c>
      <c r="Z322" s="106">
        <f>+IFERROR(INDEX('Restaurant Base (Hidden)'!$A$2:$Z$1048576,MATCH($C322,'Restaurant Base (Hidden)'!$C$2:$C$1048576,0),MATCH(Z$6,'Restaurant Base (Hidden)'!$A$1:$Z$1,0)),"")</f>
        <v>2</v>
      </c>
      <c r="AA322" s="65" t="str">
        <f>+IFERROR(INDEX('Restaurant Base (Hidden)'!$A$2:$Z$1048576,MATCH($C322,'Restaurant Base (Hidden)'!$C$2:$C$1048576,0),MATCH(AA$6,'Restaurant Base (Hidden)'!$A$1:$Z$1,0)),"")</f>
        <v>88,60 %</v>
      </c>
      <c r="AB322" s="1">
        <f>+IFERROR(INDEX('Restaurant Base (Hidden)'!$A$2:$Z$1048576,MATCH($C322,'Restaurant Base (Hidden)'!$C$2:$C$1048576,0),MATCH(AB$6,'Restaurant Base (Hidden)'!$A$1:$Z$1,0)),"")</f>
        <v>3</v>
      </c>
      <c r="AC322" s="20" t="str">
        <f>+IFERROR(INDEX('Restaurant Base (Hidden)'!$A$2:$Z$1048576,MATCH($C322,'Restaurant Base (Hidden)'!$C$2:$C$1048576,0),MATCH(AC$6,'Restaurant Base (Hidden)'!$A$1:$Z$1,0)),"")</f>
        <v/>
      </c>
      <c r="AD322" s="65" t="str">
        <f>+IFERROR(INDEX('Restaurant Base (Hidden)'!$A$2:$Z$1048576,MATCH($C322,'Restaurant Base (Hidden)'!$C$2:$C$1048576,0),MATCH(AD$6,'Restaurant Base (Hidden)'!$A$1:$Z$1,0)),"")</f>
        <v>62,20 %</v>
      </c>
      <c r="AE322" s="1">
        <f>+IFERROR(INDEX('Restaurant Base (Hidden)'!$A$2:$Z$1048576,MATCH($C322,'Restaurant Base (Hidden)'!$C$2:$C$1048576,0),MATCH(AE$6,'Restaurant Base (Hidden)'!$A$1:$Z$1,0)),"")</f>
        <v>1</v>
      </c>
      <c r="AF322" s="65" t="str">
        <f>+IFERROR(INDEX('Restaurant Base (Hidden)'!$A$2:$Z$1048576,MATCH($C322,'Restaurant Base (Hidden)'!$C$2:$C$1048576,0),MATCH(AF$6,'Restaurant Base (Hidden)'!$A$1:$Z$1,0)),"")</f>
        <v>77,60 %</v>
      </c>
      <c r="AG322" s="1">
        <f>+IFERROR(INDEX('Restaurant Base (Hidden)'!$A$2:$Z$1048576,MATCH($C322,'Restaurant Base (Hidden)'!$C$2:$C$1048576,0),MATCH(AG$6,'Restaurant Base (Hidden)'!$A$1:$Z$1,0)),"")</f>
        <v>2</v>
      </c>
    </row>
    <row r="323" spans="1:33" x14ac:dyDescent="0.4">
      <c r="A323" s="163" t="str">
        <f>IF('Restaurant Base (Hidden)'!A4=0,"", 'Restaurant Base (Hidden)'!A4)</f>
        <v>Casey Briarwood</v>
      </c>
      <c r="B323" s="163" t="str">
        <f>IF('Restaurant Base (Hidden)'!B4=0,"", 'Restaurant Base (Hidden)'!B4)</f>
        <v>Silverline Hospitality</v>
      </c>
      <c r="C323" s="163" t="str">
        <f>IF('Restaurant Base (Hidden)'!C4=0,"", 'Restaurant Base (Hidden)'!C4)</f>
        <v>Lunar Square</v>
      </c>
      <c r="D323" s="104">
        <f t="shared" si="4"/>
        <v>317</v>
      </c>
      <c r="E323" s="105">
        <f>+IFERROR(INDEX('Restaurant Base (Hidden)'!$A$2:$Z$1048576,MATCH($C323,'Restaurant Base (Hidden)'!$C$2:$C$1048576,0),MATCH(E$6,'Restaurant Base (Hidden)'!$A$1:$Z$1,0)),"")</f>
        <v>2.62</v>
      </c>
      <c r="F323" s="64" t="str">
        <f>+IFERROR(INDEX('Restaurant Base (Hidden)'!$A$2:$Z$1048576,MATCH($C323,'Restaurant Base (Hidden)'!$C$2:$C$1048576,0),MATCH(F$6,'Restaurant Base (Hidden)'!$A$1:$Z$1,0)),"")</f>
        <v/>
      </c>
      <c r="G323" s="20" t="str">
        <f>+IFERROR(INDEX('Restaurant Base (Hidden)'!$A$2:$Z$1048576,MATCH($C323,'Restaurant Base (Hidden)'!$C$2:$C$1048576,0),MATCH(G$6,'Restaurant Base (Hidden)'!$A$1:$Z$1,0)),"")</f>
        <v>4,564</v>
      </c>
      <c r="H323" s="50">
        <f>+IFERROR(INDEX('Restaurant Base (Hidden)'!$A$2:$Z$1048576,MATCH($C323,'Restaurant Base (Hidden)'!$C$2:$C$1048576,0),MATCH(H$6,'Restaurant Base (Hidden)'!$A$1:$Z$1,0)),"")</f>
        <v>5</v>
      </c>
      <c r="I323" s="20" t="str">
        <f>+IFERROR(INDEX('Restaurant Base (Hidden)'!$A$2:$Z$1048576,MATCH($C323,'Restaurant Base (Hidden)'!$C$2:$C$1048576,0),MATCH(I$6,'Restaurant Base (Hidden)'!$A$1:$Z$1,0)),"")</f>
        <v>69,30 %</v>
      </c>
      <c r="J323" s="49">
        <f>+IFERROR(INDEX('Restaurant Base (Hidden)'!$A$2:$Z$1048576,MATCH($C323,'Restaurant Base (Hidden)'!$C$2:$C$1048576,0),MATCH(J$6,'Restaurant Base (Hidden)'!$A$1:$Z$1,0)),"")</f>
        <v>1</v>
      </c>
      <c r="K323" s="20" t="str">
        <f>+IFERROR(INDEX('Restaurant Base (Hidden)'!$A$2:$Z$1048576,MATCH($C323,'Restaurant Base (Hidden)'!$C$2:$C$1048576,0),MATCH(K$6,'Restaurant Base (Hidden)'!$A$1:$Z$1,0)),"")</f>
        <v>0,190</v>
      </c>
      <c r="L323" s="51">
        <f>+IFERROR(INDEX('Restaurant Base (Hidden)'!$A$2:$Z$1048576,MATCH($C323,'Restaurant Base (Hidden)'!$C$2:$C$1048576,0),MATCH(L$6,'Restaurant Base (Hidden)'!$A$1:$Z$1,0)),"")</f>
        <v>1</v>
      </c>
      <c r="M323" s="2" t="str">
        <f>+IFERROR(INDEX('Restaurant Base (Hidden)'!$A$2:$Z$1048576,MATCH($C323,'Restaurant Base (Hidden)'!$C$2:$C$1048576,0),MATCH(M$6,'Restaurant Base (Hidden)'!$A$1:$Z$1,0)),"")</f>
        <v/>
      </c>
      <c r="N323" s="234" t="str">
        <f>+IFERROR(INDEX('Restaurant Base (Hidden)'!$A$2:$Z$1048576,MATCH($C323,'Restaurant Base (Hidden)'!$C$2:$C$1048576,0),MATCH(N$6,'Restaurant Base (Hidden)'!$A$1:$Z$1,0)),"")</f>
        <v>75,30 %</v>
      </c>
      <c r="O323" s="1">
        <f>+IFERROR(INDEX('Restaurant Base (Hidden)'!$A$2:$Z$1048576,MATCH($C323,'Restaurant Base (Hidden)'!$C$2:$C$1048576,0),MATCH(O$6,'Restaurant Base (Hidden)'!$A$1:$Z$1,0)),"")</f>
        <v>5</v>
      </c>
      <c r="P323" s="2" t="str">
        <f>+IFERROR(INDEX('Restaurant Base (Hidden)'!$A$2:$Z$1048576,MATCH($C323,'Restaurant Base (Hidden)'!$C$2:$C$1048576,0),MATCH(P$6,'Restaurant Base (Hidden)'!$A$1:$Z$1,0)),"")</f>
        <v/>
      </c>
      <c r="Q323" s="234" t="str">
        <f>+IFERROR(INDEX('Restaurant Base (Hidden)'!$A$2:$Z$1048576,MATCH($C323,'Restaurant Base (Hidden)'!$C$2:$C$1048576,0),MATCH(Q$6,'Restaurant Base (Hidden)'!$A$1:$Z$1,0)),"")</f>
        <v>60,60 %</v>
      </c>
      <c r="R323" s="1">
        <f>+IFERROR(INDEX('Restaurant Base (Hidden)'!$A$2:$Z$1048576,MATCH($C323,'Restaurant Base (Hidden)'!$C$2:$C$1048576,0),MATCH(R$6,'Restaurant Base (Hidden)'!$A$1:$Z$1,0)),"")</f>
        <v>1</v>
      </c>
      <c r="S323" s="2" t="str">
        <f>+IFERROR(INDEX('Restaurant Base (Hidden)'!$A$2:$Z$1048576,MATCH($C323,'Restaurant Base (Hidden)'!$C$2:$C$1048576,0),MATCH(S$6,'Restaurant Base (Hidden)'!$A$1:$Z$1,0)),"")</f>
        <v/>
      </c>
      <c r="T323" s="62">
        <f>+IFERROR(INDEX('Restaurant Base (Hidden)'!$A$2:$Z$1048576,MATCH($C323,'Restaurant Base (Hidden)'!$C$2:$C$1048576,0),MATCH(T$6,'Restaurant Base (Hidden)'!$A$1:$Z$1,0)),"")</f>
        <v>55.8</v>
      </c>
      <c r="U323" s="1">
        <f>+IFERROR(INDEX('Restaurant Base (Hidden)'!$A$2:$Z$1048576,MATCH($C323,'Restaurant Base (Hidden)'!$C$2:$C$1048576,0),MATCH(U$6,'Restaurant Base (Hidden)'!$A$1:$Z$1,0)),"")</f>
        <v>1</v>
      </c>
      <c r="V323" s="2" t="str">
        <f>+IFERROR(INDEX('Restaurant Base (Hidden)'!$A$2:$Z$1048576,MATCH($C323,'Restaurant Base (Hidden)'!$C$2:$C$1048576,0),MATCH(V$6,'Restaurant Base (Hidden)'!$A$1:$Z$1,0)),"")</f>
        <v/>
      </c>
      <c r="W323" s="65" t="str">
        <f>+IFERROR(INDEX('Restaurant Base (Hidden)'!$A$2:$Z$1048576,MATCH($C323,'Restaurant Base (Hidden)'!$C$2:$C$1048576,0),MATCH(W$6,'Restaurant Base (Hidden)'!$A$1:$Z$1,0)),"")</f>
        <v>74,30 %</v>
      </c>
      <c r="X323" s="1">
        <f>+IFERROR(INDEX('Restaurant Base (Hidden)'!$A$2:$Z$1048576,MATCH($C323,'Restaurant Base (Hidden)'!$C$2:$C$1048576,0),MATCH(X$6,'Restaurant Base (Hidden)'!$A$1:$Z$1,0)),"")</f>
        <v>2</v>
      </c>
      <c r="Y323" s="65" t="str">
        <f>+IFERROR(INDEX('Restaurant Base (Hidden)'!$A$2:$Z$1048576,MATCH($C323,'Restaurant Base (Hidden)'!$C$2:$C$1048576,0),MATCH(Y$6,'Restaurant Base (Hidden)'!$A$1:$Z$1,0)),"")</f>
        <v>91,00 %</v>
      </c>
      <c r="Z323" s="106">
        <f>+IFERROR(INDEX('Restaurant Base (Hidden)'!$A$2:$Z$1048576,MATCH($C323,'Restaurant Base (Hidden)'!$C$2:$C$1048576,0),MATCH(Z$6,'Restaurant Base (Hidden)'!$A$1:$Z$1,0)),"")</f>
        <v>3</v>
      </c>
      <c r="AA323" s="65" t="str">
        <f>+IFERROR(INDEX('Restaurant Base (Hidden)'!$A$2:$Z$1048576,MATCH($C323,'Restaurant Base (Hidden)'!$C$2:$C$1048576,0),MATCH(AA$6,'Restaurant Base (Hidden)'!$A$1:$Z$1,0)),"")</f>
        <v>86,00 %</v>
      </c>
      <c r="AB323" s="1">
        <f>+IFERROR(INDEX('Restaurant Base (Hidden)'!$A$2:$Z$1048576,MATCH($C323,'Restaurant Base (Hidden)'!$C$2:$C$1048576,0),MATCH(AB$6,'Restaurant Base (Hidden)'!$A$1:$Z$1,0)),"")</f>
        <v>3</v>
      </c>
      <c r="AC323" s="20" t="str">
        <f>+IFERROR(INDEX('Restaurant Base (Hidden)'!$A$2:$Z$1048576,MATCH($C323,'Restaurant Base (Hidden)'!$C$2:$C$1048576,0),MATCH(AC$6,'Restaurant Base (Hidden)'!$A$1:$Z$1,0)),"")</f>
        <v/>
      </c>
      <c r="AD323" s="65" t="str">
        <f>+IFERROR(INDEX('Restaurant Base (Hidden)'!$A$2:$Z$1048576,MATCH($C323,'Restaurant Base (Hidden)'!$C$2:$C$1048576,0),MATCH(AD$6,'Restaurant Base (Hidden)'!$A$1:$Z$1,0)),"")</f>
        <v>93,00 %</v>
      </c>
      <c r="AE323" s="1">
        <f>+IFERROR(INDEX('Restaurant Base (Hidden)'!$A$2:$Z$1048576,MATCH($C323,'Restaurant Base (Hidden)'!$C$2:$C$1048576,0),MATCH(AE$6,'Restaurant Base (Hidden)'!$A$1:$Z$1,0)),"")</f>
        <v>4</v>
      </c>
      <c r="AF323" s="65" t="str">
        <f>+IFERROR(INDEX('Restaurant Base (Hidden)'!$A$2:$Z$1048576,MATCH($C323,'Restaurant Base (Hidden)'!$C$2:$C$1048576,0),MATCH(AF$6,'Restaurant Base (Hidden)'!$A$1:$Z$1,0)),"")</f>
        <v>90,90 %</v>
      </c>
      <c r="AG323" s="1">
        <f>+IFERROR(INDEX('Restaurant Base (Hidden)'!$A$2:$Z$1048576,MATCH($C323,'Restaurant Base (Hidden)'!$C$2:$C$1048576,0),MATCH(AG$6,'Restaurant Base (Hidden)'!$A$1:$Z$1,0)),"")</f>
        <v>3</v>
      </c>
    </row>
    <row r="324" spans="1:33" x14ac:dyDescent="0.4">
      <c r="A324" s="163" t="str">
        <f>IF('Restaurant Base (Hidden)'!A12=0,"", 'Restaurant Base (Hidden)'!A12)</f>
        <v>Jordan Oakley</v>
      </c>
      <c r="B324" s="163" t="str">
        <f>IF('Restaurant Base (Hidden)'!B12=0,"", 'Restaurant Base (Hidden)'!B12)</f>
        <v>Kingswell Food Partners</v>
      </c>
      <c r="C324" s="163" t="str">
        <f>IF('Restaurant Base (Hidden)'!C12=0,"", 'Restaurant Base (Hidden)'!C12)</f>
        <v>Haven Way</v>
      </c>
      <c r="D324" s="104">
        <f t="shared" si="4"/>
        <v>317</v>
      </c>
      <c r="E324" s="105">
        <f>+IFERROR(INDEX('Restaurant Base (Hidden)'!$A$2:$Z$1048576,MATCH($C324,'Restaurant Base (Hidden)'!$C$2:$C$1048576,0),MATCH(E$6,'Restaurant Base (Hidden)'!$A$1:$Z$1,0)),"")</f>
        <v>2.62</v>
      </c>
      <c r="F324" s="64" t="str">
        <f>+IFERROR(INDEX('Restaurant Base (Hidden)'!$A$2:$Z$1048576,MATCH($C324,'Restaurant Base (Hidden)'!$C$2:$C$1048576,0),MATCH(F$6,'Restaurant Base (Hidden)'!$A$1:$Z$1,0)),"")</f>
        <v/>
      </c>
      <c r="G324" s="20" t="str">
        <f>+IFERROR(INDEX('Restaurant Base (Hidden)'!$A$2:$Z$1048576,MATCH($C324,'Restaurant Base (Hidden)'!$C$2:$C$1048576,0),MATCH(G$6,'Restaurant Base (Hidden)'!$A$1:$Z$1,0)),"")</f>
        <v>4,673</v>
      </c>
      <c r="H324" s="50">
        <f>+IFERROR(INDEX('Restaurant Base (Hidden)'!$A$2:$Z$1048576,MATCH($C324,'Restaurant Base (Hidden)'!$C$2:$C$1048576,0),MATCH(H$6,'Restaurant Base (Hidden)'!$A$1:$Z$1,0)),"")</f>
        <v>5</v>
      </c>
      <c r="I324" s="20" t="str">
        <f>+IFERROR(INDEX('Restaurant Base (Hidden)'!$A$2:$Z$1048576,MATCH($C324,'Restaurant Base (Hidden)'!$C$2:$C$1048576,0),MATCH(I$6,'Restaurant Base (Hidden)'!$A$1:$Z$1,0)),"")</f>
        <v>68,00 %</v>
      </c>
      <c r="J324" s="49">
        <f>+IFERROR(INDEX('Restaurant Base (Hidden)'!$A$2:$Z$1048576,MATCH($C324,'Restaurant Base (Hidden)'!$C$2:$C$1048576,0),MATCH(J$6,'Restaurant Base (Hidden)'!$A$1:$Z$1,0)),"")</f>
        <v>1</v>
      </c>
      <c r="K324" s="20" t="str">
        <f>+IFERROR(INDEX('Restaurant Base (Hidden)'!$A$2:$Z$1048576,MATCH($C324,'Restaurant Base (Hidden)'!$C$2:$C$1048576,0),MATCH(K$6,'Restaurant Base (Hidden)'!$A$1:$Z$1,0)),"")</f>
        <v>0,169</v>
      </c>
      <c r="L324" s="51">
        <f>+IFERROR(INDEX('Restaurant Base (Hidden)'!$A$2:$Z$1048576,MATCH($C324,'Restaurant Base (Hidden)'!$C$2:$C$1048576,0),MATCH(L$6,'Restaurant Base (Hidden)'!$A$1:$Z$1,0)),"")</f>
        <v>2</v>
      </c>
      <c r="M324" s="2" t="str">
        <f>+IFERROR(INDEX('Restaurant Base (Hidden)'!$A$2:$Z$1048576,MATCH($C324,'Restaurant Base (Hidden)'!$C$2:$C$1048576,0),MATCH(M$6,'Restaurant Base (Hidden)'!$A$1:$Z$1,0)),"")</f>
        <v/>
      </c>
      <c r="N324" s="234" t="str">
        <f>+IFERROR(INDEX('Restaurant Base (Hidden)'!$A$2:$Z$1048576,MATCH($C324,'Restaurant Base (Hidden)'!$C$2:$C$1048576,0),MATCH(N$6,'Restaurant Base (Hidden)'!$A$1:$Z$1,0)),"")</f>
        <v>63,50 %</v>
      </c>
      <c r="O324" s="1">
        <f>+IFERROR(INDEX('Restaurant Base (Hidden)'!$A$2:$Z$1048576,MATCH($C324,'Restaurant Base (Hidden)'!$C$2:$C$1048576,0),MATCH(O$6,'Restaurant Base (Hidden)'!$A$1:$Z$1,0)),"")</f>
        <v>2</v>
      </c>
      <c r="P324" s="2" t="str">
        <f>+IFERROR(INDEX('Restaurant Base (Hidden)'!$A$2:$Z$1048576,MATCH($C324,'Restaurant Base (Hidden)'!$C$2:$C$1048576,0),MATCH(P$6,'Restaurant Base (Hidden)'!$A$1:$Z$1,0)),"")</f>
        <v/>
      </c>
      <c r="Q324" s="234" t="str">
        <f>+IFERROR(INDEX('Restaurant Base (Hidden)'!$A$2:$Z$1048576,MATCH($C324,'Restaurant Base (Hidden)'!$C$2:$C$1048576,0),MATCH(Q$6,'Restaurant Base (Hidden)'!$A$1:$Z$1,0)),"")</f>
        <v>76,50 %</v>
      </c>
      <c r="R324" s="1">
        <f>+IFERROR(INDEX('Restaurant Base (Hidden)'!$A$2:$Z$1048576,MATCH($C324,'Restaurant Base (Hidden)'!$C$2:$C$1048576,0),MATCH(R$6,'Restaurant Base (Hidden)'!$A$1:$Z$1,0)),"")</f>
        <v>5</v>
      </c>
      <c r="S324" s="2" t="str">
        <f>+IFERROR(INDEX('Restaurant Base (Hidden)'!$A$2:$Z$1048576,MATCH($C324,'Restaurant Base (Hidden)'!$C$2:$C$1048576,0),MATCH(S$6,'Restaurant Base (Hidden)'!$A$1:$Z$1,0)),"")</f>
        <v/>
      </c>
      <c r="T324" s="62">
        <f>+IFERROR(INDEX('Restaurant Base (Hidden)'!$A$2:$Z$1048576,MATCH($C324,'Restaurant Base (Hidden)'!$C$2:$C$1048576,0),MATCH(T$6,'Restaurant Base (Hidden)'!$A$1:$Z$1,0)),"")</f>
        <v>57.5</v>
      </c>
      <c r="U324" s="1">
        <f>+IFERROR(INDEX('Restaurant Base (Hidden)'!$A$2:$Z$1048576,MATCH($C324,'Restaurant Base (Hidden)'!$C$2:$C$1048576,0),MATCH(U$6,'Restaurant Base (Hidden)'!$A$1:$Z$1,0)),"")</f>
        <v>2</v>
      </c>
      <c r="V324" s="2" t="str">
        <f>+IFERROR(INDEX('Restaurant Base (Hidden)'!$A$2:$Z$1048576,MATCH($C324,'Restaurant Base (Hidden)'!$C$2:$C$1048576,0),MATCH(V$6,'Restaurant Base (Hidden)'!$A$1:$Z$1,0)),"")</f>
        <v/>
      </c>
      <c r="W324" s="65" t="str">
        <f>+IFERROR(INDEX('Restaurant Base (Hidden)'!$A$2:$Z$1048576,MATCH($C324,'Restaurant Base (Hidden)'!$C$2:$C$1048576,0),MATCH(W$6,'Restaurant Base (Hidden)'!$A$1:$Z$1,0)),"")</f>
        <v>58,00 %</v>
      </c>
      <c r="X324" s="1">
        <f>+IFERROR(INDEX('Restaurant Base (Hidden)'!$A$2:$Z$1048576,MATCH($C324,'Restaurant Base (Hidden)'!$C$2:$C$1048576,0),MATCH(X$6,'Restaurant Base (Hidden)'!$A$1:$Z$1,0)),"")</f>
        <v>1</v>
      </c>
      <c r="Y324" s="65" t="str">
        <f>+IFERROR(INDEX('Restaurant Base (Hidden)'!$A$2:$Z$1048576,MATCH($C324,'Restaurant Base (Hidden)'!$C$2:$C$1048576,0),MATCH(Y$6,'Restaurant Base (Hidden)'!$A$1:$Z$1,0)),"")</f>
        <v>87,30 %</v>
      </c>
      <c r="Z324" s="106">
        <f>+IFERROR(INDEX('Restaurant Base (Hidden)'!$A$2:$Z$1048576,MATCH($C324,'Restaurant Base (Hidden)'!$C$2:$C$1048576,0),MATCH(Z$6,'Restaurant Base (Hidden)'!$A$1:$Z$1,0)),"")</f>
        <v>3</v>
      </c>
      <c r="AA324" s="65" t="str">
        <f>+IFERROR(INDEX('Restaurant Base (Hidden)'!$A$2:$Z$1048576,MATCH($C324,'Restaurant Base (Hidden)'!$C$2:$C$1048576,0),MATCH(AA$6,'Restaurant Base (Hidden)'!$A$1:$Z$1,0)),"")</f>
        <v>84,30 %</v>
      </c>
      <c r="AB324" s="1">
        <f>+IFERROR(INDEX('Restaurant Base (Hidden)'!$A$2:$Z$1048576,MATCH($C324,'Restaurant Base (Hidden)'!$C$2:$C$1048576,0),MATCH(AB$6,'Restaurant Base (Hidden)'!$A$1:$Z$1,0)),"")</f>
        <v>2</v>
      </c>
      <c r="AC324" s="20" t="str">
        <f>+IFERROR(INDEX('Restaurant Base (Hidden)'!$A$2:$Z$1048576,MATCH($C324,'Restaurant Base (Hidden)'!$C$2:$C$1048576,0),MATCH(AC$6,'Restaurant Base (Hidden)'!$A$1:$Z$1,0)),"")</f>
        <v/>
      </c>
      <c r="AD324" s="65" t="str">
        <f>+IFERROR(INDEX('Restaurant Base (Hidden)'!$A$2:$Z$1048576,MATCH($C324,'Restaurant Base (Hidden)'!$C$2:$C$1048576,0),MATCH(AD$6,'Restaurant Base (Hidden)'!$A$1:$Z$1,0)),"")</f>
        <v>91,10 %</v>
      </c>
      <c r="AE324" s="1">
        <f>+IFERROR(INDEX('Restaurant Base (Hidden)'!$A$2:$Z$1048576,MATCH($C324,'Restaurant Base (Hidden)'!$C$2:$C$1048576,0),MATCH(AE$6,'Restaurant Base (Hidden)'!$A$1:$Z$1,0)),"")</f>
        <v>4</v>
      </c>
      <c r="AF324" s="65" t="str">
        <f>+IFERROR(INDEX('Restaurant Base (Hidden)'!$A$2:$Z$1048576,MATCH($C324,'Restaurant Base (Hidden)'!$C$2:$C$1048576,0),MATCH(AF$6,'Restaurant Base (Hidden)'!$A$1:$Z$1,0)),"")</f>
        <v>61,50 %</v>
      </c>
      <c r="AG324" s="1">
        <f>+IFERROR(INDEX('Restaurant Base (Hidden)'!$A$2:$Z$1048576,MATCH($C324,'Restaurant Base (Hidden)'!$C$2:$C$1048576,0),MATCH(AG$6,'Restaurant Base (Hidden)'!$A$1:$Z$1,0)),"")</f>
        <v>1</v>
      </c>
    </row>
    <row r="325" spans="1:33" x14ac:dyDescent="0.4">
      <c r="A325" s="163" t="str">
        <f>IF('Restaurant Base (Hidden)'!A125=0,"", 'Restaurant Base (Hidden)'!A125)</f>
        <v>Harper Langford</v>
      </c>
      <c r="B325" s="163" t="str">
        <f>IF('Restaurant Base (Hidden)'!B125=0,"", 'Restaurant Base (Hidden)'!B125)</f>
        <v>Oakbridge Restaurant Group</v>
      </c>
      <c r="C325" s="163" t="str">
        <f>IF('Restaurant Base (Hidden)'!C125=0,"", 'Restaurant Base (Hidden)'!C125)</f>
        <v>Crestfield View</v>
      </c>
      <c r="D325" s="104">
        <f t="shared" si="4"/>
        <v>317</v>
      </c>
      <c r="E325" s="105">
        <f>+IFERROR(INDEX('Restaurant Base (Hidden)'!$A$2:$Z$1048576,MATCH($C325,'Restaurant Base (Hidden)'!$C$2:$C$1048576,0),MATCH(E$6,'Restaurant Base (Hidden)'!$A$1:$Z$1,0)),"")</f>
        <v>2.62</v>
      </c>
      <c r="F325" s="2" t="str">
        <f>+IFERROR(INDEX('Restaurant Base (Hidden)'!$A$2:$Z$1048576,MATCH($C325,'Restaurant Base (Hidden)'!$C$2:$C$1048576,0),MATCH(F$6,'Restaurant Base (Hidden)'!$A$1:$Z$1,0)),"")</f>
        <v/>
      </c>
      <c r="G325" s="20" t="str">
        <f>+IFERROR(INDEX('Restaurant Base (Hidden)'!$A$2:$Z$1048576,MATCH($C325,'Restaurant Base (Hidden)'!$C$2:$C$1048576,0),MATCH(G$6,'Restaurant Base (Hidden)'!$A$1:$Z$1,0)),"")</f>
        <v>4,107</v>
      </c>
      <c r="H325" s="50">
        <f>+IFERROR(INDEX('Restaurant Base (Hidden)'!$A$2:$Z$1048576,MATCH($C325,'Restaurant Base (Hidden)'!$C$2:$C$1048576,0),MATCH(H$6,'Restaurant Base (Hidden)'!$A$1:$Z$1,0)),"")</f>
        <v>2</v>
      </c>
      <c r="I325" s="20" t="str">
        <f>+IFERROR(INDEX('Restaurant Base (Hidden)'!$A$2:$Z$1048576,MATCH($C325,'Restaurant Base (Hidden)'!$C$2:$C$1048576,0),MATCH(I$6,'Restaurant Base (Hidden)'!$A$1:$Z$1,0)),"")</f>
        <v>66,30 %</v>
      </c>
      <c r="J325" s="49">
        <f>+IFERROR(INDEX('Restaurant Base (Hidden)'!$A$2:$Z$1048576,MATCH($C325,'Restaurant Base (Hidden)'!$C$2:$C$1048576,0),MATCH(J$6,'Restaurant Base (Hidden)'!$A$1:$Z$1,0)),"")</f>
        <v>1</v>
      </c>
      <c r="K325" s="20" t="str">
        <f>+IFERROR(INDEX('Restaurant Base (Hidden)'!$A$2:$Z$1048576,MATCH($C325,'Restaurant Base (Hidden)'!$C$2:$C$1048576,0),MATCH(K$6,'Restaurant Base (Hidden)'!$A$1:$Z$1,0)),"")</f>
        <v>0,097</v>
      </c>
      <c r="L325" s="51">
        <f>+IFERROR(INDEX('Restaurant Base (Hidden)'!$A$2:$Z$1048576,MATCH($C325,'Restaurant Base (Hidden)'!$C$2:$C$1048576,0),MATCH(L$6,'Restaurant Base (Hidden)'!$A$1:$Z$1,0)),"")</f>
        <v>4</v>
      </c>
      <c r="M325" s="2" t="str">
        <f>+IFERROR(INDEX('Restaurant Base (Hidden)'!$A$2:$Z$1048576,MATCH($C325,'Restaurant Base (Hidden)'!$C$2:$C$1048576,0),MATCH(M$6,'Restaurant Base (Hidden)'!$A$1:$Z$1,0)),"")</f>
        <v/>
      </c>
      <c r="N325" s="234" t="str">
        <f>+IFERROR(INDEX('Restaurant Base (Hidden)'!$A$2:$Z$1048576,MATCH($C325,'Restaurant Base (Hidden)'!$C$2:$C$1048576,0),MATCH(N$6,'Restaurant Base (Hidden)'!$A$1:$Z$1,0)),"")</f>
        <v>94,90 %</v>
      </c>
      <c r="O325" s="1">
        <f>+IFERROR(INDEX('Restaurant Base (Hidden)'!$A$2:$Z$1048576,MATCH($C325,'Restaurant Base (Hidden)'!$C$2:$C$1048576,0),MATCH(O$6,'Restaurant Base (Hidden)'!$A$1:$Z$1,0)),"")</f>
        <v>5</v>
      </c>
      <c r="P325" s="2" t="str">
        <f>+IFERROR(INDEX('Restaurant Base (Hidden)'!$A$2:$Z$1048576,MATCH($C325,'Restaurant Base (Hidden)'!$C$2:$C$1048576,0),MATCH(P$6,'Restaurant Base (Hidden)'!$A$1:$Z$1,0)),"")</f>
        <v/>
      </c>
      <c r="Q325" s="234" t="str">
        <f>+IFERROR(INDEX('Restaurant Base (Hidden)'!$A$2:$Z$1048576,MATCH($C325,'Restaurant Base (Hidden)'!$C$2:$C$1048576,0),MATCH(Q$6,'Restaurant Base (Hidden)'!$A$1:$Z$1,0)),"")</f>
        <v>56,20 %</v>
      </c>
      <c r="R325" s="1">
        <f>+IFERROR(INDEX('Restaurant Base (Hidden)'!$A$2:$Z$1048576,MATCH($C325,'Restaurant Base (Hidden)'!$C$2:$C$1048576,0),MATCH(R$6,'Restaurant Base (Hidden)'!$A$1:$Z$1,0)),"")</f>
        <v>1</v>
      </c>
      <c r="S325" s="2" t="str">
        <f>+IFERROR(INDEX('Restaurant Base (Hidden)'!$A$2:$Z$1048576,MATCH($C325,'Restaurant Base (Hidden)'!$C$2:$C$1048576,0),MATCH(S$6,'Restaurant Base (Hidden)'!$A$1:$Z$1,0)),"")</f>
        <v/>
      </c>
      <c r="T325" s="62">
        <f>+IFERROR(INDEX('Restaurant Base (Hidden)'!$A$2:$Z$1048576,MATCH($C325,'Restaurant Base (Hidden)'!$C$2:$C$1048576,0),MATCH(T$6,'Restaurant Base (Hidden)'!$A$1:$Z$1,0)),"")</f>
        <v>77.5</v>
      </c>
      <c r="U325" s="1">
        <f>+IFERROR(INDEX('Restaurant Base (Hidden)'!$A$2:$Z$1048576,MATCH($C325,'Restaurant Base (Hidden)'!$C$2:$C$1048576,0),MATCH(U$6,'Restaurant Base (Hidden)'!$A$1:$Z$1,0)),"")</f>
        <v>5</v>
      </c>
      <c r="V325" s="2" t="str">
        <f>+IFERROR(INDEX('Restaurant Base (Hidden)'!$A$2:$Z$1048576,MATCH($C325,'Restaurant Base (Hidden)'!$C$2:$C$1048576,0),MATCH(V$6,'Restaurant Base (Hidden)'!$A$1:$Z$1,0)),"")</f>
        <v/>
      </c>
      <c r="W325" s="65" t="str">
        <f>+IFERROR(INDEX('Restaurant Base (Hidden)'!$A$2:$Z$1048576,MATCH($C325,'Restaurant Base (Hidden)'!$C$2:$C$1048576,0),MATCH(W$6,'Restaurant Base (Hidden)'!$A$1:$Z$1,0)),"")</f>
        <v>98,80 %</v>
      </c>
      <c r="X325" s="1">
        <f>+IFERROR(INDEX('Restaurant Base (Hidden)'!$A$2:$Z$1048576,MATCH($C325,'Restaurant Base (Hidden)'!$C$2:$C$1048576,0),MATCH(X$6,'Restaurant Base (Hidden)'!$A$1:$Z$1,0)),"")</f>
        <v>5</v>
      </c>
      <c r="Y325" s="65" t="str">
        <f>+IFERROR(INDEX('Restaurant Base (Hidden)'!$A$2:$Z$1048576,MATCH($C325,'Restaurant Base (Hidden)'!$C$2:$C$1048576,0),MATCH(Y$6,'Restaurant Base (Hidden)'!$A$1:$Z$1,0)),"")</f>
        <v>84,70 %</v>
      </c>
      <c r="Z325" s="106">
        <f>+IFERROR(INDEX('Restaurant Base (Hidden)'!$A$2:$Z$1048576,MATCH($C325,'Restaurant Base (Hidden)'!$C$2:$C$1048576,0),MATCH(Z$6,'Restaurant Base (Hidden)'!$A$1:$Z$1,0)),"")</f>
        <v>3</v>
      </c>
      <c r="AA325" s="65" t="str">
        <f>+IFERROR(INDEX('Restaurant Base (Hidden)'!$A$2:$Z$1048576,MATCH($C325,'Restaurant Base (Hidden)'!$C$2:$C$1048576,0),MATCH(AA$6,'Restaurant Base (Hidden)'!$A$1:$Z$1,0)),"")</f>
        <v>69,30 %</v>
      </c>
      <c r="AB325" s="1">
        <f>+IFERROR(INDEX('Restaurant Base (Hidden)'!$A$2:$Z$1048576,MATCH($C325,'Restaurant Base (Hidden)'!$C$2:$C$1048576,0),MATCH(AB$6,'Restaurant Base (Hidden)'!$A$1:$Z$1,0)),"")</f>
        <v>2</v>
      </c>
      <c r="AC325" s="20" t="str">
        <f>+IFERROR(INDEX('Restaurant Base (Hidden)'!$A$2:$Z$1048576,MATCH($C325,'Restaurant Base (Hidden)'!$C$2:$C$1048576,0),MATCH(AC$6,'Restaurant Base (Hidden)'!$A$1:$Z$1,0)),"")</f>
        <v/>
      </c>
      <c r="AD325" s="65" t="str">
        <f>+IFERROR(INDEX('Restaurant Base (Hidden)'!$A$2:$Z$1048576,MATCH($C325,'Restaurant Base (Hidden)'!$C$2:$C$1048576,0),MATCH(AD$6,'Restaurant Base (Hidden)'!$A$1:$Z$1,0)),"")</f>
        <v>60,70 %</v>
      </c>
      <c r="AE325" s="1">
        <f>+IFERROR(INDEX('Restaurant Base (Hidden)'!$A$2:$Z$1048576,MATCH($C325,'Restaurant Base (Hidden)'!$C$2:$C$1048576,0),MATCH(AE$6,'Restaurant Base (Hidden)'!$A$1:$Z$1,0)),"")</f>
        <v>1</v>
      </c>
      <c r="AF325" s="65" t="str">
        <f>+IFERROR(INDEX('Restaurant Base (Hidden)'!$A$2:$Z$1048576,MATCH($C325,'Restaurant Base (Hidden)'!$C$2:$C$1048576,0),MATCH(AF$6,'Restaurant Base (Hidden)'!$A$1:$Z$1,0)),"")</f>
        <v>59,50 %</v>
      </c>
      <c r="AG325" s="1">
        <f>+IFERROR(INDEX('Restaurant Base (Hidden)'!$A$2:$Z$1048576,MATCH($C325,'Restaurant Base (Hidden)'!$C$2:$C$1048576,0),MATCH(AG$6,'Restaurant Base (Hidden)'!$A$1:$Z$1,0)),"")</f>
        <v>1</v>
      </c>
    </row>
    <row r="326" spans="1:33" x14ac:dyDescent="0.4">
      <c r="A326" s="163" t="str">
        <f>IF('Restaurant Base (Hidden)'!A156=0,"", 'Restaurant Base (Hidden)'!A156)</f>
        <v>Jamie Northcott</v>
      </c>
      <c r="B326" s="163" t="str">
        <f>IF('Restaurant Base (Hidden)'!B156=0,"", 'Restaurant Base (Hidden)'!B156)</f>
        <v>Crestwood Dining</v>
      </c>
      <c r="C326" s="163" t="str">
        <f>IF('Restaurant Base (Hidden)'!C156=0,"", 'Restaurant Base (Hidden)'!C156)</f>
        <v>Silver Park</v>
      </c>
      <c r="D326" s="104">
        <f t="shared" si="4"/>
        <v>320</v>
      </c>
      <c r="E326" s="105">
        <f>+IFERROR(INDEX('Restaurant Base (Hidden)'!$A$2:$Z$1048576,MATCH($C326,'Restaurant Base (Hidden)'!$C$2:$C$1048576,0),MATCH(E$6,'Restaurant Base (Hidden)'!$A$1:$Z$1,0)),"")</f>
        <v>2.61</v>
      </c>
      <c r="F326" s="2" t="str">
        <f>+IFERROR(INDEX('Restaurant Base (Hidden)'!$A$2:$Z$1048576,MATCH($C326,'Restaurant Base (Hidden)'!$C$2:$C$1048576,0),MATCH(F$6,'Restaurant Base (Hidden)'!$A$1:$Z$1,0)),"")</f>
        <v/>
      </c>
      <c r="G326" s="20" t="str">
        <f>+IFERROR(INDEX('Restaurant Base (Hidden)'!$A$2:$Z$1048576,MATCH($C326,'Restaurant Base (Hidden)'!$C$2:$C$1048576,0),MATCH(G$6,'Restaurant Base (Hidden)'!$A$1:$Z$1,0)),"")</f>
        <v>4,489</v>
      </c>
      <c r="H326" s="50">
        <f>+IFERROR(INDEX('Restaurant Base (Hidden)'!$A$2:$Z$1048576,MATCH($C326,'Restaurant Base (Hidden)'!$C$2:$C$1048576,0),MATCH(H$6,'Restaurant Base (Hidden)'!$A$1:$Z$1,0)),"")</f>
        <v>4</v>
      </c>
      <c r="I326" s="20" t="str">
        <f>+IFERROR(INDEX('Restaurant Base (Hidden)'!$A$2:$Z$1048576,MATCH($C326,'Restaurant Base (Hidden)'!$C$2:$C$1048576,0),MATCH(I$6,'Restaurant Base (Hidden)'!$A$1:$Z$1,0)),"")</f>
        <v>89,70 %</v>
      </c>
      <c r="J326" s="49">
        <f>+IFERROR(INDEX('Restaurant Base (Hidden)'!$A$2:$Z$1048576,MATCH($C326,'Restaurant Base (Hidden)'!$C$2:$C$1048576,0),MATCH(J$6,'Restaurant Base (Hidden)'!$A$1:$Z$1,0)),"")</f>
        <v>4</v>
      </c>
      <c r="K326" s="20" t="str">
        <f>+IFERROR(INDEX('Restaurant Base (Hidden)'!$A$2:$Z$1048576,MATCH($C326,'Restaurant Base (Hidden)'!$C$2:$C$1048576,0),MATCH(K$6,'Restaurant Base (Hidden)'!$A$1:$Z$1,0)),"")</f>
        <v>0,055</v>
      </c>
      <c r="L326" s="51">
        <f>+IFERROR(INDEX('Restaurant Base (Hidden)'!$A$2:$Z$1048576,MATCH($C326,'Restaurant Base (Hidden)'!$C$2:$C$1048576,0),MATCH(L$6,'Restaurant Base (Hidden)'!$A$1:$Z$1,0)),"")</f>
        <v>5</v>
      </c>
      <c r="M326" s="2" t="str">
        <f>+IFERROR(INDEX('Restaurant Base (Hidden)'!$A$2:$Z$1048576,MATCH($C326,'Restaurant Base (Hidden)'!$C$2:$C$1048576,0),MATCH(M$6,'Restaurant Base (Hidden)'!$A$1:$Z$1,0)),"")</f>
        <v/>
      </c>
      <c r="N326" s="234" t="str">
        <f>+IFERROR(INDEX('Restaurant Base (Hidden)'!$A$2:$Z$1048576,MATCH($C326,'Restaurant Base (Hidden)'!$C$2:$C$1048576,0),MATCH(N$6,'Restaurant Base (Hidden)'!$A$1:$Z$1,0)),"")</f>
        <v>55,40 %</v>
      </c>
      <c r="O326" s="1">
        <f>+IFERROR(INDEX('Restaurant Base (Hidden)'!$A$2:$Z$1048576,MATCH($C326,'Restaurant Base (Hidden)'!$C$2:$C$1048576,0),MATCH(O$6,'Restaurant Base (Hidden)'!$A$1:$Z$1,0)),"")</f>
        <v>1</v>
      </c>
      <c r="P326" s="2" t="str">
        <f>+IFERROR(INDEX('Restaurant Base (Hidden)'!$A$2:$Z$1048576,MATCH($C326,'Restaurant Base (Hidden)'!$C$2:$C$1048576,0),MATCH(P$6,'Restaurant Base (Hidden)'!$A$1:$Z$1,0)),"")</f>
        <v/>
      </c>
      <c r="Q326" s="234" t="str">
        <f>+IFERROR(INDEX('Restaurant Base (Hidden)'!$A$2:$Z$1048576,MATCH($C326,'Restaurant Base (Hidden)'!$C$2:$C$1048576,0),MATCH(Q$6,'Restaurant Base (Hidden)'!$A$1:$Z$1,0)),"")</f>
        <v>63,30 %</v>
      </c>
      <c r="R326" s="1">
        <f>+IFERROR(INDEX('Restaurant Base (Hidden)'!$A$2:$Z$1048576,MATCH($C326,'Restaurant Base (Hidden)'!$C$2:$C$1048576,0),MATCH(R$6,'Restaurant Base (Hidden)'!$A$1:$Z$1,0)),"")</f>
        <v>2</v>
      </c>
      <c r="S326" s="2" t="str">
        <f>+IFERROR(INDEX('Restaurant Base (Hidden)'!$A$2:$Z$1048576,MATCH($C326,'Restaurant Base (Hidden)'!$C$2:$C$1048576,0),MATCH(S$6,'Restaurant Base (Hidden)'!$A$1:$Z$1,0)),"")</f>
        <v/>
      </c>
      <c r="T326" s="62">
        <f>+IFERROR(INDEX('Restaurant Base (Hidden)'!$A$2:$Z$1048576,MATCH($C326,'Restaurant Base (Hidden)'!$C$2:$C$1048576,0),MATCH(T$6,'Restaurant Base (Hidden)'!$A$1:$Z$1,0)),"")</f>
        <v>58.7</v>
      </c>
      <c r="U326" s="1">
        <f>+IFERROR(INDEX('Restaurant Base (Hidden)'!$A$2:$Z$1048576,MATCH($C326,'Restaurant Base (Hidden)'!$C$2:$C$1048576,0),MATCH(U$6,'Restaurant Base (Hidden)'!$A$1:$Z$1,0)),"")</f>
        <v>2</v>
      </c>
      <c r="V326" s="2" t="str">
        <f>+IFERROR(INDEX('Restaurant Base (Hidden)'!$A$2:$Z$1048576,MATCH($C326,'Restaurant Base (Hidden)'!$C$2:$C$1048576,0),MATCH(V$6,'Restaurant Base (Hidden)'!$A$1:$Z$1,0)),"")</f>
        <v/>
      </c>
      <c r="W326" s="65" t="str">
        <f>+IFERROR(INDEX('Restaurant Base (Hidden)'!$A$2:$Z$1048576,MATCH($C326,'Restaurant Base (Hidden)'!$C$2:$C$1048576,0),MATCH(W$6,'Restaurant Base (Hidden)'!$A$1:$Z$1,0)),"")</f>
        <v>61,50 %</v>
      </c>
      <c r="X326" s="1">
        <f>+IFERROR(INDEX('Restaurant Base (Hidden)'!$A$2:$Z$1048576,MATCH($C326,'Restaurant Base (Hidden)'!$C$2:$C$1048576,0),MATCH(X$6,'Restaurant Base (Hidden)'!$A$1:$Z$1,0)),"")</f>
        <v>2</v>
      </c>
      <c r="Y326" s="65" t="str">
        <f>+IFERROR(INDEX('Restaurant Base (Hidden)'!$A$2:$Z$1048576,MATCH($C326,'Restaurant Base (Hidden)'!$C$2:$C$1048576,0),MATCH(Y$6,'Restaurant Base (Hidden)'!$A$1:$Z$1,0)),"")</f>
        <v>58,70 %</v>
      </c>
      <c r="Z326" s="106">
        <f>+IFERROR(INDEX('Restaurant Base (Hidden)'!$A$2:$Z$1048576,MATCH($C326,'Restaurant Base (Hidden)'!$C$2:$C$1048576,0),MATCH(Z$6,'Restaurant Base (Hidden)'!$A$1:$Z$1,0)),"")</f>
        <v>1</v>
      </c>
      <c r="AA326" s="65" t="str">
        <f>+IFERROR(INDEX('Restaurant Base (Hidden)'!$A$2:$Z$1048576,MATCH($C326,'Restaurant Base (Hidden)'!$C$2:$C$1048576,0),MATCH(AA$6,'Restaurant Base (Hidden)'!$A$1:$Z$1,0)),"")</f>
        <v>97,70 %</v>
      </c>
      <c r="AB326" s="1">
        <f>+IFERROR(INDEX('Restaurant Base (Hidden)'!$A$2:$Z$1048576,MATCH($C326,'Restaurant Base (Hidden)'!$C$2:$C$1048576,0),MATCH(AB$6,'Restaurant Base (Hidden)'!$A$1:$Z$1,0)),"")</f>
        <v>4</v>
      </c>
      <c r="AC326" s="20" t="str">
        <f>+IFERROR(INDEX('Restaurant Base (Hidden)'!$A$2:$Z$1048576,MATCH($C326,'Restaurant Base (Hidden)'!$C$2:$C$1048576,0),MATCH(AC$6,'Restaurant Base (Hidden)'!$A$1:$Z$1,0)),"")</f>
        <v/>
      </c>
      <c r="AD326" s="65" t="str">
        <f>+IFERROR(INDEX('Restaurant Base (Hidden)'!$A$2:$Z$1048576,MATCH($C326,'Restaurant Base (Hidden)'!$C$2:$C$1048576,0),MATCH(AD$6,'Restaurant Base (Hidden)'!$A$1:$Z$1,0)),"")</f>
        <v>80,80 %</v>
      </c>
      <c r="AE326" s="1">
        <f>+IFERROR(INDEX('Restaurant Base (Hidden)'!$A$2:$Z$1048576,MATCH($C326,'Restaurant Base (Hidden)'!$C$2:$C$1048576,0),MATCH(AE$6,'Restaurant Base (Hidden)'!$A$1:$Z$1,0)),"")</f>
        <v>2</v>
      </c>
      <c r="AF326" s="65" t="str">
        <f>+IFERROR(INDEX('Restaurant Base (Hidden)'!$A$2:$Z$1048576,MATCH($C326,'Restaurant Base (Hidden)'!$C$2:$C$1048576,0),MATCH(AF$6,'Restaurant Base (Hidden)'!$A$1:$Z$1,0)),"")</f>
        <v>84,90 %</v>
      </c>
      <c r="AG326" s="1">
        <f>+IFERROR(INDEX('Restaurant Base (Hidden)'!$A$2:$Z$1048576,MATCH($C326,'Restaurant Base (Hidden)'!$C$2:$C$1048576,0),MATCH(AG$6,'Restaurant Base (Hidden)'!$A$1:$Z$1,0)),"")</f>
        <v>3</v>
      </c>
    </row>
    <row r="327" spans="1:33" x14ac:dyDescent="0.4">
      <c r="A327" s="163" t="str">
        <f>IF('Restaurant Base (Hidden)'!A167=0,"", 'Restaurant Base (Hidden)'!A167)</f>
        <v>Taylor Hartwell</v>
      </c>
      <c r="B327" s="163" t="str">
        <f>IF('Restaurant Base (Hidden)'!B167=0,"", 'Restaurant Base (Hidden)'!B167)</f>
        <v>Brightfield Dining</v>
      </c>
      <c r="C327" s="163" t="str">
        <f>IF('Restaurant Base (Hidden)'!C167=0,"", 'Restaurant Base (Hidden)'!C167)</f>
        <v>Oakridge Hollow</v>
      </c>
      <c r="D327" s="104">
        <f t="shared" ref="D327:D390" si="5">+IFERROR(RANK(E327,$E$7:$E$3390,),"")</f>
        <v>320</v>
      </c>
      <c r="E327" s="105">
        <f>+IFERROR(INDEX('Restaurant Base (Hidden)'!$A$2:$Z$1048576,MATCH($C327,'Restaurant Base (Hidden)'!$C$2:$C$1048576,0),MATCH(E$6,'Restaurant Base (Hidden)'!$A$1:$Z$1,0)),"")</f>
        <v>2.61</v>
      </c>
      <c r="F327" s="2" t="str">
        <f>+IFERROR(INDEX('Restaurant Base (Hidden)'!$A$2:$Z$1048576,MATCH($C327,'Restaurant Base (Hidden)'!$C$2:$C$1048576,0),MATCH(F$6,'Restaurant Base (Hidden)'!$A$1:$Z$1,0)),"")</f>
        <v/>
      </c>
      <c r="G327" s="20" t="str">
        <f>+IFERROR(INDEX('Restaurant Base (Hidden)'!$A$2:$Z$1048576,MATCH($C327,'Restaurant Base (Hidden)'!$C$2:$C$1048576,0),MATCH(G$6,'Restaurant Base (Hidden)'!$A$1:$Z$1,0)),"")</f>
        <v>4,041</v>
      </c>
      <c r="H327" s="50">
        <f>+IFERROR(INDEX('Restaurant Base (Hidden)'!$A$2:$Z$1048576,MATCH($C327,'Restaurant Base (Hidden)'!$C$2:$C$1048576,0),MATCH(H$6,'Restaurant Base (Hidden)'!$A$1:$Z$1,0)),"")</f>
        <v>1</v>
      </c>
      <c r="I327" s="20" t="str">
        <f>+IFERROR(INDEX('Restaurant Base (Hidden)'!$A$2:$Z$1048576,MATCH($C327,'Restaurant Base (Hidden)'!$C$2:$C$1048576,0),MATCH(I$6,'Restaurant Base (Hidden)'!$A$1:$Z$1,0)),"")</f>
        <v>65,80 %</v>
      </c>
      <c r="J327" s="49">
        <f>+IFERROR(INDEX('Restaurant Base (Hidden)'!$A$2:$Z$1048576,MATCH($C327,'Restaurant Base (Hidden)'!$C$2:$C$1048576,0),MATCH(J$6,'Restaurant Base (Hidden)'!$A$1:$Z$1,0)),"")</f>
        <v>1</v>
      </c>
      <c r="K327" s="20" t="str">
        <f>+IFERROR(INDEX('Restaurant Base (Hidden)'!$A$2:$Z$1048576,MATCH($C327,'Restaurant Base (Hidden)'!$C$2:$C$1048576,0),MATCH(K$6,'Restaurant Base (Hidden)'!$A$1:$Z$1,0)),"")</f>
        <v>0,195</v>
      </c>
      <c r="L327" s="51">
        <f>+IFERROR(INDEX('Restaurant Base (Hidden)'!$A$2:$Z$1048576,MATCH($C327,'Restaurant Base (Hidden)'!$C$2:$C$1048576,0),MATCH(L$6,'Restaurant Base (Hidden)'!$A$1:$Z$1,0)),"")</f>
        <v>1</v>
      </c>
      <c r="M327" s="2" t="str">
        <f>+IFERROR(INDEX('Restaurant Base (Hidden)'!$A$2:$Z$1048576,MATCH($C327,'Restaurant Base (Hidden)'!$C$2:$C$1048576,0),MATCH(M$6,'Restaurant Base (Hidden)'!$A$1:$Z$1,0)),"")</f>
        <v/>
      </c>
      <c r="N327" s="234" t="str">
        <f>+IFERROR(INDEX('Restaurant Base (Hidden)'!$A$2:$Z$1048576,MATCH($C327,'Restaurant Base (Hidden)'!$C$2:$C$1048576,0),MATCH(N$6,'Restaurant Base (Hidden)'!$A$1:$Z$1,0)),"")</f>
        <v>79,80 %</v>
      </c>
      <c r="O327" s="1">
        <f>+IFERROR(INDEX('Restaurant Base (Hidden)'!$A$2:$Z$1048576,MATCH($C327,'Restaurant Base (Hidden)'!$C$2:$C$1048576,0),MATCH(O$6,'Restaurant Base (Hidden)'!$A$1:$Z$1,0)),"")</f>
        <v>5</v>
      </c>
      <c r="P327" s="2" t="str">
        <f>+IFERROR(INDEX('Restaurant Base (Hidden)'!$A$2:$Z$1048576,MATCH($C327,'Restaurant Base (Hidden)'!$C$2:$C$1048576,0),MATCH(P$6,'Restaurant Base (Hidden)'!$A$1:$Z$1,0)),"")</f>
        <v/>
      </c>
      <c r="Q327" s="234" t="str">
        <f>+IFERROR(INDEX('Restaurant Base (Hidden)'!$A$2:$Z$1048576,MATCH($C327,'Restaurant Base (Hidden)'!$C$2:$C$1048576,0),MATCH(Q$6,'Restaurant Base (Hidden)'!$A$1:$Z$1,0)),"")</f>
        <v>77,10 %</v>
      </c>
      <c r="R327" s="1">
        <f>+IFERROR(INDEX('Restaurant Base (Hidden)'!$A$2:$Z$1048576,MATCH($C327,'Restaurant Base (Hidden)'!$C$2:$C$1048576,0),MATCH(R$6,'Restaurant Base (Hidden)'!$A$1:$Z$1,0)),"")</f>
        <v>5</v>
      </c>
      <c r="S327" s="2" t="str">
        <f>+IFERROR(INDEX('Restaurant Base (Hidden)'!$A$2:$Z$1048576,MATCH($C327,'Restaurant Base (Hidden)'!$C$2:$C$1048576,0),MATCH(S$6,'Restaurant Base (Hidden)'!$A$1:$Z$1,0)),"")</f>
        <v/>
      </c>
      <c r="T327" s="62">
        <f>+IFERROR(INDEX('Restaurant Base (Hidden)'!$A$2:$Z$1048576,MATCH($C327,'Restaurant Base (Hidden)'!$C$2:$C$1048576,0),MATCH(T$6,'Restaurant Base (Hidden)'!$A$1:$Z$1,0)),"")</f>
        <v>68.7</v>
      </c>
      <c r="U327" s="1">
        <f>+IFERROR(INDEX('Restaurant Base (Hidden)'!$A$2:$Z$1048576,MATCH($C327,'Restaurant Base (Hidden)'!$C$2:$C$1048576,0),MATCH(U$6,'Restaurant Base (Hidden)'!$A$1:$Z$1,0)),"")</f>
        <v>4</v>
      </c>
      <c r="V327" s="2" t="str">
        <f>+IFERROR(INDEX('Restaurant Base (Hidden)'!$A$2:$Z$1048576,MATCH($C327,'Restaurant Base (Hidden)'!$C$2:$C$1048576,0),MATCH(V$6,'Restaurant Base (Hidden)'!$A$1:$Z$1,0)),"")</f>
        <v/>
      </c>
      <c r="W327" s="65" t="str">
        <f>+IFERROR(INDEX('Restaurant Base (Hidden)'!$A$2:$Z$1048576,MATCH($C327,'Restaurant Base (Hidden)'!$C$2:$C$1048576,0),MATCH(W$6,'Restaurant Base (Hidden)'!$A$1:$Z$1,0)),"")</f>
        <v>64,50 %</v>
      </c>
      <c r="X327" s="1">
        <f>+IFERROR(INDEX('Restaurant Base (Hidden)'!$A$2:$Z$1048576,MATCH($C327,'Restaurant Base (Hidden)'!$C$2:$C$1048576,0),MATCH(X$6,'Restaurant Base (Hidden)'!$A$1:$Z$1,0)),"")</f>
        <v>2</v>
      </c>
      <c r="Y327" s="65" t="str">
        <f>+IFERROR(INDEX('Restaurant Base (Hidden)'!$A$2:$Z$1048576,MATCH($C327,'Restaurant Base (Hidden)'!$C$2:$C$1048576,0),MATCH(Y$6,'Restaurant Base (Hidden)'!$A$1:$Z$1,0)),"")</f>
        <v>76,90 %</v>
      </c>
      <c r="Z327" s="106">
        <f>+IFERROR(INDEX('Restaurant Base (Hidden)'!$A$2:$Z$1048576,MATCH($C327,'Restaurant Base (Hidden)'!$C$2:$C$1048576,0),MATCH(Z$6,'Restaurant Base (Hidden)'!$A$1:$Z$1,0)),"")</f>
        <v>2</v>
      </c>
      <c r="AA327" s="65" t="str">
        <f>+IFERROR(INDEX('Restaurant Base (Hidden)'!$A$2:$Z$1048576,MATCH($C327,'Restaurant Base (Hidden)'!$C$2:$C$1048576,0),MATCH(AA$6,'Restaurant Base (Hidden)'!$A$1:$Z$1,0)),"")</f>
        <v>71,00 %</v>
      </c>
      <c r="AB327" s="1">
        <f>+IFERROR(INDEX('Restaurant Base (Hidden)'!$A$2:$Z$1048576,MATCH($C327,'Restaurant Base (Hidden)'!$C$2:$C$1048576,0),MATCH(AB$6,'Restaurant Base (Hidden)'!$A$1:$Z$1,0)),"")</f>
        <v>2</v>
      </c>
      <c r="AC327" s="20" t="str">
        <f>+IFERROR(INDEX('Restaurant Base (Hidden)'!$A$2:$Z$1048576,MATCH($C327,'Restaurant Base (Hidden)'!$C$2:$C$1048576,0),MATCH(AC$6,'Restaurant Base (Hidden)'!$A$1:$Z$1,0)),"")</f>
        <v/>
      </c>
      <c r="AD327" s="65" t="str">
        <f>+IFERROR(INDEX('Restaurant Base (Hidden)'!$A$2:$Z$1048576,MATCH($C327,'Restaurant Base (Hidden)'!$C$2:$C$1048576,0),MATCH(AD$6,'Restaurant Base (Hidden)'!$A$1:$Z$1,0)),"")</f>
        <v>62,70 %</v>
      </c>
      <c r="AE327" s="1">
        <f>+IFERROR(INDEX('Restaurant Base (Hidden)'!$A$2:$Z$1048576,MATCH($C327,'Restaurant Base (Hidden)'!$C$2:$C$1048576,0),MATCH(AE$6,'Restaurant Base (Hidden)'!$A$1:$Z$1,0)),"")</f>
        <v>1</v>
      </c>
      <c r="AF327" s="65" t="str">
        <f>+IFERROR(INDEX('Restaurant Base (Hidden)'!$A$2:$Z$1048576,MATCH($C327,'Restaurant Base (Hidden)'!$C$2:$C$1048576,0),MATCH(AF$6,'Restaurant Base (Hidden)'!$A$1:$Z$1,0)),"")</f>
        <v>65,70 %</v>
      </c>
      <c r="AG327" s="1">
        <f>+IFERROR(INDEX('Restaurant Base (Hidden)'!$A$2:$Z$1048576,MATCH($C327,'Restaurant Base (Hidden)'!$C$2:$C$1048576,0),MATCH(AG$6,'Restaurant Base (Hidden)'!$A$1:$Z$1,0)),"")</f>
        <v>1</v>
      </c>
    </row>
    <row r="328" spans="1:33" x14ac:dyDescent="0.4">
      <c r="A328" s="163" t="str">
        <f>IF('Restaurant Base (Hidden)'!A187=0,"", 'Restaurant Base (Hidden)'!A187)</f>
        <v>Kendall Prescott</v>
      </c>
      <c r="B328" s="163" t="str">
        <f>IF('Restaurant Base (Hidden)'!B187=0,"", 'Restaurant Base (Hidden)'!B187)</f>
        <v>Meadowgate Hospitality</v>
      </c>
      <c r="C328" s="163" t="str">
        <f>IF('Restaurant Base (Hidden)'!C187=0,"", 'Restaurant Base (Hidden)'!C187)</f>
        <v>Bright Harbor</v>
      </c>
      <c r="D328" s="104">
        <f t="shared" si="5"/>
        <v>320</v>
      </c>
      <c r="E328" s="105">
        <f>+IFERROR(INDEX('Restaurant Base (Hidden)'!$A$2:$Z$1048576,MATCH($C328,'Restaurant Base (Hidden)'!$C$2:$C$1048576,0),MATCH(E$6,'Restaurant Base (Hidden)'!$A$1:$Z$1,0)),"")</f>
        <v>2.61</v>
      </c>
      <c r="F328" s="2" t="str">
        <f>+IFERROR(INDEX('Restaurant Base (Hidden)'!$A$2:$Z$1048576,MATCH($C328,'Restaurant Base (Hidden)'!$C$2:$C$1048576,0),MATCH(F$6,'Restaurant Base (Hidden)'!$A$1:$Z$1,0)),"")</f>
        <v/>
      </c>
      <c r="G328" s="20" t="str">
        <f>+IFERROR(INDEX('Restaurant Base (Hidden)'!$A$2:$Z$1048576,MATCH($C328,'Restaurant Base (Hidden)'!$C$2:$C$1048576,0),MATCH(G$6,'Restaurant Base (Hidden)'!$A$1:$Z$1,0)),"")</f>
        <v>4,781</v>
      </c>
      <c r="H328" s="50">
        <f>+IFERROR(INDEX('Restaurant Base (Hidden)'!$A$2:$Z$1048576,MATCH($C328,'Restaurant Base (Hidden)'!$C$2:$C$1048576,0),MATCH(H$6,'Restaurant Base (Hidden)'!$A$1:$Z$1,0)),"")</f>
        <v>5</v>
      </c>
      <c r="I328" s="20" t="str">
        <f>+IFERROR(INDEX('Restaurant Base (Hidden)'!$A$2:$Z$1048576,MATCH($C328,'Restaurant Base (Hidden)'!$C$2:$C$1048576,0),MATCH(I$6,'Restaurant Base (Hidden)'!$A$1:$Z$1,0)),"")</f>
        <v>92,90 %</v>
      </c>
      <c r="J328" s="49">
        <f>+IFERROR(INDEX('Restaurant Base (Hidden)'!$A$2:$Z$1048576,MATCH($C328,'Restaurant Base (Hidden)'!$C$2:$C$1048576,0),MATCH(J$6,'Restaurant Base (Hidden)'!$A$1:$Z$1,0)),"")</f>
        <v>4</v>
      </c>
      <c r="K328" s="20" t="str">
        <f>+IFERROR(INDEX('Restaurant Base (Hidden)'!$A$2:$Z$1048576,MATCH($C328,'Restaurant Base (Hidden)'!$C$2:$C$1048576,0),MATCH(K$6,'Restaurant Base (Hidden)'!$A$1:$Z$1,0)),"")</f>
        <v>0,165</v>
      </c>
      <c r="L328" s="51">
        <f>+IFERROR(INDEX('Restaurant Base (Hidden)'!$A$2:$Z$1048576,MATCH($C328,'Restaurant Base (Hidden)'!$C$2:$C$1048576,0),MATCH(L$6,'Restaurant Base (Hidden)'!$A$1:$Z$1,0)),"")</f>
        <v>2</v>
      </c>
      <c r="M328" s="2" t="str">
        <f>+IFERROR(INDEX('Restaurant Base (Hidden)'!$A$2:$Z$1048576,MATCH($C328,'Restaurant Base (Hidden)'!$C$2:$C$1048576,0),MATCH(M$6,'Restaurant Base (Hidden)'!$A$1:$Z$1,0)),"")</f>
        <v/>
      </c>
      <c r="N328" s="234" t="str">
        <f>+IFERROR(INDEX('Restaurant Base (Hidden)'!$A$2:$Z$1048576,MATCH($C328,'Restaurant Base (Hidden)'!$C$2:$C$1048576,0),MATCH(N$6,'Restaurant Base (Hidden)'!$A$1:$Z$1,0)),"")</f>
        <v>84,30 %</v>
      </c>
      <c r="O328" s="1">
        <f>+IFERROR(INDEX('Restaurant Base (Hidden)'!$A$2:$Z$1048576,MATCH($C328,'Restaurant Base (Hidden)'!$C$2:$C$1048576,0),MATCH(O$6,'Restaurant Base (Hidden)'!$A$1:$Z$1,0)),"")</f>
        <v>5</v>
      </c>
      <c r="P328" s="2" t="str">
        <f>+IFERROR(INDEX('Restaurant Base (Hidden)'!$A$2:$Z$1048576,MATCH($C328,'Restaurant Base (Hidden)'!$C$2:$C$1048576,0),MATCH(P$6,'Restaurant Base (Hidden)'!$A$1:$Z$1,0)),"")</f>
        <v/>
      </c>
      <c r="Q328" s="234" t="str">
        <f>+IFERROR(INDEX('Restaurant Base (Hidden)'!$A$2:$Z$1048576,MATCH($C328,'Restaurant Base (Hidden)'!$C$2:$C$1048576,0),MATCH(Q$6,'Restaurant Base (Hidden)'!$A$1:$Z$1,0)),"")</f>
        <v>59,10 %</v>
      </c>
      <c r="R328" s="1">
        <f>+IFERROR(INDEX('Restaurant Base (Hidden)'!$A$2:$Z$1048576,MATCH($C328,'Restaurant Base (Hidden)'!$C$2:$C$1048576,0),MATCH(R$6,'Restaurant Base (Hidden)'!$A$1:$Z$1,0)),"")</f>
        <v>1</v>
      </c>
      <c r="S328" s="2" t="str">
        <f>+IFERROR(INDEX('Restaurant Base (Hidden)'!$A$2:$Z$1048576,MATCH($C328,'Restaurant Base (Hidden)'!$C$2:$C$1048576,0),MATCH(S$6,'Restaurant Base (Hidden)'!$A$1:$Z$1,0)),"")</f>
        <v/>
      </c>
      <c r="T328" s="62">
        <f>+IFERROR(INDEX('Restaurant Base (Hidden)'!$A$2:$Z$1048576,MATCH($C328,'Restaurant Base (Hidden)'!$C$2:$C$1048576,0),MATCH(T$6,'Restaurant Base (Hidden)'!$A$1:$Z$1,0)),"")</f>
        <v>52.7</v>
      </c>
      <c r="U328" s="1">
        <f>+IFERROR(INDEX('Restaurant Base (Hidden)'!$A$2:$Z$1048576,MATCH($C328,'Restaurant Base (Hidden)'!$C$2:$C$1048576,0),MATCH(U$6,'Restaurant Base (Hidden)'!$A$1:$Z$1,0)),"")</f>
        <v>1</v>
      </c>
      <c r="V328" s="2" t="str">
        <f>+IFERROR(INDEX('Restaurant Base (Hidden)'!$A$2:$Z$1048576,MATCH($C328,'Restaurant Base (Hidden)'!$C$2:$C$1048576,0),MATCH(V$6,'Restaurant Base (Hidden)'!$A$1:$Z$1,0)),"")</f>
        <v/>
      </c>
      <c r="W328" s="65" t="str">
        <f>+IFERROR(INDEX('Restaurant Base (Hidden)'!$A$2:$Z$1048576,MATCH($C328,'Restaurant Base (Hidden)'!$C$2:$C$1048576,0),MATCH(W$6,'Restaurant Base (Hidden)'!$A$1:$Z$1,0)),"")</f>
        <v>96,00 %</v>
      </c>
      <c r="X328" s="1">
        <f>+IFERROR(INDEX('Restaurant Base (Hidden)'!$A$2:$Z$1048576,MATCH($C328,'Restaurant Base (Hidden)'!$C$2:$C$1048576,0),MATCH(X$6,'Restaurant Base (Hidden)'!$A$1:$Z$1,0)),"")</f>
        <v>4</v>
      </c>
      <c r="Y328" s="65" t="str">
        <f>+IFERROR(INDEX('Restaurant Base (Hidden)'!$A$2:$Z$1048576,MATCH($C328,'Restaurant Base (Hidden)'!$C$2:$C$1048576,0),MATCH(Y$6,'Restaurant Base (Hidden)'!$A$1:$Z$1,0)),"")</f>
        <v>91,00 %</v>
      </c>
      <c r="Z328" s="106">
        <f>+IFERROR(INDEX('Restaurant Base (Hidden)'!$A$2:$Z$1048576,MATCH($C328,'Restaurant Base (Hidden)'!$C$2:$C$1048576,0),MATCH(Z$6,'Restaurant Base (Hidden)'!$A$1:$Z$1,0)),"")</f>
        <v>3</v>
      </c>
      <c r="AA328" s="65" t="str">
        <f>+IFERROR(INDEX('Restaurant Base (Hidden)'!$A$2:$Z$1048576,MATCH($C328,'Restaurant Base (Hidden)'!$C$2:$C$1048576,0),MATCH(AA$6,'Restaurant Base (Hidden)'!$A$1:$Z$1,0)),"")</f>
        <v>71,70 %</v>
      </c>
      <c r="AB328" s="1">
        <f>+IFERROR(INDEX('Restaurant Base (Hidden)'!$A$2:$Z$1048576,MATCH($C328,'Restaurant Base (Hidden)'!$C$2:$C$1048576,0),MATCH(AB$6,'Restaurant Base (Hidden)'!$A$1:$Z$1,0)),"")</f>
        <v>2</v>
      </c>
      <c r="AC328" s="20" t="str">
        <f>+IFERROR(INDEX('Restaurant Base (Hidden)'!$A$2:$Z$1048576,MATCH($C328,'Restaurant Base (Hidden)'!$C$2:$C$1048576,0),MATCH(AC$6,'Restaurant Base (Hidden)'!$A$1:$Z$1,0)),"")</f>
        <v/>
      </c>
      <c r="AD328" s="65" t="str">
        <f>+IFERROR(INDEX('Restaurant Base (Hidden)'!$A$2:$Z$1048576,MATCH($C328,'Restaurant Base (Hidden)'!$C$2:$C$1048576,0),MATCH(AD$6,'Restaurant Base (Hidden)'!$A$1:$Z$1,0)),"")</f>
        <v>56,30 %</v>
      </c>
      <c r="AE328" s="1">
        <f>+IFERROR(INDEX('Restaurant Base (Hidden)'!$A$2:$Z$1048576,MATCH($C328,'Restaurant Base (Hidden)'!$C$2:$C$1048576,0),MATCH(AE$6,'Restaurant Base (Hidden)'!$A$1:$Z$1,0)),"")</f>
        <v>1</v>
      </c>
      <c r="AF328" s="65" t="str">
        <f>+IFERROR(INDEX('Restaurant Base (Hidden)'!$A$2:$Z$1048576,MATCH($C328,'Restaurant Base (Hidden)'!$C$2:$C$1048576,0),MATCH(AF$6,'Restaurant Base (Hidden)'!$A$1:$Z$1,0)),"")</f>
        <v>74,50 %</v>
      </c>
      <c r="AG328" s="1">
        <f>+IFERROR(INDEX('Restaurant Base (Hidden)'!$A$2:$Z$1048576,MATCH($C328,'Restaurant Base (Hidden)'!$C$2:$C$1048576,0),MATCH(AG$6,'Restaurant Base (Hidden)'!$A$1:$Z$1,0)),"")</f>
        <v>1</v>
      </c>
    </row>
    <row r="329" spans="1:33" x14ac:dyDescent="0.4">
      <c r="A329" s="163" t="str">
        <f>IF('Restaurant Base (Hidden)'!A313=0,"", 'Restaurant Base (Hidden)'!A313)</f>
        <v>Arden Brookstone</v>
      </c>
      <c r="B329" s="163" t="str">
        <f>IF('Restaurant Base (Hidden)'!B313=0,"", 'Restaurant Base (Hidden)'!B313)</f>
        <v>Brightstone Food Group</v>
      </c>
      <c r="C329" s="163" t="str">
        <f>IF('Restaurant Base (Hidden)'!C313=0,"", 'Restaurant Base (Hidden)'!C313)</f>
        <v>Eastwood View</v>
      </c>
      <c r="D329" s="104">
        <f t="shared" si="5"/>
        <v>320</v>
      </c>
      <c r="E329" s="105">
        <f>+IFERROR(INDEX('Restaurant Base (Hidden)'!$A$2:$Z$1048576,MATCH($C329,'Restaurant Base (Hidden)'!$C$2:$C$1048576,0),MATCH(E$6,'Restaurant Base (Hidden)'!$A$1:$Z$1,0)),"")</f>
        <v>2.61</v>
      </c>
      <c r="F329" s="2" t="str">
        <f>+IFERROR(INDEX('Restaurant Base (Hidden)'!$A$2:$Z$1048576,MATCH($C329,'Restaurant Base (Hidden)'!$C$2:$C$1048576,0),MATCH(F$6,'Restaurant Base (Hidden)'!$A$1:$Z$1,0)),"")</f>
        <v/>
      </c>
      <c r="G329" s="20" t="str">
        <f>+IFERROR(INDEX('Restaurant Base (Hidden)'!$A$2:$Z$1048576,MATCH($C329,'Restaurant Base (Hidden)'!$C$2:$C$1048576,0),MATCH(G$6,'Restaurant Base (Hidden)'!$A$1:$Z$1,0)),"")</f>
        <v>4,132</v>
      </c>
      <c r="H329" s="50">
        <f>+IFERROR(INDEX('Restaurant Base (Hidden)'!$A$2:$Z$1048576,MATCH($C329,'Restaurant Base (Hidden)'!$C$2:$C$1048576,0),MATCH(H$6,'Restaurant Base (Hidden)'!$A$1:$Z$1,0)),"")</f>
        <v>2</v>
      </c>
      <c r="I329" s="20" t="str">
        <f>+IFERROR(INDEX('Restaurant Base (Hidden)'!$A$2:$Z$1048576,MATCH($C329,'Restaurant Base (Hidden)'!$C$2:$C$1048576,0),MATCH(I$6,'Restaurant Base (Hidden)'!$A$1:$Z$1,0)),"")</f>
        <v>74,50 %</v>
      </c>
      <c r="J329" s="49">
        <f>+IFERROR(INDEX('Restaurant Base (Hidden)'!$A$2:$Z$1048576,MATCH($C329,'Restaurant Base (Hidden)'!$C$2:$C$1048576,0),MATCH(J$6,'Restaurant Base (Hidden)'!$A$1:$Z$1,0)),"")</f>
        <v>1</v>
      </c>
      <c r="K329" s="20" t="str">
        <f>+IFERROR(INDEX('Restaurant Base (Hidden)'!$A$2:$Z$1048576,MATCH($C329,'Restaurant Base (Hidden)'!$C$2:$C$1048576,0),MATCH(K$6,'Restaurant Base (Hidden)'!$A$1:$Z$1,0)),"")</f>
        <v>0,169</v>
      </c>
      <c r="L329" s="51">
        <f>+IFERROR(INDEX('Restaurant Base (Hidden)'!$A$2:$Z$1048576,MATCH($C329,'Restaurant Base (Hidden)'!$C$2:$C$1048576,0),MATCH(L$6,'Restaurant Base (Hidden)'!$A$1:$Z$1,0)),"")</f>
        <v>2</v>
      </c>
      <c r="M329" s="2" t="str">
        <f>+IFERROR(INDEX('Restaurant Base (Hidden)'!$A$2:$Z$1048576,MATCH($C329,'Restaurant Base (Hidden)'!$C$2:$C$1048576,0),MATCH(M$6,'Restaurant Base (Hidden)'!$A$1:$Z$1,0)),"")</f>
        <v/>
      </c>
      <c r="N329" s="234" t="str">
        <f>+IFERROR(INDEX('Restaurant Base (Hidden)'!$A$2:$Z$1048576,MATCH($C329,'Restaurant Base (Hidden)'!$C$2:$C$1048576,0),MATCH(N$6,'Restaurant Base (Hidden)'!$A$1:$Z$1,0)),"")</f>
        <v>90,40 %</v>
      </c>
      <c r="O329" s="1">
        <f>+IFERROR(INDEX('Restaurant Base (Hidden)'!$A$2:$Z$1048576,MATCH($C329,'Restaurant Base (Hidden)'!$C$2:$C$1048576,0),MATCH(O$6,'Restaurant Base (Hidden)'!$A$1:$Z$1,0)),"")</f>
        <v>5</v>
      </c>
      <c r="P329" s="2" t="str">
        <f>+IFERROR(INDEX('Restaurant Base (Hidden)'!$A$2:$Z$1048576,MATCH($C329,'Restaurant Base (Hidden)'!$C$2:$C$1048576,0),MATCH(P$6,'Restaurant Base (Hidden)'!$A$1:$Z$1,0)),"")</f>
        <v/>
      </c>
      <c r="Q329" s="234" t="str">
        <f>+IFERROR(INDEX('Restaurant Base (Hidden)'!$A$2:$Z$1048576,MATCH($C329,'Restaurant Base (Hidden)'!$C$2:$C$1048576,0),MATCH(Q$6,'Restaurant Base (Hidden)'!$A$1:$Z$1,0)),"")</f>
        <v>74,10 %</v>
      </c>
      <c r="R329" s="1">
        <f>+IFERROR(INDEX('Restaurant Base (Hidden)'!$A$2:$Z$1048576,MATCH($C329,'Restaurant Base (Hidden)'!$C$2:$C$1048576,0),MATCH(R$6,'Restaurant Base (Hidden)'!$A$1:$Z$1,0)),"")</f>
        <v>5</v>
      </c>
      <c r="S329" s="2" t="str">
        <f>+IFERROR(INDEX('Restaurant Base (Hidden)'!$A$2:$Z$1048576,MATCH($C329,'Restaurant Base (Hidden)'!$C$2:$C$1048576,0),MATCH(S$6,'Restaurant Base (Hidden)'!$A$1:$Z$1,0)),"")</f>
        <v/>
      </c>
      <c r="T329" s="62">
        <f>+IFERROR(INDEX('Restaurant Base (Hidden)'!$A$2:$Z$1048576,MATCH($C329,'Restaurant Base (Hidden)'!$C$2:$C$1048576,0),MATCH(T$6,'Restaurant Base (Hidden)'!$A$1:$Z$1,0)),"")</f>
        <v>53.9</v>
      </c>
      <c r="U329" s="1">
        <f>+IFERROR(INDEX('Restaurant Base (Hidden)'!$A$2:$Z$1048576,MATCH($C329,'Restaurant Base (Hidden)'!$C$2:$C$1048576,0),MATCH(U$6,'Restaurant Base (Hidden)'!$A$1:$Z$1,0)),"")</f>
        <v>1</v>
      </c>
      <c r="V329" s="2" t="str">
        <f>+IFERROR(INDEX('Restaurant Base (Hidden)'!$A$2:$Z$1048576,MATCH($C329,'Restaurant Base (Hidden)'!$C$2:$C$1048576,0),MATCH(V$6,'Restaurant Base (Hidden)'!$A$1:$Z$1,0)),"")</f>
        <v/>
      </c>
      <c r="W329" s="65" t="str">
        <f>+IFERROR(INDEX('Restaurant Base (Hidden)'!$A$2:$Z$1048576,MATCH($C329,'Restaurant Base (Hidden)'!$C$2:$C$1048576,0),MATCH(W$6,'Restaurant Base (Hidden)'!$A$1:$Z$1,0)),"")</f>
        <v>60,80 %</v>
      </c>
      <c r="X329" s="1">
        <f>+IFERROR(INDEX('Restaurant Base (Hidden)'!$A$2:$Z$1048576,MATCH($C329,'Restaurant Base (Hidden)'!$C$2:$C$1048576,0),MATCH(X$6,'Restaurant Base (Hidden)'!$A$1:$Z$1,0)),"")</f>
        <v>2</v>
      </c>
      <c r="Y329" s="65" t="str">
        <f>+IFERROR(INDEX('Restaurant Base (Hidden)'!$A$2:$Z$1048576,MATCH($C329,'Restaurant Base (Hidden)'!$C$2:$C$1048576,0),MATCH(Y$6,'Restaurant Base (Hidden)'!$A$1:$Z$1,0)),"")</f>
        <v>96,10 %</v>
      </c>
      <c r="Z329" s="106">
        <f>+IFERROR(INDEX('Restaurant Base (Hidden)'!$A$2:$Z$1048576,MATCH($C329,'Restaurant Base (Hidden)'!$C$2:$C$1048576,0),MATCH(Z$6,'Restaurant Base (Hidden)'!$A$1:$Z$1,0)),"")</f>
        <v>4</v>
      </c>
      <c r="AA329" s="65" t="str">
        <f>+IFERROR(INDEX('Restaurant Base (Hidden)'!$A$2:$Z$1048576,MATCH($C329,'Restaurant Base (Hidden)'!$C$2:$C$1048576,0),MATCH(AA$6,'Restaurant Base (Hidden)'!$A$1:$Z$1,0)),"")</f>
        <v>61,30 %</v>
      </c>
      <c r="AB329" s="1">
        <f>+IFERROR(INDEX('Restaurant Base (Hidden)'!$A$2:$Z$1048576,MATCH($C329,'Restaurant Base (Hidden)'!$C$2:$C$1048576,0),MATCH(AB$6,'Restaurant Base (Hidden)'!$A$1:$Z$1,0)),"")</f>
        <v>2</v>
      </c>
      <c r="AC329" s="20" t="str">
        <f>+IFERROR(INDEX('Restaurant Base (Hidden)'!$A$2:$Z$1048576,MATCH($C329,'Restaurant Base (Hidden)'!$C$2:$C$1048576,0),MATCH(AC$6,'Restaurant Base (Hidden)'!$A$1:$Z$1,0)),"")</f>
        <v/>
      </c>
      <c r="AD329" s="65" t="str">
        <f>+IFERROR(INDEX('Restaurant Base (Hidden)'!$A$2:$Z$1048576,MATCH($C329,'Restaurant Base (Hidden)'!$C$2:$C$1048576,0),MATCH(AD$6,'Restaurant Base (Hidden)'!$A$1:$Z$1,0)),"")</f>
        <v>80,40 %</v>
      </c>
      <c r="AE329" s="1">
        <f>+IFERROR(INDEX('Restaurant Base (Hidden)'!$A$2:$Z$1048576,MATCH($C329,'Restaurant Base (Hidden)'!$C$2:$C$1048576,0),MATCH(AE$6,'Restaurant Base (Hidden)'!$A$1:$Z$1,0)),"")</f>
        <v>2</v>
      </c>
      <c r="AF329" s="65" t="str">
        <f>+IFERROR(INDEX('Restaurant Base (Hidden)'!$A$2:$Z$1048576,MATCH($C329,'Restaurant Base (Hidden)'!$C$2:$C$1048576,0),MATCH(AF$6,'Restaurant Base (Hidden)'!$A$1:$Z$1,0)),"")</f>
        <v>57,40 %</v>
      </c>
      <c r="AG329" s="1">
        <f>+IFERROR(INDEX('Restaurant Base (Hidden)'!$A$2:$Z$1048576,MATCH($C329,'Restaurant Base (Hidden)'!$C$2:$C$1048576,0),MATCH(AG$6,'Restaurant Base (Hidden)'!$A$1:$Z$1,0)),"")</f>
        <v>1</v>
      </c>
    </row>
    <row r="330" spans="1:33" x14ac:dyDescent="0.4">
      <c r="A330" s="163" t="str">
        <f>IF('Restaurant Base (Hidden)'!A323=0,"", 'Restaurant Base (Hidden)'!A323)</f>
        <v>Casey Briarwood</v>
      </c>
      <c r="B330" s="163" t="str">
        <f>IF('Restaurant Base (Hidden)'!B323=0,"", 'Restaurant Base (Hidden)'!B323)</f>
        <v>Bluecrest Food Partners</v>
      </c>
      <c r="C330" s="163" t="str">
        <f>IF('Restaurant Base (Hidden)'!C323=0,"", 'Restaurant Base (Hidden)'!C323)</f>
        <v>Glen Creek</v>
      </c>
      <c r="D330" s="104">
        <f t="shared" si="5"/>
        <v>320</v>
      </c>
      <c r="E330" s="105">
        <f>+IFERROR(INDEX('Restaurant Base (Hidden)'!$A$2:$Z$1048576,MATCH($C330,'Restaurant Base (Hidden)'!$C$2:$C$1048576,0),MATCH(E$6,'Restaurant Base (Hidden)'!$A$1:$Z$1,0)),"")</f>
        <v>2.61</v>
      </c>
      <c r="F330" s="2" t="str">
        <f>+IFERROR(INDEX('Restaurant Base (Hidden)'!$A$2:$Z$1048576,MATCH($C330,'Restaurant Base (Hidden)'!$C$2:$C$1048576,0),MATCH(F$6,'Restaurant Base (Hidden)'!$A$1:$Z$1,0)),"")</f>
        <v/>
      </c>
      <c r="G330" s="20" t="str">
        <f>+IFERROR(INDEX('Restaurant Base (Hidden)'!$A$2:$Z$1048576,MATCH($C330,'Restaurant Base (Hidden)'!$C$2:$C$1048576,0),MATCH(G$6,'Restaurant Base (Hidden)'!$A$1:$Z$1,0)),"")</f>
        <v>4,811</v>
      </c>
      <c r="H330" s="50">
        <f>+IFERROR(INDEX('Restaurant Base (Hidden)'!$A$2:$Z$1048576,MATCH($C330,'Restaurant Base (Hidden)'!$C$2:$C$1048576,0),MATCH(H$6,'Restaurant Base (Hidden)'!$A$1:$Z$1,0)),"")</f>
        <v>5</v>
      </c>
      <c r="I330" s="20" t="str">
        <f>+IFERROR(INDEX('Restaurant Base (Hidden)'!$A$2:$Z$1048576,MATCH($C330,'Restaurant Base (Hidden)'!$C$2:$C$1048576,0),MATCH(I$6,'Restaurant Base (Hidden)'!$A$1:$Z$1,0)),"")</f>
        <v>75,00 %</v>
      </c>
      <c r="J330" s="49">
        <f>+IFERROR(INDEX('Restaurant Base (Hidden)'!$A$2:$Z$1048576,MATCH($C330,'Restaurant Base (Hidden)'!$C$2:$C$1048576,0),MATCH(J$6,'Restaurant Base (Hidden)'!$A$1:$Z$1,0)),"")</f>
        <v>1</v>
      </c>
      <c r="K330" s="20" t="str">
        <f>+IFERROR(INDEX('Restaurant Base (Hidden)'!$A$2:$Z$1048576,MATCH($C330,'Restaurant Base (Hidden)'!$C$2:$C$1048576,0),MATCH(K$6,'Restaurant Base (Hidden)'!$A$1:$Z$1,0)),"")</f>
        <v>0,198</v>
      </c>
      <c r="L330" s="51">
        <f>+IFERROR(INDEX('Restaurant Base (Hidden)'!$A$2:$Z$1048576,MATCH($C330,'Restaurant Base (Hidden)'!$C$2:$C$1048576,0),MATCH(L$6,'Restaurant Base (Hidden)'!$A$1:$Z$1,0)),"")</f>
        <v>1</v>
      </c>
      <c r="M330" s="2" t="str">
        <f>+IFERROR(INDEX('Restaurant Base (Hidden)'!$A$2:$Z$1048576,MATCH($C330,'Restaurant Base (Hidden)'!$C$2:$C$1048576,0),MATCH(M$6,'Restaurant Base (Hidden)'!$A$1:$Z$1,0)),"")</f>
        <v/>
      </c>
      <c r="N330" s="234" t="str">
        <f>+IFERROR(INDEX('Restaurant Base (Hidden)'!$A$2:$Z$1048576,MATCH($C330,'Restaurant Base (Hidden)'!$C$2:$C$1048576,0),MATCH(N$6,'Restaurant Base (Hidden)'!$A$1:$Z$1,0)),"")</f>
        <v>66,20 %</v>
      </c>
      <c r="O330" s="1">
        <f>+IFERROR(INDEX('Restaurant Base (Hidden)'!$A$2:$Z$1048576,MATCH($C330,'Restaurant Base (Hidden)'!$C$2:$C$1048576,0),MATCH(O$6,'Restaurant Base (Hidden)'!$A$1:$Z$1,0)),"")</f>
        <v>3</v>
      </c>
      <c r="P330" s="2" t="str">
        <f>+IFERROR(INDEX('Restaurant Base (Hidden)'!$A$2:$Z$1048576,MATCH($C330,'Restaurant Base (Hidden)'!$C$2:$C$1048576,0),MATCH(P$6,'Restaurant Base (Hidden)'!$A$1:$Z$1,0)),"")</f>
        <v/>
      </c>
      <c r="Q330" s="234" t="str">
        <f>+IFERROR(INDEX('Restaurant Base (Hidden)'!$A$2:$Z$1048576,MATCH($C330,'Restaurant Base (Hidden)'!$C$2:$C$1048576,0),MATCH(Q$6,'Restaurant Base (Hidden)'!$A$1:$Z$1,0)),"")</f>
        <v>82,20 %</v>
      </c>
      <c r="R330" s="1">
        <f>+IFERROR(INDEX('Restaurant Base (Hidden)'!$A$2:$Z$1048576,MATCH($C330,'Restaurant Base (Hidden)'!$C$2:$C$1048576,0),MATCH(R$6,'Restaurant Base (Hidden)'!$A$1:$Z$1,0)),"")</f>
        <v>5</v>
      </c>
      <c r="S330" s="2" t="str">
        <f>+IFERROR(INDEX('Restaurant Base (Hidden)'!$A$2:$Z$1048576,MATCH($C330,'Restaurant Base (Hidden)'!$C$2:$C$1048576,0),MATCH(S$6,'Restaurant Base (Hidden)'!$A$1:$Z$1,0)),"")</f>
        <v/>
      </c>
      <c r="T330" s="62">
        <f>+IFERROR(INDEX('Restaurant Base (Hidden)'!$A$2:$Z$1048576,MATCH($C330,'Restaurant Base (Hidden)'!$C$2:$C$1048576,0),MATCH(T$6,'Restaurant Base (Hidden)'!$A$1:$Z$1,0)),"")</f>
        <v>59.9</v>
      </c>
      <c r="U330" s="1">
        <f>+IFERROR(INDEX('Restaurant Base (Hidden)'!$A$2:$Z$1048576,MATCH($C330,'Restaurant Base (Hidden)'!$C$2:$C$1048576,0),MATCH(U$6,'Restaurant Base (Hidden)'!$A$1:$Z$1,0)),"")</f>
        <v>2</v>
      </c>
      <c r="V330" s="2" t="str">
        <f>+IFERROR(INDEX('Restaurant Base (Hidden)'!$A$2:$Z$1048576,MATCH($C330,'Restaurant Base (Hidden)'!$C$2:$C$1048576,0),MATCH(V$6,'Restaurant Base (Hidden)'!$A$1:$Z$1,0)),"")</f>
        <v/>
      </c>
      <c r="W330" s="65" t="str">
        <f>+IFERROR(INDEX('Restaurant Base (Hidden)'!$A$2:$Z$1048576,MATCH($C330,'Restaurant Base (Hidden)'!$C$2:$C$1048576,0),MATCH(W$6,'Restaurant Base (Hidden)'!$A$1:$Z$1,0)),"")</f>
        <v>76,50 %</v>
      </c>
      <c r="X330" s="1">
        <f>+IFERROR(INDEX('Restaurant Base (Hidden)'!$A$2:$Z$1048576,MATCH($C330,'Restaurant Base (Hidden)'!$C$2:$C$1048576,0),MATCH(X$6,'Restaurant Base (Hidden)'!$A$1:$Z$1,0)),"")</f>
        <v>2</v>
      </c>
      <c r="Y330" s="65" t="str">
        <f>+IFERROR(INDEX('Restaurant Base (Hidden)'!$A$2:$Z$1048576,MATCH($C330,'Restaurant Base (Hidden)'!$C$2:$C$1048576,0),MATCH(Y$6,'Restaurant Base (Hidden)'!$A$1:$Z$1,0)),"")</f>
        <v>61,30 %</v>
      </c>
      <c r="Z330" s="106">
        <f>+IFERROR(INDEX('Restaurant Base (Hidden)'!$A$2:$Z$1048576,MATCH($C330,'Restaurant Base (Hidden)'!$C$2:$C$1048576,0),MATCH(Z$6,'Restaurant Base (Hidden)'!$A$1:$Z$1,0)),"")</f>
        <v>2</v>
      </c>
      <c r="AA330" s="65" t="str">
        <f>+IFERROR(INDEX('Restaurant Base (Hidden)'!$A$2:$Z$1048576,MATCH($C330,'Restaurant Base (Hidden)'!$C$2:$C$1048576,0),MATCH(AA$6,'Restaurant Base (Hidden)'!$A$1:$Z$1,0)),"")</f>
        <v>99,00 %</v>
      </c>
      <c r="AB330" s="1">
        <f>+IFERROR(INDEX('Restaurant Base (Hidden)'!$A$2:$Z$1048576,MATCH($C330,'Restaurant Base (Hidden)'!$C$2:$C$1048576,0),MATCH(AB$6,'Restaurant Base (Hidden)'!$A$1:$Z$1,0)),"")</f>
        <v>5</v>
      </c>
      <c r="AC330" s="20" t="str">
        <f>+IFERROR(INDEX('Restaurant Base (Hidden)'!$A$2:$Z$1048576,MATCH($C330,'Restaurant Base (Hidden)'!$C$2:$C$1048576,0),MATCH(AC$6,'Restaurant Base (Hidden)'!$A$1:$Z$1,0)),"")</f>
        <v/>
      </c>
      <c r="AD330" s="65" t="str">
        <f>+IFERROR(INDEX('Restaurant Base (Hidden)'!$A$2:$Z$1048576,MATCH($C330,'Restaurant Base (Hidden)'!$C$2:$C$1048576,0),MATCH(AD$6,'Restaurant Base (Hidden)'!$A$1:$Z$1,0)),"")</f>
        <v>69,20 %</v>
      </c>
      <c r="AE330" s="1">
        <f>+IFERROR(INDEX('Restaurant Base (Hidden)'!$A$2:$Z$1048576,MATCH($C330,'Restaurant Base (Hidden)'!$C$2:$C$1048576,0),MATCH(AE$6,'Restaurant Base (Hidden)'!$A$1:$Z$1,0)),"")</f>
        <v>1</v>
      </c>
      <c r="AF330" s="65" t="str">
        <f>+IFERROR(INDEX('Restaurant Base (Hidden)'!$A$2:$Z$1048576,MATCH($C330,'Restaurant Base (Hidden)'!$C$2:$C$1048576,0),MATCH(AF$6,'Restaurant Base (Hidden)'!$A$1:$Z$1,0)),"")</f>
        <v>63,90 %</v>
      </c>
      <c r="AG330" s="1">
        <f>+IFERROR(INDEX('Restaurant Base (Hidden)'!$A$2:$Z$1048576,MATCH($C330,'Restaurant Base (Hidden)'!$C$2:$C$1048576,0),MATCH(AG$6,'Restaurant Base (Hidden)'!$A$1:$Z$1,0)),"")</f>
        <v>1</v>
      </c>
    </row>
    <row r="331" spans="1:33" x14ac:dyDescent="0.4">
      <c r="A331" s="163" t="str">
        <f>IF('Restaurant Base (Hidden)'!A346=0,"", 'Restaurant Base (Hidden)'!A346)</f>
        <v>Marlowe Ellington</v>
      </c>
      <c r="B331" s="163" t="str">
        <f>IF('Restaurant Base (Hidden)'!B346=0,"", 'Restaurant Base (Hidden)'!B346)</f>
        <v>Highland Crest Restaurants</v>
      </c>
      <c r="C331" s="163" t="str">
        <f>IF('Restaurant Base (Hidden)'!C346=0,"", 'Restaurant Base (Hidden)'!C346)</f>
        <v>Northern Quay</v>
      </c>
      <c r="D331" s="104">
        <f t="shared" si="5"/>
        <v>320</v>
      </c>
      <c r="E331" s="105">
        <f>+IFERROR(INDEX('Restaurant Base (Hidden)'!$A$2:$Z$1048576,MATCH($C331,'Restaurant Base (Hidden)'!$C$2:$C$1048576,0),MATCH(E$6,'Restaurant Base (Hidden)'!$A$1:$Z$1,0)),"")</f>
        <v>2.61</v>
      </c>
      <c r="F331" s="2" t="str">
        <f>+IFERROR(INDEX('Restaurant Base (Hidden)'!$A$2:$Z$1048576,MATCH($C331,'Restaurant Base (Hidden)'!$C$2:$C$1048576,0),MATCH(F$6,'Restaurant Base (Hidden)'!$A$1:$Z$1,0)),"")</f>
        <v/>
      </c>
      <c r="G331" s="20" t="str">
        <f>+IFERROR(INDEX('Restaurant Base (Hidden)'!$A$2:$Z$1048576,MATCH($C331,'Restaurant Base (Hidden)'!$C$2:$C$1048576,0),MATCH(G$6,'Restaurant Base (Hidden)'!$A$1:$Z$1,0)),"")</f>
        <v>4,093</v>
      </c>
      <c r="H331" s="50">
        <f>+IFERROR(INDEX('Restaurant Base (Hidden)'!$A$2:$Z$1048576,MATCH($C331,'Restaurant Base (Hidden)'!$C$2:$C$1048576,0),MATCH(H$6,'Restaurant Base (Hidden)'!$A$1:$Z$1,0)),"")</f>
        <v>2</v>
      </c>
      <c r="I331" s="20" t="str">
        <f>+IFERROR(INDEX('Restaurant Base (Hidden)'!$A$2:$Z$1048576,MATCH($C331,'Restaurant Base (Hidden)'!$C$2:$C$1048576,0),MATCH(I$6,'Restaurant Base (Hidden)'!$A$1:$Z$1,0)),"")</f>
        <v>56,70 %</v>
      </c>
      <c r="J331" s="49">
        <f>+IFERROR(INDEX('Restaurant Base (Hidden)'!$A$2:$Z$1048576,MATCH($C331,'Restaurant Base (Hidden)'!$C$2:$C$1048576,0),MATCH(J$6,'Restaurant Base (Hidden)'!$A$1:$Z$1,0)),"")</f>
        <v>1</v>
      </c>
      <c r="K331" s="20" t="str">
        <f>+IFERROR(INDEX('Restaurant Base (Hidden)'!$A$2:$Z$1048576,MATCH($C331,'Restaurant Base (Hidden)'!$C$2:$C$1048576,0),MATCH(K$6,'Restaurant Base (Hidden)'!$A$1:$Z$1,0)),"")</f>
        <v>0,089</v>
      </c>
      <c r="L331" s="51">
        <f>+IFERROR(INDEX('Restaurant Base (Hidden)'!$A$2:$Z$1048576,MATCH($C331,'Restaurant Base (Hidden)'!$C$2:$C$1048576,0),MATCH(L$6,'Restaurant Base (Hidden)'!$A$1:$Z$1,0)),"")</f>
        <v>4</v>
      </c>
      <c r="M331" s="2" t="str">
        <f>+IFERROR(INDEX('Restaurant Base (Hidden)'!$A$2:$Z$1048576,MATCH($C331,'Restaurant Base (Hidden)'!$C$2:$C$1048576,0),MATCH(M$6,'Restaurant Base (Hidden)'!$A$1:$Z$1,0)),"")</f>
        <v/>
      </c>
      <c r="N331" s="234" t="str">
        <f>+IFERROR(INDEX('Restaurant Base (Hidden)'!$A$2:$Z$1048576,MATCH($C331,'Restaurant Base (Hidden)'!$C$2:$C$1048576,0),MATCH(N$6,'Restaurant Base (Hidden)'!$A$1:$Z$1,0)),"")</f>
        <v>73,10 %</v>
      </c>
      <c r="O331" s="1">
        <f>+IFERROR(INDEX('Restaurant Base (Hidden)'!$A$2:$Z$1048576,MATCH($C331,'Restaurant Base (Hidden)'!$C$2:$C$1048576,0),MATCH(O$6,'Restaurant Base (Hidden)'!$A$1:$Z$1,0)),"")</f>
        <v>5</v>
      </c>
      <c r="P331" s="2" t="str">
        <f>+IFERROR(INDEX('Restaurant Base (Hidden)'!$A$2:$Z$1048576,MATCH($C331,'Restaurant Base (Hidden)'!$C$2:$C$1048576,0),MATCH(P$6,'Restaurant Base (Hidden)'!$A$1:$Z$1,0)),"")</f>
        <v/>
      </c>
      <c r="Q331" s="234" t="str">
        <f>+IFERROR(INDEX('Restaurant Base (Hidden)'!$A$2:$Z$1048576,MATCH($C331,'Restaurant Base (Hidden)'!$C$2:$C$1048576,0),MATCH(Q$6,'Restaurant Base (Hidden)'!$A$1:$Z$1,0)),"")</f>
        <v>63,00 %</v>
      </c>
      <c r="R331" s="1">
        <f>+IFERROR(INDEX('Restaurant Base (Hidden)'!$A$2:$Z$1048576,MATCH($C331,'Restaurant Base (Hidden)'!$C$2:$C$1048576,0),MATCH(R$6,'Restaurant Base (Hidden)'!$A$1:$Z$1,0)),"")</f>
        <v>2</v>
      </c>
      <c r="S331" s="2" t="str">
        <f>+IFERROR(INDEX('Restaurant Base (Hidden)'!$A$2:$Z$1048576,MATCH($C331,'Restaurant Base (Hidden)'!$C$2:$C$1048576,0),MATCH(S$6,'Restaurant Base (Hidden)'!$A$1:$Z$1,0)),"")</f>
        <v/>
      </c>
      <c r="T331" s="62">
        <f>+IFERROR(INDEX('Restaurant Base (Hidden)'!$A$2:$Z$1048576,MATCH($C331,'Restaurant Base (Hidden)'!$C$2:$C$1048576,0),MATCH(T$6,'Restaurant Base (Hidden)'!$A$1:$Z$1,0)),"")</f>
        <v>75</v>
      </c>
      <c r="U331" s="1">
        <f>+IFERROR(INDEX('Restaurant Base (Hidden)'!$A$2:$Z$1048576,MATCH($C331,'Restaurant Base (Hidden)'!$C$2:$C$1048576,0),MATCH(U$6,'Restaurant Base (Hidden)'!$A$1:$Z$1,0)),"")</f>
        <v>5</v>
      </c>
      <c r="V331" s="2" t="str">
        <f>+IFERROR(INDEX('Restaurant Base (Hidden)'!$A$2:$Z$1048576,MATCH($C331,'Restaurant Base (Hidden)'!$C$2:$C$1048576,0),MATCH(V$6,'Restaurant Base (Hidden)'!$A$1:$Z$1,0)),"")</f>
        <v/>
      </c>
      <c r="W331" s="65" t="str">
        <f>+IFERROR(INDEX('Restaurant Base (Hidden)'!$A$2:$Z$1048576,MATCH($C331,'Restaurant Base (Hidden)'!$C$2:$C$1048576,0),MATCH(W$6,'Restaurant Base (Hidden)'!$A$1:$Z$1,0)),"")</f>
        <v>72,20 %</v>
      </c>
      <c r="X331" s="1">
        <f>+IFERROR(INDEX('Restaurant Base (Hidden)'!$A$2:$Z$1048576,MATCH($C331,'Restaurant Base (Hidden)'!$C$2:$C$1048576,0),MATCH(X$6,'Restaurant Base (Hidden)'!$A$1:$Z$1,0)),"")</f>
        <v>2</v>
      </c>
      <c r="Y331" s="65" t="str">
        <f>+IFERROR(INDEX('Restaurant Base (Hidden)'!$A$2:$Z$1048576,MATCH($C331,'Restaurant Base (Hidden)'!$C$2:$C$1048576,0),MATCH(Y$6,'Restaurant Base (Hidden)'!$A$1:$Z$1,0)),"")</f>
        <v>85,40 %</v>
      </c>
      <c r="Z331" s="106">
        <f>+IFERROR(INDEX('Restaurant Base (Hidden)'!$A$2:$Z$1048576,MATCH($C331,'Restaurant Base (Hidden)'!$C$2:$C$1048576,0),MATCH(Z$6,'Restaurant Base (Hidden)'!$A$1:$Z$1,0)),"")</f>
        <v>3</v>
      </c>
      <c r="AA331" s="65" t="str">
        <f>+IFERROR(INDEX('Restaurant Base (Hidden)'!$A$2:$Z$1048576,MATCH($C331,'Restaurant Base (Hidden)'!$C$2:$C$1048576,0),MATCH(AA$6,'Restaurant Base (Hidden)'!$A$1:$Z$1,0)),"")</f>
        <v>66,30 %</v>
      </c>
      <c r="AB331" s="1">
        <f>+IFERROR(INDEX('Restaurant Base (Hidden)'!$A$2:$Z$1048576,MATCH($C331,'Restaurant Base (Hidden)'!$C$2:$C$1048576,0),MATCH(AB$6,'Restaurant Base (Hidden)'!$A$1:$Z$1,0)),"")</f>
        <v>2</v>
      </c>
      <c r="AC331" s="20" t="str">
        <f>+IFERROR(INDEX('Restaurant Base (Hidden)'!$A$2:$Z$1048576,MATCH($C331,'Restaurant Base (Hidden)'!$C$2:$C$1048576,0),MATCH(AC$6,'Restaurant Base (Hidden)'!$A$1:$Z$1,0)),"")</f>
        <v/>
      </c>
      <c r="AD331" s="65" t="str">
        <f>+IFERROR(INDEX('Restaurant Base (Hidden)'!$A$2:$Z$1048576,MATCH($C331,'Restaurant Base (Hidden)'!$C$2:$C$1048576,0),MATCH(AD$6,'Restaurant Base (Hidden)'!$A$1:$Z$1,0)),"")</f>
        <v>63,80 %</v>
      </c>
      <c r="AE331" s="1">
        <f>+IFERROR(INDEX('Restaurant Base (Hidden)'!$A$2:$Z$1048576,MATCH($C331,'Restaurant Base (Hidden)'!$C$2:$C$1048576,0),MATCH(AE$6,'Restaurant Base (Hidden)'!$A$1:$Z$1,0)),"")</f>
        <v>1</v>
      </c>
      <c r="AF331" s="65" t="str">
        <f>+IFERROR(INDEX('Restaurant Base (Hidden)'!$A$2:$Z$1048576,MATCH($C331,'Restaurant Base (Hidden)'!$C$2:$C$1048576,0),MATCH(AF$6,'Restaurant Base (Hidden)'!$A$1:$Z$1,0)),"")</f>
        <v>58,00 %</v>
      </c>
      <c r="AG331" s="1">
        <f>+IFERROR(INDEX('Restaurant Base (Hidden)'!$A$2:$Z$1048576,MATCH($C331,'Restaurant Base (Hidden)'!$C$2:$C$1048576,0),MATCH(AG$6,'Restaurant Base (Hidden)'!$A$1:$Z$1,0)),"")</f>
        <v>1</v>
      </c>
    </row>
    <row r="332" spans="1:33" x14ac:dyDescent="0.4">
      <c r="A332" s="163" t="str">
        <f>IF('Restaurant Base (Hidden)'!A175=0,"", 'Restaurant Base (Hidden)'!A175)</f>
        <v>Tatum Westmere</v>
      </c>
      <c r="B332" s="163" t="str">
        <f>IF('Restaurant Base (Hidden)'!B175=0,"", 'Restaurant Base (Hidden)'!B175)</f>
        <v>Clearview Dining Group</v>
      </c>
      <c r="C332" s="163" t="str">
        <f>IF('Restaurant Base (Hidden)'!C175=0,"", 'Restaurant Base (Hidden)'!C175)</f>
        <v>Pine Court</v>
      </c>
      <c r="D332" s="104">
        <f t="shared" si="5"/>
        <v>326</v>
      </c>
      <c r="E332" s="105">
        <f>+IFERROR(INDEX('Restaurant Base (Hidden)'!$A$2:$Z$1048576,MATCH($C332,'Restaurant Base (Hidden)'!$C$2:$C$1048576,0),MATCH(E$6,'Restaurant Base (Hidden)'!$A$1:$Z$1,0)),"")</f>
        <v>2.6</v>
      </c>
      <c r="F332" s="2" t="str">
        <f>+IFERROR(INDEX('Restaurant Base (Hidden)'!$A$2:$Z$1048576,MATCH($C332,'Restaurant Base (Hidden)'!$C$2:$C$1048576,0),MATCH(F$6,'Restaurant Base (Hidden)'!$A$1:$Z$1,0)),"")</f>
        <v/>
      </c>
      <c r="G332" s="20" t="str">
        <f>+IFERROR(INDEX('Restaurant Base (Hidden)'!$A$2:$Z$1048576,MATCH($C332,'Restaurant Base (Hidden)'!$C$2:$C$1048576,0),MATCH(G$6,'Restaurant Base (Hidden)'!$A$1:$Z$1,0)),"")</f>
        <v>4,049</v>
      </c>
      <c r="H332" s="50">
        <f>+IFERROR(INDEX('Restaurant Base (Hidden)'!$A$2:$Z$1048576,MATCH($C332,'Restaurant Base (Hidden)'!$C$2:$C$1048576,0),MATCH(H$6,'Restaurant Base (Hidden)'!$A$1:$Z$1,0)),"")</f>
        <v>1</v>
      </c>
      <c r="I332" s="20" t="str">
        <f>+IFERROR(INDEX('Restaurant Base (Hidden)'!$A$2:$Z$1048576,MATCH($C332,'Restaurant Base (Hidden)'!$C$2:$C$1048576,0),MATCH(I$6,'Restaurant Base (Hidden)'!$A$1:$Z$1,0)),"")</f>
        <v>78,00 %</v>
      </c>
      <c r="J332" s="49">
        <f>+IFERROR(INDEX('Restaurant Base (Hidden)'!$A$2:$Z$1048576,MATCH($C332,'Restaurant Base (Hidden)'!$C$2:$C$1048576,0),MATCH(J$6,'Restaurant Base (Hidden)'!$A$1:$Z$1,0)),"")</f>
        <v>2</v>
      </c>
      <c r="K332" s="20" t="str">
        <f>+IFERROR(INDEX('Restaurant Base (Hidden)'!$A$2:$Z$1048576,MATCH($C332,'Restaurant Base (Hidden)'!$C$2:$C$1048576,0),MATCH(K$6,'Restaurant Base (Hidden)'!$A$1:$Z$1,0)),"")</f>
        <v>0,212</v>
      </c>
      <c r="L332" s="51">
        <f>+IFERROR(INDEX('Restaurant Base (Hidden)'!$A$2:$Z$1048576,MATCH($C332,'Restaurant Base (Hidden)'!$C$2:$C$1048576,0),MATCH(L$6,'Restaurant Base (Hidden)'!$A$1:$Z$1,0)),"")</f>
        <v>1</v>
      </c>
      <c r="M332" s="2" t="str">
        <f>+IFERROR(INDEX('Restaurant Base (Hidden)'!$A$2:$Z$1048576,MATCH($C332,'Restaurant Base (Hidden)'!$C$2:$C$1048576,0),MATCH(M$6,'Restaurant Base (Hidden)'!$A$1:$Z$1,0)),"")</f>
        <v/>
      </c>
      <c r="N332" s="234" t="str">
        <f>+IFERROR(INDEX('Restaurant Base (Hidden)'!$A$2:$Z$1048576,MATCH($C332,'Restaurant Base (Hidden)'!$C$2:$C$1048576,0),MATCH(N$6,'Restaurant Base (Hidden)'!$A$1:$Z$1,0)),"")</f>
        <v>90,90 %</v>
      </c>
      <c r="O332" s="1">
        <f>+IFERROR(INDEX('Restaurant Base (Hidden)'!$A$2:$Z$1048576,MATCH($C332,'Restaurant Base (Hidden)'!$C$2:$C$1048576,0),MATCH(O$6,'Restaurant Base (Hidden)'!$A$1:$Z$1,0)),"")</f>
        <v>5</v>
      </c>
      <c r="P332" s="2" t="str">
        <f>+IFERROR(INDEX('Restaurant Base (Hidden)'!$A$2:$Z$1048576,MATCH($C332,'Restaurant Base (Hidden)'!$C$2:$C$1048576,0),MATCH(P$6,'Restaurant Base (Hidden)'!$A$1:$Z$1,0)),"")</f>
        <v/>
      </c>
      <c r="Q332" s="234" t="str">
        <f>+IFERROR(INDEX('Restaurant Base (Hidden)'!$A$2:$Z$1048576,MATCH($C332,'Restaurant Base (Hidden)'!$C$2:$C$1048576,0),MATCH(Q$6,'Restaurant Base (Hidden)'!$A$1:$Z$1,0)),"")</f>
        <v>72,00 %</v>
      </c>
      <c r="R332" s="1">
        <f>+IFERROR(INDEX('Restaurant Base (Hidden)'!$A$2:$Z$1048576,MATCH($C332,'Restaurant Base (Hidden)'!$C$2:$C$1048576,0),MATCH(R$6,'Restaurant Base (Hidden)'!$A$1:$Z$1,0)),"")</f>
        <v>4</v>
      </c>
      <c r="S332" s="2" t="str">
        <f>+IFERROR(INDEX('Restaurant Base (Hidden)'!$A$2:$Z$1048576,MATCH($C332,'Restaurant Base (Hidden)'!$C$2:$C$1048576,0),MATCH(S$6,'Restaurant Base (Hidden)'!$A$1:$Z$1,0)),"")</f>
        <v/>
      </c>
      <c r="T332" s="62">
        <f>+IFERROR(INDEX('Restaurant Base (Hidden)'!$A$2:$Z$1048576,MATCH($C332,'Restaurant Base (Hidden)'!$C$2:$C$1048576,0),MATCH(T$6,'Restaurant Base (Hidden)'!$A$1:$Z$1,0)),"")</f>
        <v>53.8</v>
      </c>
      <c r="U332" s="1">
        <f>+IFERROR(INDEX('Restaurant Base (Hidden)'!$A$2:$Z$1048576,MATCH($C332,'Restaurant Base (Hidden)'!$C$2:$C$1048576,0),MATCH(U$6,'Restaurant Base (Hidden)'!$A$1:$Z$1,0)),"")</f>
        <v>1</v>
      </c>
      <c r="V332" s="2" t="str">
        <f>+IFERROR(INDEX('Restaurant Base (Hidden)'!$A$2:$Z$1048576,MATCH($C332,'Restaurant Base (Hidden)'!$C$2:$C$1048576,0),MATCH(V$6,'Restaurant Base (Hidden)'!$A$1:$Z$1,0)),"")</f>
        <v/>
      </c>
      <c r="W332" s="65" t="str">
        <f>+IFERROR(INDEX('Restaurant Base (Hidden)'!$A$2:$Z$1048576,MATCH($C332,'Restaurant Base (Hidden)'!$C$2:$C$1048576,0),MATCH(W$6,'Restaurant Base (Hidden)'!$A$1:$Z$1,0)),"")</f>
        <v>91,60 %</v>
      </c>
      <c r="X332" s="1">
        <f>+IFERROR(INDEX('Restaurant Base (Hidden)'!$A$2:$Z$1048576,MATCH($C332,'Restaurant Base (Hidden)'!$C$2:$C$1048576,0),MATCH(X$6,'Restaurant Base (Hidden)'!$A$1:$Z$1,0)),"")</f>
        <v>3</v>
      </c>
      <c r="Y332" s="65" t="str">
        <f>+IFERROR(INDEX('Restaurant Base (Hidden)'!$A$2:$Z$1048576,MATCH($C332,'Restaurant Base (Hidden)'!$C$2:$C$1048576,0),MATCH(Y$6,'Restaurant Base (Hidden)'!$A$1:$Z$1,0)),"")</f>
        <v>66,30 %</v>
      </c>
      <c r="Z332" s="106">
        <f>+IFERROR(INDEX('Restaurant Base (Hidden)'!$A$2:$Z$1048576,MATCH($C332,'Restaurant Base (Hidden)'!$C$2:$C$1048576,0),MATCH(Z$6,'Restaurant Base (Hidden)'!$A$1:$Z$1,0)),"")</f>
        <v>2</v>
      </c>
      <c r="AA332" s="65" t="str">
        <f>+IFERROR(INDEX('Restaurant Base (Hidden)'!$A$2:$Z$1048576,MATCH($C332,'Restaurant Base (Hidden)'!$C$2:$C$1048576,0),MATCH(AA$6,'Restaurant Base (Hidden)'!$A$1:$Z$1,0)),"")</f>
        <v>80,20 %</v>
      </c>
      <c r="AB332" s="1">
        <f>+IFERROR(INDEX('Restaurant Base (Hidden)'!$A$2:$Z$1048576,MATCH($C332,'Restaurant Base (Hidden)'!$C$2:$C$1048576,0),MATCH(AB$6,'Restaurant Base (Hidden)'!$A$1:$Z$1,0)),"")</f>
        <v>2</v>
      </c>
      <c r="AC332" s="20" t="str">
        <f>+IFERROR(INDEX('Restaurant Base (Hidden)'!$A$2:$Z$1048576,MATCH($C332,'Restaurant Base (Hidden)'!$C$2:$C$1048576,0),MATCH(AC$6,'Restaurant Base (Hidden)'!$A$1:$Z$1,0)),"")</f>
        <v/>
      </c>
      <c r="AD332" s="65" t="str">
        <f>+IFERROR(INDEX('Restaurant Base (Hidden)'!$A$2:$Z$1048576,MATCH($C332,'Restaurant Base (Hidden)'!$C$2:$C$1048576,0),MATCH(AD$6,'Restaurant Base (Hidden)'!$A$1:$Z$1,0)),"")</f>
        <v>78,00 %</v>
      </c>
      <c r="AE332" s="1">
        <f>+IFERROR(INDEX('Restaurant Base (Hidden)'!$A$2:$Z$1048576,MATCH($C332,'Restaurant Base (Hidden)'!$C$2:$C$1048576,0),MATCH(AE$6,'Restaurant Base (Hidden)'!$A$1:$Z$1,0)),"")</f>
        <v>2</v>
      </c>
      <c r="AF332" s="65" t="str">
        <f>+IFERROR(INDEX('Restaurant Base (Hidden)'!$A$2:$Z$1048576,MATCH($C332,'Restaurant Base (Hidden)'!$C$2:$C$1048576,0),MATCH(AF$6,'Restaurant Base (Hidden)'!$A$1:$Z$1,0)),"")</f>
        <v>90,10 %</v>
      </c>
      <c r="AG332" s="1">
        <f>+IFERROR(INDEX('Restaurant Base (Hidden)'!$A$2:$Z$1048576,MATCH($C332,'Restaurant Base (Hidden)'!$C$2:$C$1048576,0),MATCH(AG$6,'Restaurant Base (Hidden)'!$A$1:$Z$1,0)),"")</f>
        <v>3</v>
      </c>
    </row>
    <row r="333" spans="1:33" x14ac:dyDescent="0.4">
      <c r="A333" s="163" t="str">
        <f>IF('Restaurant Base (Hidden)'!A220=0,"", 'Restaurant Base (Hidden)'!A220)</f>
        <v>Quinn Westbrook</v>
      </c>
      <c r="B333" s="163" t="str">
        <f>IF('Restaurant Base (Hidden)'!B220=0,"", 'Restaurant Base (Hidden)'!B220)</f>
        <v>Willowcrest Dining</v>
      </c>
      <c r="C333" s="163" t="str">
        <f>IF('Restaurant Base (Hidden)'!C220=0,"", 'Restaurant Base (Hidden)'!C220)</f>
        <v>Silver Valley</v>
      </c>
      <c r="D333" s="104">
        <f t="shared" si="5"/>
        <v>326</v>
      </c>
      <c r="E333" s="105">
        <f>+IFERROR(INDEX('Restaurant Base (Hidden)'!$A$2:$Z$1048576,MATCH($C333,'Restaurant Base (Hidden)'!$C$2:$C$1048576,0),MATCH(E$6,'Restaurant Base (Hidden)'!$A$1:$Z$1,0)),"")</f>
        <v>2.6</v>
      </c>
      <c r="F333" s="2" t="str">
        <f>+IFERROR(INDEX('Restaurant Base (Hidden)'!$A$2:$Z$1048576,MATCH($C333,'Restaurant Base (Hidden)'!$C$2:$C$1048576,0),MATCH(F$6,'Restaurant Base (Hidden)'!$A$1:$Z$1,0)),"")</f>
        <v/>
      </c>
      <c r="G333" s="20" t="str">
        <f>+IFERROR(INDEX('Restaurant Base (Hidden)'!$A$2:$Z$1048576,MATCH($C333,'Restaurant Base (Hidden)'!$C$2:$C$1048576,0),MATCH(G$6,'Restaurant Base (Hidden)'!$A$1:$Z$1,0)),"")</f>
        <v>4,098</v>
      </c>
      <c r="H333" s="50">
        <f>+IFERROR(INDEX('Restaurant Base (Hidden)'!$A$2:$Z$1048576,MATCH($C333,'Restaurant Base (Hidden)'!$C$2:$C$1048576,0),MATCH(H$6,'Restaurant Base (Hidden)'!$A$1:$Z$1,0)),"")</f>
        <v>2</v>
      </c>
      <c r="I333" s="20" t="str">
        <f>+IFERROR(INDEX('Restaurant Base (Hidden)'!$A$2:$Z$1048576,MATCH($C333,'Restaurant Base (Hidden)'!$C$2:$C$1048576,0),MATCH(I$6,'Restaurant Base (Hidden)'!$A$1:$Z$1,0)),"")</f>
        <v>65,70 %</v>
      </c>
      <c r="J333" s="49">
        <f>+IFERROR(INDEX('Restaurant Base (Hidden)'!$A$2:$Z$1048576,MATCH($C333,'Restaurant Base (Hidden)'!$C$2:$C$1048576,0),MATCH(J$6,'Restaurant Base (Hidden)'!$A$1:$Z$1,0)),"")</f>
        <v>1</v>
      </c>
      <c r="K333" s="20" t="str">
        <f>+IFERROR(INDEX('Restaurant Base (Hidden)'!$A$2:$Z$1048576,MATCH($C333,'Restaurant Base (Hidden)'!$C$2:$C$1048576,0),MATCH(K$6,'Restaurant Base (Hidden)'!$A$1:$Z$1,0)),"")</f>
        <v>0,134</v>
      </c>
      <c r="L333" s="51">
        <f>+IFERROR(INDEX('Restaurant Base (Hidden)'!$A$2:$Z$1048576,MATCH($C333,'Restaurant Base (Hidden)'!$C$2:$C$1048576,0),MATCH(L$6,'Restaurant Base (Hidden)'!$A$1:$Z$1,0)),"")</f>
        <v>2</v>
      </c>
      <c r="M333" s="2" t="str">
        <f>+IFERROR(INDEX('Restaurant Base (Hidden)'!$A$2:$Z$1048576,MATCH($C333,'Restaurant Base (Hidden)'!$C$2:$C$1048576,0),MATCH(M$6,'Restaurant Base (Hidden)'!$A$1:$Z$1,0)),"")</f>
        <v/>
      </c>
      <c r="N333" s="234" t="str">
        <f>+IFERROR(INDEX('Restaurant Base (Hidden)'!$A$2:$Z$1048576,MATCH($C333,'Restaurant Base (Hidden)'!$C$2:$C$1048576,0),MATCH(N$6,'Restaurant Base (Hidden)'!$A$1:$Z$1,0)),"")</f>
        <v>94,50 %</v>
      </c>
      <c r="O333" s="1">
        <f>+IFERROR(INDEX('Restaurant Base (Hidden)'!$A$2:$Z$1048576,MATCH($C333,'Restaurant Base (Hidden)'!$C$2:$C$1048576,0),MATCH(O$6,'Restaurant Base (Hidden)'!$A$1:$Z$1,0)),"")</f>
        <v>5</v>
      </c>
      <c r="P333" s="2" t="str">
        <f>+IFERROR(INDEX('Restaurant Base (Hidden)'!$A$2:$Z$1048576,MATCH($C333,'Restaurant Base (Hidden)'!$C$2:$C$1048576,0),MATCH(P$6,'Restaurant Base (Hidden)'!$A$1:$Z$1,0)),"")</f>
        <v/>
      </c>
      <c r="Q333" s="234" t="str">
        <f>+IFERROR(INDEX('Restaurant Base (Hidden)'!$A$2:$Z$1048576,MATCH($C333,'Restaurant Base (Hidden)'!$C$2:$C$1048576,0),MATCH(Q$6,'Restaurant Base (Hidden)'!$A$1:$Z$1,0)),"")</f>
        <v>71,90 %</v>
      </c>
      <c r="R333" s="1">
        <f>+IFERROR(INDEX('Restaurant Base (Hidden)'!$A$2:$Z$1048576,MATCH($C333,'Restaurant Base (Hidden)'!$C$2:$C$1048576,0),MATCH(R$6,'Restaurant Base (Hidden)'!$A$1:$Z$1,0)),"")</f>
        <v>4</v>
      </c>
      <c r="S333" s="2" t="str">
        <f>+IFERROR(INDEX('Restaurant Base (Hidden)'!$A$2:$Z$1048576,MATCH($C333,'Restaurant Base (Hidden)'!$C$2:$C$1048576,0),MATCH(S$6,'Restaurant Base (Hidden)'!$A$1:$Z$1,0)),"")</f>
        <v/>
      </c>
      <c r="T333" s="62">
        <f>+IFERROR(INDEX('Restaurant Base (Hidden)'!$A$2:$Z$1048576,MATCH($C333,'Restaurant Base (Hidden)'!$C$2:$C$1048576,0),MATCH(T$6,'Restaurant Base (Hidden)'!$A$1:$Z$1,0)),"")</f>
        <v>63.6</v>
      </c>
      <c r="U333" s="1">
        <f>+IFERROR(INDEX('Restaurant Base (Hidden)'!$A$2:$Z$1048576,MATCH($C333,'Restaurant Base (Hidden)'!$C$2:$C$1048576,0),MATCH(U$6,'Restaurant Base (Hidden)'!$A$1:$Z$1,0)),"")</f>
        <v>3</v>
      </c>
      <c r="V333" s="2" t="str">
        <f>+IFERROR(INDEX('Restaurant Base (Hidden)'!$A$2:$Z$1048576,MATCH($C333,'Restaurant Base (Hidden)'!$C$2:$C$1048576,0),MATCH(V$6,'Restaurant Base (Hidden)'!$A$1:$Z$1,0)),"")</f>
        <v/>
      </c>
      <c r="W333" s="65" t="str">
        <f>+IFERROR(INDEX('Restaurant Base (Hidden)'!$A$2:$Z$1048576,MATCH($C333,'Restaurant Base (Hidden)'!$C$2:$C$1048576,0),MATCH(W$6,'Restaurant Base (Hidden)'!$A$1:$Z$1,0)),"")</f>
        <v>84,80 %</v>
      </c>
      <c r="X333" s="1">
        <f>+IFERROR(INDEX('Restaurant Base (Hidden)'!$A$2:$Z$1048576,MATCH($C333,'Restaurant Base (Hidden)'!$C$2:$C$1048576,0),MATCH(X$6,'Restaurant Base (Hidden)'!$A$1:$Z$1,0)),"")</f>
        <v>3</v>
      </c>
      <c r="Y333" s="65" t="str">
        <f>+IFERROR(INDEX('Restaurant Base (Hidden)'!$A$2:$Z$1048576,MATCH($C333,'Restaurant Base (Hidden)'!$C$2:$C$1048576,0),MATCH(Y$6,'Restaurant Base (Hidden)'!$A$1:$Z$1,0)),"")</f>
        <v>85,60 %</v>
      </c>
      <c r="Z333" s="106">
        <f>+IFERROR(INDEX('Restaurant Base (Hidden)'!$A$2:$Z$1048576,MATCH($C333,'Restaurant Base (Hidden)'!$C$2:$C$1048576,0),MATCH(Z$6,'Restaurant Base (Hidden)'!$A$1:$Z$1,0)),"")</f>
        <v>3</v>
      </c>
      <c r="AA333" s="65" t="str">
        <f>+IFERROR(INDEX('Restaurant Base (Hidden)'!$A$2:$Z$1048576,MATCH($C333,'Restaurant Base (Hidden)'!$C$2:$C$1048576,0),MATCH(AA$6,'Restaurant Base (Hidden)'!$A$1:$Z$1,0)),"")</f>
        <v>70,10 %</v>
      </c>
      <c r="AB333" s="1">
        <f>+IFERROR(INDEX('Restaurant Base (Hidden)'!$A$2:$Z$1048576,MATCH($C333,'Restaurant Base (Hidden)'!$C$2:$C$1048576,0),MATCH(AB$6,'Restaurant Base (Hidden)'!$A$1:$Z$1,0)),"")</f>
        <v>2</v>
      </c>
      <c r="AC333" s="20" t="str">
        <f>+IFERROR(INDEX('Restaurant Base (Hidden)'!$A$2:$Z$1048576,MATCH($C333,'Restaurant Base (Hidden)'!$C$2:$C$1048576,0),MATCH(AC$6,'Restaurant Base (Hidden)'!$A$1:$Z$1,0)),"")</f>
        <v/>
      </c>
      <c r="AD333" s="65" t="str">
        <f>+IFERROR(INDEX('Restaurant Base (Hidden)'!$A$2:$Z$1048576,MATCH($C333,'Restaurant Base (Hidden)'!$C$2:$C$1048576,0),MATCH(AD$6,'Restaurant Base (Hidden)'!$A$1:$Z$1,0)),"")</f>
        <v>62,70 %</v>
      </c>
      <c r="AE333" s="1">
        <f>+IFERROR(INDEX('Restaurant Base (Hidden)'!$A$2:$Z$1048576,MATCH($C333,'Restaurant Base (Hidden)'!$C$2:$C$1048576,0),MATCH(AE$6,'Restaurant Base (Hidden)'!$A$1:$Z$1,0)),"")</f>
        <v>1</v>
      </c>
      <c r="AF333" s="65" t="str">
        <f>+IFERROR(INDEX('Restaurant Base (Hidden)'!$A$2:$Z$1048576,MATCH($C333,'Restaurant Base (Hidden)'!$C$2:$C$1048576,0),MATCH(AF$6,'Restaurant Base (Hidden)'!$A$1:$Z$1,0)),"")</f>
        <v>61,70 %</v>
      </c>
      <c r="AG333" s="1">
        <f>+IFERROR(INDEX('Restaurant Base (Hidden)'!$A$2:$Z$1048576,MATCH($C333,'Restaurant Base (Hidden)'!$C$2:$C$1048576,0),MATCH(AG$6,'Restaurant Base (Hidden)'!$A$1:$Z$1,0)),"")</f>
        <v>1</v>
      </c>
    </row>
    <row r="334" spans="1:33" x14ac:dyDescent="0.4">
      <c r="A334" s="163" t="str">
        <f>IF('Restaurant Base (Hidden)'!A252=0,"", 'Restaurant Base (Hidden)'!A252)</f>
        <v>Rowan Kingsley</v>
      </c>
      <c r="B334" s="163" t="str">
        <f>IF('Restaurant Base (Hidden)'!B252=0,"", 'Restaurant Base (Hidden)'!B252)</f>
        <v>Kingswell Food Partners</v>
      </c>
      <c r="C334" s="163" t="str">
        <f>IF('Restaurant Base (Hidden)'!C252=0,"", 'Restaurant Base (Hidden)'!C252)</f>
        <v>Fox Commons</v>
      </c>
      <c r="D334" s="104">
        <f t="shared" si="5"/>
        <v>326</v>
      </c>
      <c r="E334" s="105">
        <f>+IFERROR(INDEX('Restaurant Base (Hidden)'!$A$2:$Z$1048576,MATCH($C334,'Restaurant Base (Hidden)'!$C$2:$C$1048576,0),MATCH(E$6,'Restaurant Base (Hidden)'!$A$1:$Z$1,0)),"")</f>
        <v>2.6</v>
      </c>
      <c r="F334" s="2" t="str">
        <f>+IFERROR(INDEX('Restaurant Base (Hidden)'!$A$2:$Z$1048576,MATCH($C334,'Restaurant Base (Hidden)'!$C$2:$C$1048576,0),MATCH(F$6,'Restaurant Base (Hidden)'!$A$1:$Z$1,0)),"")</f>
        <v/>
      </c>
      <c r="G334" s="20" t="str">
        <f>+IFERROR(INDEX('Restaurant Base (Hidden)'!$A$2:$Z$1048576,MATCH($C334,'Restaurant Base (Hidden)'!$C$2:$C$1048576,0),MATCH(G$6,'Restaurant Base (Hidden)'!$A$1:$Z$1,0)),"")</f>
        <v>4,615</v>
      </c>
      <c r="H334" s="50">
        <f>+IFERROR(INDEX('Restaurant Base (Hidden)'!$A$2:$Z$1048576,MATCH($C334,'Restaurant Base (Hidden)'!$C$2:$C$1048576,0),MATCH(H$6,'Restaurant Base (Hidden)'!$A$1:$Z$1,0)),"")</f>
        <v>5</v>
      </c>
      <c r="I334" s="20" t="str">
        <f>+IFERROR(INDEX('Restaurant Base (Hidden)'!$A$2:$Z$1048576,MATCH($C334,'Restaurant Base (Hidden)'!$C$2:$C$1048576,0),MATCH(I$6,'Restaurant Base (Hidden)'!$A$1:$Z$1,0)),"")</f>
        <v>83,10 %</v>
      </c>
      <c r="J334" s="49">
        <f>+IFERROR(INDEX('Restaurant Base (Hidden)'!$A$2:$Z$1048576,MATCH($C334,'Restaurant Base (Hidden)'!$C$2:$C$1048576,0),MATCH(J$6,'Restaurant Base (Hidden)'!$A$1:$Z$1,0)),"")</f>
        <v>3</v>
      </c>
      <c r="K334" s="20" t="str">
        <f>+IFERROR(INDEX('Restaurant Base (Hidden)'!$A$2:$Z$1048576,MATCH($C334,'Restaurant Base (Hidden)'!$C$2:$C$1048576,0),MATCH(K$6,'Restaurant Base (Hidden)'!$A$1:$Z$1,0)),"")</f>
        <v>0,139</v>
      </c>
      <c r="L334" s="51">
        <f>+IFERROR(INDEX('Restaurant Base (Hidden)'!$A$2:$Z$1048576,MATCH($C334,'Restaurant Base (Hidden)'!$C$2:$C$1048576,0),MATCH(L$6,'Restaurant Base (Hidden)'!$A$1:$Z$1,0)),"")</f>
        <v>2</v>
      </c>
      <c r="M334" s="2" t="str">
        <f>+IFERROR(INDEX('Restaurant Base (Hidden)'!$A$2:$Z$1048576,MATCH($C334,'Restaurant Base (Hidden)'!$C$2:$C$1048576,0),MATCH(M$6,'Restaurant Base (Hidden)'!$A$1:$Z$1,0)),"")</f>
        <v/>
      </c>
      <c r="N334" s="234" t="str">
        <f>+IFERROR(INDEX('Restaurant Base (Hidden)'!$A$2:$Z$1048576,MATCH($C334,'Restaurant Base (Hidden)'!$C$2:$C$1048576,0),MATCH(N$6,'Restaurant Base (Hidden)'!$A$1:$Z$1,0)),"")</f>
        <v>57,50 %</v>
      </c>
      <c r="O334" s="1">
        <f>+IFERROR(INDEX('Restaurant Base (Hidden)'!$A$2:$Z$1048576,MATCH($C334,'Restaurant Base (Hidden)'!$C$2:$C$1048576,0),MATCH(O$6,'Restaurant Base (Hidden)'!$A$1:$Z$1,0)),"")</f>
        <v>1</v>
      </c>
      <c r="P334" s="2" t="str">
        <f>+IFERROR(INDEX('Restaurant Base (Hidden)'!$A$2:$Z$1048576,MATCH($C334,'Restaurant Base (Hidden)'!$C$2:$C$1048576,0),MATCH(P$6,'Restaurant Base (Hidden)'!$A$1:$Z$1,0)),"")</f>
        <v/>
      </c>
      <c r="Q334" s="234" t="str">
        <f>+IFERROR(INDEX('Restaurant Base (Hidden)'!$A$2:$Z$1048576,MATCH($C334,'Restaurant Base (Hidden)'!$C$2:$C$1048576,0),MATCH(Q$6,'Restaurant Base (Hidden)'!$A$1:$Z$1,0)),"")</f>
        <v>66,50 %</v>
      </c>
      <c r="R334" s="1">
        <f>+IFERROR(INDEX('Restaurant Base (Hidden)'!$A$2:$Z$1048576,MATCH($C334,'Restaurant Base (Hidden)'!$C$2:$C$1048576,0),MATCH(R$6,'Restaurant Base (Hidden)'!$A$1:$Z$1,0)),"")</f>
        <v>3</v>
      </c>
      <c r="S334" s="2" t="str">
        <f>+IFERROR(INDEX('Restaurant Base (Hidden)'!$A$2:$Z$1048576,MATCH($C334,'Restaurant Base (Hidden)'!$C$2:$C$1048576,0),MATCH(S$6,'Restaurant Base (Hidden)'!$A$1:$Z$1,0)),"")</f>
        <v/>
      </c>
      <c r="T334" s="62">
        <f>+IFERROR(INDEX('Restaurant Base (Hidden)'!$A$2:$Z$1048576,MATCH($C334,'Restaurant Base (Hidden)'!$C$2:$C$1048576,0),MATCH(T$6,'Restaurant Base (Hidden)'!$A$1:$Z$1,0)),"")</f>
        <v>67.7</v>
      </c>
      <c r="U334" s="1">
        <f>+IFERROR(INDEX('Restaurant Base (Hidden)'!$A$2:$Z$1048576,MATCH($C334,'Restaurant Base (Hidden)'!$C$2:$C$1048576,0),MATCH(U$6,'Restaurant Base (Hidden)'!$A$1:$Z$1,0)),"")</f>
        <v>4</v>
      </c>
      <c r="V334" s="2" t="str">
        <f>+IFERROR(INDEX('Restaurant Base (Hidden)'!$A$2:$Z$1048576,MATCH($C334,'Restaurant Base (Hidden)'!$C$2:$C$1048576,0),MATCH(V$6,'Restaurant Base (Hidden)'!$A$1:$Z$1,0)),"")</f>
        <v/>
      </c>
      <c r="W334" s="65" t="str">
        <f>+IFERROR(INDEX('Restaurant Base (Hidden)'!$A$2:$Z$1048576,MATCH($C334,'Restaurant Base (Hidden)'!$C$2:$C$1048576,0),MATCH(W$6,'Restaurant Base (Hidden)'!$A$1:$Z$1,0)),"")</f>
        <v>72,80 %</v>
      </c>
      <c r="X334" s="1">
        <f>+IFERROR(INDEX('Restaurant Base (Hidden)'!$A$2:$Z$1048576,MATCH($C334,'Restaurant Base (Hidden)'!$C$2:$C$1048576,0),MATCH(X$6,'Restaurant Base (Hidden)'!$A$1:$Z$1,0)),"")</f>
        <v>2</v>
      </c>
      <c r="Y334" s="65" t="str">
        <f>+IFERROR(INDEX('Restaurant Base (Hidden)'!$A$2:$Z$1048576,MATCH($C334,'Restaurant Base (Hidden)'!$C$2:$C$1048576,0),MATCH(Y$6,'Restaurant Base (Hidden)'!$A$1:$Z$1,0)),"")</f>
        <v>88,70 %</v>
      </c>
      <c r="Z334" s="106">
        <f>+IFERROR(INDEX('Restaurant Base (Hidden)'!$A$2:$Z$1048576,MATCH($C334,'Restaurant Base (Hidden)'!$C$2:$C$1048576,0),MATCH(Z$6,'Restaurant Base (Hidden)'!$A$1:$Z$1,0)),"")</f>
        <v>3</v>
      </c>
      <c r="AA334" s="65" t="str">
        <f>+IFERROR(INDEX('Restaurant Base (Hidden)'!$A$2:$Z$1048576,MATCH($C334,'Restaurant Base (Hidden)'!$C$2:$C$1048576,0),MATCH(AA$6,'Restaurant Base (Hidden)'!$A$1:$Z$1,0)),"")</f>
        <v>89,00 %</v>
      </c>
      <c r="AB334" s="1">
        <f>+IFERROR(INDEX('Restaurant Base (Hidden)'!$A$2:$Z$1048576,MATCH($C334,'Restaurant Base (Hidden)'!$C$2:$C$1048576,0),MATCH(AB$6,'Restaurant Base (Hidden)'!$A$1:$Z$1,0)),"")</f>
        <v>3</v>
      </c>
      <c r="AC334" s="20" t="str">
        <f>+IFERROR(INDEX('Restaurant Base (Hidden)'!$A$2:$Z$1048576,MATCH($C334,'Restaurant Base (Hidden)'!$C$2:$C$1048576,0),MATCH(AC$6,'Restaurant Base (Hidden)'!$A$1:$Z$1,0)),"")</f>
        <v/>
      </c>
      <c r="AD334" s="65" t="str">
        <f>+IFERROR(INDEX('Restaurant Base (Hidden)'!$A$2:$Z$1048576,MATCH($C334,'Restaurant Base (Hidden)'!$C$2:$C$1048576,0),MATCH(AD$6,'Restaurant Base (Hidden)'!$A$1:$Z$1,0)),"")</f>
        <v>71,50 %</v>
      </c>
      <c r="AE334" s="1">
        <f>+IFERROR(INDEX('Restaurant Base (Hidden)'!$A$2:$Z$1048576,MATCH($C334,'Restaurant Base (Hidden)'!$C$2:$C$1048576,0),MATCH(AE$6,'Restaurant Base (Hidden)'!$A$1:$Z$1,0)),"")</f>
        <v>1</v>
      </c>
      <c r="AF334" s="65" t="str">
        <f>+IFERROR(INDEX('Restaurant Base (Hidden)'!$A$2:$Z$1048576,MATCH($C334,'Restaurant Base (Hidden)'!$C$2:$C$1048576,0),MATCH(AF$6,'Restaurant Base (Hidden)'!$A$1:$Z$1,0)),"")</f>
        <v>76,80 %</v>
      </c>
      <c r="AG334" s="1">
        <f>+IFERROR(INDEX('Restaurant Base (Hidden)'!$A$2:$Z$1048576,MATCH($C334,'Restaurant Base (Hidden)'!$C$2:$C$1048576,0),MATCH(AG$6,'Restaurant Base (Hidden)'!$A$1:$Z$1,0)),"")</f>
        <v>2</v>
      </c>
    </row>
    <row r="335" spans="1:33" x14ac:dyDescent="0.4">
      <c r="A335" s="163" t="str">
        <f>IF('Restaurant Base (Hidden)'!A373=0,"", 'Restaurant Base (Hidden)'!A373)</f>
        <v>Bailey Silverton</v>
      </c>
      <c r="B335" s="163" t="str">
        <f>IF('Restaurant Base (Hidden)'!B373=0,"", 'Restaurant Base (Hidden)'!B373)</f>
        <v>Maplewood Hospitality</v>
      </c>
      <c r="C335" s="163" t="str">
        <f>IF('Restaurant Base (Hidden)'!C373=0,"", 'Restaurant Base (Hidden)'!C373)</f>
        <v>Crestfield Junction</v>
      </c>
      <c r="D335" s="104">
        <f t="shared" si="5"/>
        <v>326</v>
      </c>
      <c r="E335" s="105">
        <f>+IFERROR(INDEX('Restaurant Base (Hidden)'!$A$2:$Z$1048576,MATCH($C335,'Restaurant Base (Hidden)'!$C$2:$C$1048576,0),MATCH(E$6,'Restaurant Base (Hidden)'!$A$1:$Z$1,0)),"")</f>
        <v>2.6</v>
      </c>
      <c r="F335" s="2" t="str">
        <f>+IFERROR(INDEX('Restaurant Base (Hidden)'!$A$2:$Z$1048576,MATCH($C335,'Restaurant Base (Hidden)'!$C$2:$C$1048576,0),MATCH(F$6,'Restaurant Base (Hidden)'!$A$1:$Z$1,0)),"")</f>
        <v/>
      </c>
      <c r="G335" s="20" t="str">
        <f>+IFERROR(INDEX('Restaurant Base (Hidden)'!$A$2:$Z$1048576,MATCH($C335,'Restaurant Base (Hidden)'!$C$2:$C$1048576,0),MATCH(G$6,'Restaurant Base (Hidden)'!$A$1:$Z$1,0)),"")</f>
        <v>4,847</v>
      </c>
      <c r="H335" s="50">
        <f>+IFERROR(INDEX('Restaurant Base (Hidden)'!$A$2:$Z$1048576,MATCH($C335,'Restaurant Base (Hidden)'!$C$2:$C$1048576,0),MATCH(H$6,'Restaurant Base (Hidden)'!$A$1:$Z$1,0)),"")</f>
        <v>5</v>
      </c>
      <c r="I335" s="20" t="str">
        <f>+IFERROR(INDEX('Restaurant Base (Hidden)'!$A$2:$Z$1048576,MATCH($C335,'Restaurant Base (Hidden)'!$C$2:$C$1048576,0),MATCH(I$6,'Restaurant Base (Hidden)'!$A$1:$Z$1,0)),"")</f>
        <v>72,30 %</v>
      </c>
      <c r="J335" s="49">
        <f>+IFERROR(INDEX('Restaurant Base (Hidden)'!$A$2:$Z$1048576,MATCH($C335,'Restaurant Base (Hidden)'!$C$2:$C$1048576,0),MATCH(J$6,'Restaurant Base (Hidden)'!$A$1:$Z$1,0)),"")</f>
        <v>1</v>
      </c>
      <c r="K335" s="20" t="str">
        <f>+IFERROR(INDEX('Restaurant Base (Hidden)'!$A$2:$Z$1048576,MATCH($C335,'Restaurant Base (Hidden)'!$C$2:$C$1048576,0),MATCH(K$6,'Restaurant Base (Hidden)'!$A$1:$Z$1,0)),"")</f>
        <v>0,113</v>
      </c>
      <c r="L335" s="51">
        <f>+IFERROR(INDEX('Restaurant Base (Hidden)'!$A$2:$Z$1048576,MATCH($C335,'Restaurant Base (Hidden)'!$C$2:$C$1048576,0),MATCH(L$6,'Restaurant Base (Hidden)'!$A$1:$Z$1,0)),"")</f>
        <v>3</v>
      </c>
      <c r="M335" s="2" t="str">
        <f>+IFERROR(INDEX('Restaurant Base (Hidden)'!$A$2:$Z$1048576,MATCH($C335,'Restaurant Base (Hidden)'!$C$2:$C$1048576,0),MATCH(M$6,'Restaurant Base (Hidden)'!$A$1:$Z$1,0)),"")</f>
        <v/>
      </c>
      <c r="N335" s="234" t="str">
        <f>+IFERROR(INDEX('Restaurant Base (Hidden)'!$A$2:$Z$1048576,MATCH($C335,'Restaurant Base (Hidden)'!$C$2:$C$1048576,0),MATCH(N$6,'Restaurant Base (Hidden)'!$A$1:$Z$1,0)),"")</f>
        <v>99,30 %</v>
      </c>
      <c r="O335" s="1">
        <f>+IFERROR(INDEX('Restaurant Base (Hidden)'!$A$2:$Z$1048576,MATCH($C335,'Restaurant Base (Hidden)'!$C$2:$C$1048576,0),MATCH(O$6,'Restaurant Base (Hidden)'!$A$1:$Z$1,0)),"")</f>
        <v>5</v>
      </c>
      <c r="P335" s="2" t="str">
        <f>+IFERROR(INDEX('Restaurant Base (Hidden)'!$A$2:$Z$1048576,MATCH($C335,'Restaurant Base (Hidden)'!$C$2:$C$1048576,0),MATCH(P$6,'Restaurant Base (Hidden)'!$A$1:$Z$1,0)),"")</f>
        <v/>
      </c>
      <c r="Q335" s="234" t="str">
        <f>+IFERROR(INDEX('Restaurant Base (Hidden)'!$A$2:$Z$1048576,MATCH($C335,'Restaurant Base (Hidden)'!$C$2:$C$1048576,0),MATCH(Q$6,'Restaurant Base (Hidden)'!$A$1:$Z$1,0)),"")</f>
        <v>59,70 %</v>
      </c>
      <c r="R335" s="1">
        <f>+IFERROR(INDEX('Restaurant Base (Hidden)'!$A$2:$Z$1048576,MATCH($C335,'Restaurant Base (Hidden)'!$C$2:$C$1048576,0),MATCH(R$6,'Restaurant Base (Hidden)'!$A$1:$Z$1,0)),"")</f>
        <v>1</v>
      </c>
      <c r="S335" s="2" t="str">
        <f>+IFERROR(INDEX('Restaurant Base (Hidden)'!$A$2:$Z$1048576,MATCH($C335,'Restaurant Base (Hidden)'!$C$2:$C$1048576,0),MATCH(S$6,'Restaurant Base (Hidden)'!$A$1:$Z$1,0)),"")</f>
        <v/>
      </c>
      <c r="T335" s="62">
        <f>+IFERROR(INDEX('Restaurant Base (Hidden)'!$A$2:$Z$1048576,MATCH($C335,'Restaurant Base (Hidden)'!$C$2:$C$1048576,0),MATCH(T$6,'Restaurant Base (Hidden)'!$A$1:$Z$1,0)),"")</f>
        <v>77.400000000000006</v>
      </c>
      <c r="U335" s="1">
        <f>+IFERROR(INDEX('Restaurant Base (Hidden)'!$A$2:$Z$1048576,MATCH($C335,'Restaurant Base (Hidden)'!$C$2:$C$1048576,0),MATCH(U$6,'Restaurant Base (Hidden)'!$A$1:$Z$1,0)),"")</f>
        <v>5</v>
      </c>
      <c r="V335" s="2" t="str">
        <f>+IFERROR(INDEX('Restaurant Base (Hidden)'!$A$2:$Z$1048576,MATCH($C335,'Restaurant Base (Hidden)'!$C$2:$C$1048576,0),MATCH(V$6,'Restaurant Base (Hidden)'!$A$1:$Z$1,0)),"")</f>
        <v/>
      </c>
      <c r="W335" s="65" t="str">
        <f>+IFERROR(INDEX('Restaurant Base (Hidden)'!$A$2:$Z$1048576,MATCH($C335,'Restaurant Base (Hidden)'!$C$2:$C$1048576,0),MATCH(W$6,'Restaurant Base (Hidden)'!$A$1:$Z$1,0)),"")</f>
        <v>61,80 %</v>
      </c>
      <c r="X335" s="1">
        <f>+IFERROR(INDEX('Restaurant Base (Hidden)'!$A$2:$Z$1048576,MATCH($C335,'Restaurant Base (Hidden)'!$C$2:$C$1048576,0),MATCH(X$6,'Restaurant Base (Hidden)'!$A$1:$Z$1,0)),"")</f>
        <v>2</v>
      </c>
      <c r="Y335" s="65" t="str">
        <f>+IFERROR(INDEX('Restaurant Base (Hidden)'!$A$2:$Z$1048576,MATCH($C335,'Restaurant Base (Hidden)'!$C$2:$C$1048576,0),MATCH(Y$6,'Restaurant Base (Hidden)'!$A$1:$Z$1,0)),"")</f>
        <v>65,00 %</v>
      </c>
      <c r="Z335" s="106">
        <f>+IFERROR(INDEX('Restaurant Base (Hidden)'!$A$2:$Z$1048576,MATCH($C335,'Restaurant Base (Hidden)'!$C$2:$C$1048576,0),MATCH(Z$6,'Restaurant Base (Hidden)'!$A$1:$Z$1,0)),"")</f>
        <v>2</v>
      </c>
      <c r="AA335" s="65" t="str">
        <f>+IFERROR(INDEX('Restaurant Base (Hidden)'!$A$2:$Z$1048576,MATCH($C335,'Restaurant Base (Hidden)'!$C$2:$C$1048576,0),MATCH(AA$6,'Restaurant Base (Hidden)'!$A$1:$Z$1,0)),"")</f>
        <v>76,80 %</v>
      </c>
      <c r="AB335" s="1">
        <f>+IFERROR(INDEX('Restaurant Base (Hidden)'!$A$2:$Z$1048576,MATCH($C335,'Restaurant Base (Hidden)'!$C$2:$C$1048576,0),MATCH(AB$6,'Restaurant Base (Hidden)'!$A$1:$Z$1,0)),"")</f>
        <v>2</v>
      </c>
      <c r="AC335" s="20" t="str">
        <f>+IFERROR(INDEX('Restaurant Base (Hidden)'!$A$2:$Z$1048576,MATCH($C335,'Restaurant Base (Hidden)'!$C$2:$C$1048576,0),MATCH(AC$6,'Restaurant Base (Hidden)'!$A$1:$Z$1,0)),"")</f>
        <v/>
      </c>
      <c r="AD335" s="65" t="str">
        <f>+IFERROR(INDEX('Restaurant Base (Hidden)'!$A$2:$Z$1048576,MATCH($C335,'Restaurant Base (Hidden)'!$C$2:$C$1048576,0),MATCH(AD$6,'Restaurant Base (Hidden)'!$A$1:$Z$1,0)),"")</f>
        <v>70,30 %</v>
      </c>
      <c r="AE335" s="1">
        <f>+IFERROR(INDEX('Restaurant Base (Hidden)'!$A$2:$Z$1048576,MATCH($C335,'Restaurant Base (Hidden)'!$C$2:$C$1048576,0),MATCH(AE$6,'Restaurant Base (Hidden)'!$A$1:$Z$1,0)),"")</f>
        <v>1</v>
      </c>
      <c r="AF335" s="65" t="str">
        <f>+IFERROR(INDEX('Restaurant Base (Hidden)'!$A$2:$Z$1048576,MATCH($C335,'Restaurant Base (Hidden)'!$C$2:$C$1048576,0),MATCH(AF$6,'Restaurant Base (Hidden)'!$A$1:$Z$1,0)),"")</f>
        <v>56,00 %</v>
      </c>
      <c r="AG335" s="1">
        <f>+IFERROR(INDEX('Restaurant Base (Hidden)'!$A$2:$Z$1048576,MATCH($C335,'Restaurant Base (Hidden)'!$C$2:$C$1048576,0),MATCH(AG$6,'Restaurant Base (Hidden)'!$A$1:$Z$1,0)),"")</f>
        <v>1</v>
      </c>
    </row>
    <row r="336" spans="1:33" ht="16" customHeight="1" x14ac:dyDescent="0.4">
      <c r="A336" s="163" t="str">
        <f>IF('Restaurant Base (Hidden)'!A20=0,"", 'Restaurant Base (Hidden)'!A20)</f>
        <v>Rowan Kingsley</v>
      </c>
      <c r="B336" s="163" t="str">
        <f>IF('Restaurant Base (Hidden)'!B20=0,"", 'Restaurant Base (Hidden)'!B20)</f>
        <v>Willowcrest Dining</v>
      </c>
      <c r="C336" s="163" t="str">
        <f>IF('Restaurant Base (Hidden)'!C20=0,"", 'Restaurant Base (Hidden)'!C20)</f>
        <v>Westwood Junction</v>
      </c>
      <c r="D336" s="104">
        <f t="shared" si="5"/>
        <v>330</v>
      </c>
      <c r="E336" s="105">
        <f>+IFERROR(INDEX('Restaurant Base (Hidden)'!$A$2:$Z$1048576,MATCH($C336,'Restaurant Base (Hidden)'!$C$2:$C$1048576,0),MATCH(E$6,'Restaurant Base (Hidden)'!$A$1:$Z$1,0)),"")</f>
        <v>2.59</v>
      </c>
      <c r="F336" s="64" t="str">
        <f>+IFERROR(INDEX('Restaurant Base (Hidden)'!$A$2:$Z$1048576,MATCH($C336,'Restaurant Base (Hidden)'!$C$2:$C$1048576,0),MATCH(F$6,'Restaurant Base (Hidden)'!$A$1:$Z$1,0)),"")</f>
        <v/>
      </c>
      <c r="G336" s="20" t="str">
        <f>+IFERROR(INDEX('Restaurant Base (Hidden)'!$A$2:$Z$1048576,MATCH($C336,'Restaurant Base (Hidden)'!$C$2:$C$1048576,0),MATCH(G$6,'Restaurant Base (Hidden)'!$A$1:$Z$1,0)),"")</f>
        <v>4,008</v>
      </c>
      <c r="H336" s="50">
        <f>+IFERROR(INDEX('Restaurant Base (Hidden)'!$A$2:$Z$1048576,MATCH($C336,'Restaurant Base (Hidden)'!$C$2:$C$1048576,0),MATCH(H$6,'Restaurant Base (Hidden)'!$A$1:$Z$1,0)),"")</f>
        <v>1</v>
      </c>
      <c r="I336" s="20" t="str">
        <f>+IFERROR(INDEX('Restaurant Base (Hidden)'!$A$2:$Z$1048576,MATCH($C336,'Restaurant Base (Hidden)'!$C$2:$C$1048576,0),MATCH(I$6,'Restaurant Base (Hidden)'!$A$1:$Z$1,0)),"")</f>
        <v>96,40 %</v>
      </c>
      <c r="J336" s="49">
        <f>+IFERROR(INDEX('Restaurant Base (Hidden)'!$A$2:$Z$1048576,MATCH($C336,'Restaurant Base (Hidden)'!$C$2:$C$1048576,0),MATCH(J$6,'Restaurant Base (Hidden)'!$A$1:$Z$1,0)),"")</f>
        <v>5</v>
      </c>
      <c r="K336" s="20" t="str">
        <f>+IFERROR(INDEX('Restaurant Base (Hidden)'!$A$2:$Z$1048576,MATCH($C336,'Restaurant Base (Hidden)'!$C$2:$C$1048576,0),MATCH(K$6,'Restaurant Base (Hidden)'!$A$1:$Z$1,0)),"")</f>
        <v>0,205</v>
      </c>
      <c r="L336" s="51">
        <f>+IFERROR(INDEX('Restaurant Base (Hidden)'!$A$2:$Z$1048576,MATCH($C336,'Restaurant Base (Hidden)'!$C$2:$C$1048576,0),MATCH(L$6,'Restaurant Base (Hidden)'!$A$1:$Z$1,0)),"")</f>
        <v>1</v>
      </c>
      <c r="M336" s="2" t="str">
        <f>+IFERROR(INDEX('Restaurant Base (Hidden)'!$A$2:$Z$1048576,MATCH($C336,'Restaurant Base (Hidden)'!$C$2:$C$1048576,0),MATCH(M$6,'Restaurant Base (Hidden)'!$A$1:$Z$1,0)),"")</f>
        <v/>
      </c>
      <c r="N336" s="234" t="str">
        <f>+IFERROR(INDEX('Restaurant Base (Hidden)'!$A$2:$Z$1048576,MATCH($C336,'Restaurant Base (Hidden)'!$C$2:$C$1048576,0),MATCH(N$6,'Restaurant Base (Hidden)'!$A$1:$Z$1,0)),"")</f>
        <v>92,50 %</v>
      </c>
      <c r="O336" s="1">
        <f>+IFERROR(INDEX('Restaurant Base (Hidden)'!$A$2:$Z$1048576,MATCH($C336,'Restaurant Base (Hidden)'!$C$2:$C$1048576,0),MATCH(O$6,'Restaurant Base (Hidden)'!$A$1:$Z$1,0)),"")</f>
        <v>5</v>
      </c>
      <c r="P336" s="2" t="str">
        <f>+IFERROR(INDEX('Restaurant Base (Hidden)'!$A$2:$Z$1048576,MATCH($C336,'Restaurant Base (Hidden)'!$C$2:$C$1048576,0),MATCH(P$6,'Restaurant Base (Hidden)'!$A$1:$Z$1,0)),"")</f>
        <v/>
      </c>
      <c r="Q336" s="234" t="str">
        <f>+IFERROR(INDEX('Restaurant Base (Hidden)'!$A$2:$Z$1048576,MATCH($C336,'Restaurant Base (Hidden)'!$C$2:$C$1048576,0),MATCH(Q$6,'Restaurant Base (Hidden)'!$A$1:$Z$1,0)),"")</f>
        <v>59,30 %</v>
      </c>
      <c r="R336" s="1">
        <f>+IFERROR(INDEX('Restaurant Base (Hidden)'!$A$2:$Z$1048576,MATCH($C336,'Restaurant Base (Hidden)'!$C$2:$C$1048576,0),MATCH(R$6,'Restaurant Base (Hidden)'!$A$1:$Z$1,0)),"")</f>
        <v>1</v>
      </c>
      <c r="S336" s="2" t="str">
        <f>+IFERROR(INDEX('Restaurant Base (Hidden)'!$A$2:$Z$1048576,MATCH($C336,'Restaurant Base (Hidden)'!$C$2:$C$1048576,0),MATCH(S$6,'Restaurant Base (Hidden)'!$A$1:$Z$1,0)),"")</f>
        <v/>
      </c>
      <c r="T336" s="62">
        <f>+IFERROR(INDEX('Restaurant Base (Hidden)'!$A$2:$Z$1048576,MATCH($C336,'Restaurant Base (Hidden)'!$C$2:$C$1048576,0),MATCH(T$6,'Restaurant Base (Hidden)'!$A$1:$Z$1,0)),"")</f>
        <v>61.3</v>
      </c>
      <c r="U336" s="1">
        <f>+IFERROR(INDEX('Restaurant Base (Hidden)'!$A$2:$Z$1048576,MATCH($C336,'Restaurant Base (Hidden)'!$C$2:$C$1048576,0),MATCH(U$6,'Restaurant Base (Hidden)'!$A$1:$Z$1,0)),"")</f>
        <v>3</v>
      </c>
      <c r="V336" s="2" t="str">
        <f>+IFERROR(INDEX('Restaurant Base (Hidden)'!$A$2:$Z$1048576,MATCH($C336,'Restaurant Base (Hidden)'!$C$2:$C$1048576,0),MATCH(V$6,'Restaurant Base (Hidden)'!$A$1:$Z$1,0)),"")</f>
        <v/>
      </c>
      <c r="W336" s="65" t="str">
        <f>+IFERROR(INDEX('Restaurant Base (Hidden)'!$A$2:$Z$1048576,MATCH($C336,'Restaurant Base (Hidden)'!$C$2:$C$1048576,0),MATCH(W$6,'Restaurant Base (Hidden)'!$A$1:$Z$1,0)),"")</f>
        <v>81,30 %</v>
      </c>
      <c r="X336" s="1">
        <f>+IFERROR(INDEX('Restaurant Base (Hidden)'!$A$2:$Z$1048576,MATCH($C336,'Restaurant Base (Hidden)'!$C$2:$C$1048576,0),MATCH(X$6,'Restaurant Base (Hidden)'!$A$1:$Z$1,0)),"")</f>
        <v>3</v>
      </c>
      <c r="Y336" s="65" t="str">
        <f>+IFERROR(INDEX('Restaurant Base (Hidden)'!$A$2:$Z$1048576,MATCH($C336,'Restaurant Base (Hidden)'!$C$2:$C$1048576,0),MATCH(Y$6,'Restaurant Base (Hidden)'!$A$1:$Z$1,0)),"")</f>
        <v>81,80 %</v>
      </c>
      <c r="Z336" s="106">
        <f>+IFERROR(INDEX('Restaurant Base (Hidden)'!$A$2:$Z$1048576,MATCH($C336,'Restaurant Base (Hidden)'!$C$2:$C$1048576,0),MATCH(Z$6,'Restaurant Base (Hidden)'!$A$1:$Z$1,0)),"")</f>
        <v>2</v>
      </c>
      <c r="AA336" s="65" t="str">
        <f>+IFERROR(INDEX('Restaurant Base (Hidden)'!$A$2:$Z$1048576,MATCH($C336,'Restaurant Base (Hidden)'!$C$2:$C$1048576,0),MATCH(AA$6,'Restaurant Base (Hidden)'!$A$1:$Z$1,0)),"")</f>
        <v>97,60 %</v>
      </c>
      <c r="AB336" s="1">
        <f>+IFERROR(INDEX('Restaurant Base (Hidden)'!$A$2:$Z$1048576,MATCH($C336,'Restaurant Base (Hidden)'!$C$2:$C$1048576,0),MATCH(AB$6,'Restaurant Base (Hidden)'!$A$1:$Z$1,0)),"")</f>
        <v>4</v>
      </c>
      <c r="AC336" s="20" t="str">
        <f>+IFERROR(INDEX('Restaurant Base (Hidden)'!$A$2:$Z$1048576,MATCH($C336,'Restaurant Base (Hidden)'!$C$2:$C$1048576,0),MATCH(AC$6,'Restaurant Base (Hidden)'!$A$1:$Z$1,0)),"")</f>
        <v/>
      </c>
      <c r="AD336" s="65" t="str">
        <f>+IFERROR(INDEX('Restaurant Base (Hidden)'!$A$2:$Z$1048576,MATCH($C336,'Restaurant Base (Hidden)'!$C$2:$C$1048576,0),MATCH(AD$6,'Restaurant Base (Hidden)'!$A$1:$Z$1,0)),"")</f>
        <v>59,10 %</v>
      </c>
      <c r="AE336" s="1">
        <f>+IFERROR(INDEX('Restaurant Base (Hidden)'!$A$2:$Z$1048576,MATCH($C336,'Restaurant Base (Hidden)'!$C$2:$C$1048576,0),MATCH(AE$6,'Restaurant Base (Hidden)'!$A$1:$Z$1,0)),"")</f>
        <v>1</v>
      </c>
      <c r="AF336" s="65" t="str">
        <f>+IFERROR(INDEX('Restaurant Base (Hidden)'!$A$2:$Z$1048576,MATCH($C336,'Restaurant Base (Hidden)'!$C$2:$C$1048576,0),MATCH(AF$6,'Restaurant Base (Hidden)'!$A$1:$Z$1,0)),"")</f>
        <v>70,60 %</v>
      </c>
      <c r="AG336" s="1">
        <f>+IFERROR(INDEX('Restaurant Base (Hidden)'!$A$2:$Z$1048576,MATCH($C336,'Restaurant Base (Hidden)'!$C$2:$C$1048576,0),MATCH(AG$6,'Restaurant Base (Hidden)'!$A$1:$Z$1,0)),"")</f>
        <v>1</v>
      </c>
    </row>
    <row r="337" spans="1:33" ht="16" customHeight="1" x14ac:dyDescent="0.4">
      <c r="A337" s="163" t="str">
        <f>IF('Restaurant Base (Hidden)'!A384=0,"", 'Restaurant Base (Hidden)'!A384)</f>
        <v>Elliot Hawthorne</v>
      </c>
      <c r="B337" s="163" t="str">
        <f>IF('Restaurant Base (Hidden)'!B384=0,"", 'Restaurant Base (Hidden)'!B384)</f>
        <v>Brookvale Dining</v>
      </c>
      <c r="C337" s="163" t="str">
        <f>IF('Restaurant Base (Hidden)'!C384=0,"", 'Restaurant Base (Hidden)'!C384)</f>
        <v>Royal Junction</v>
      </c>
      <c r="D337" s="104">
        <f t="shared" si="5"/>
        <v>330</v>
      </c>
      <c r="E337" s="105">
        <f>+IFERROR(INDEX('Restaurant Base (Hidden)'!$A$2:$Z$1048576,MATCH($C337,'Restaurant Base (Hidden)'!$C$2:$C$1048576,0),MATCH(E$6,'Restaurant Base (Hidden)'!$A$1:$Z$1,0)),"")</f>
        <v>2.59</v>
      </c>
      <c r="F337" s="2" t="str">
        <f>+IFERROR(INDEX('Restaurant Base (Hidden)'!$A$2:$Z$1048576,MATCH($C337,'Restaurant Base (Hidden)'!$C$2:$C$1048576,0),MATCH(F$6,'Restaurant Base (Hidden)'!$A$1:$Z$1,0)),"")</f>
        <v/>
      </c>
      <c r="G337" s="20" t="str">
        <f>+IFERROR(INDEX('Restaurant Base (Hidden)'!$A$2:$Z$1048576,MATCH($C337,'Restaurant Base (Hidden)'!$C$2:$C$1048576,0),MATCH(G$6,'Restaurant Base (Hidden)'!$A$1:$Z$1,0)),"")</f>
        <v>4,055</v>
      </c>
      <c r="H337" s="50">
        <f>+IFERROR(INDEX('Restaurant Base (Hidden)'!$A$2:$Z$1048576,MATCH($C337,'Restaurant Base (Hidden)'!$C$2:$C$1048576,0),MATCH(H$6,'Restaurant Base (Hidden)'!$A$1:$Z$1,0)),"")</f>
        <v>2</v>
      </c>
      <c r="I337" s="20" t="str">
        <f>+IFERROR(INDEX('Restaurant Base (Hidden)'!$A$2:$Z$1048576,MATCH($C337,'Restaurant Base (Hidden)'!$C$2:$C$1048576,0),MATCH(I$6,'Restaurant Base (Hidden)'!$A$1:$Z$1,0)),"")</f>
        <v>98,90 %</v>
      </c>
      <c r="J337" s="49">
        <f>+IFERROR(INDEX('Restaurant Base (Hidden)'!$A$2:$Z$1048576,MATCH($C337,'Restaurant Base (Hidden)'!$C$2:$C$1048576,0),MATCH(J$6,'Restaurant Base (Hidden)'!$A$1:$Z$1,0)),"")</f>
        <v>5</v>
      </c>
      <c r="K337" s="20" t="str">
        <f>+IFERROR(INDEX('Restaurant Base (Hidden)'!$A$2:$Z$1048576,MATCH($C337,'Restaurant Base (Hidden)'!$C$2:$C$1048576,0),MATCH(K$6,'Restaurant Base (Hidden)'!$A$1:$Z$1,0)),"")</f>
        <v>0,090</v>
      </c>
      <c r="L337" s="51">
        <f>+IFERROR(INDEX('Restaurant Base (Hidden)'!$A$2:$Z$1048576,MATCH($C337,'Restaurant Base (Hidden)'!$C$2:$C$1048576,0),MATCH(L$6,'Restaurant Base (Hidden)'!$A$1:$Z$1,0)),"")</f>
        <v>4</v>
      </c>
      <c r="M337" s="2" t="str">
        <f>+IFERROR(INDEX('Restaurant Base (Hidden)'!$A$2:$Z$1048576,MATCH($C337,'Restaurant Base (Hidden)'!$C$2:$C$1048576,0),MATCH(M$6,'Restaurant Base (Hidden)'!$A$1:$Z$1,0)),"")</f>
        <v/>
      </c>
      <c r="N337" s="234" t="str">
        <f>+IFERROR(INDEX('Restaurant Base (Hidden)'!$A$2:$Z$1048576,MATCH($C337,'Restaurant Base (Hidden)'!$C$2:$C$1048576,0),MATCH(N$6,'Restaurant Base (Hidden)'!$A$1:$Z$1,0)),"")</f>
        <v>65,90 %</v>
      </c>
      <c r="O337" s="1">
        <f>+IFERROR(INDEX('Restaurant Base (Hidden)'!$A$2:$Z$1048576,MATCH($C337,'Restaurant Base (Hidden)'!$C$2:$C$1048576,0),MATCH(O$6,'Restaurant Base (Hidden)'!$A$1:$Z$1,0)),"")</f>
        <v>3</v>
      </c>
      <c r="P337" s="2" t="str">
        <f>+IFERROR(INDEX('Restaurant Base (Hidden)'!$A$2:$Z$1048576,MATCH($C337,'Restaurant Base (Hidden)'!$C$2:$C$1048576,0),MATCH(P$6,'Restaurant Base (Hidden)'!$A$1:$Z$1,0)),"")</f>
        <v/>
      </c>
      <c r="Q337" s="234" t="str">
        <f>+IFERROR(INDEX('Restaurant Base (Hidden)'!$A$2:$Z$1048576,MATCH($C337,'Restaurant Base (Hidden)'!$C$2:$C$1048576,0),MATCH(Q$6,'Restaurant Base (Hidden)'!$A$1:$Z$1,0)),"")</f>
        <v>57,20 %</v>
      </c>
      <c r="R337" s="1">
        <f>+IFERROR(INDEX('Restaurant Base (Hidden)'!$A$2:$Z$1048576,MATCH($C337,'Restaurant Base (Hidden)'!$C$2:$C$1048576,0),MATCH(R$6,'Restaurant Base (Hidden)'!$A$1:$Z$1,0)),"")</f>
        <v>1</v>
      </c>
      <c r="S337" s="2" t="str">
        <f>+IFERROR(INDEX('Restaurant Base (Hidden)'!$A$2:$Z$1048576,MATCH($C337,'Restaurant Base (Hidden)'!$C$2:$C$1048576,0),MATCH(S$6,'Restaurant Base (Hidden)'!$A$1:$Z$1,0)),"")</f>
        <v/>
      </c>
      <c r="T337" s="62">
        <f>+IFERROR(INDEX('Restaurant Base (Hidden)'!$A$2:$Z$1048576,MATCH($C337,'Restaurant Base (Hidden)'!$C$2:$C$1048576,0),MATCH(T$6,'Restaurant Base (Hidden)'!$A$1:$Z$1,0)),"")</f>
        <v>57.5</v>
      </c>
      <c r="U337" s="1">
        <f>+IFERROR(INDEX('Restaurant Base (Hidden)'!$A$2:$Z$1048576,MATCH($C337,'Restaurant Base (Hidden)'!$C$2:$C$1048576,0),MATCH(U$6,'Restaurant Base (Hidden)'!$A$1:$Z$1,0)),"")</f>
        <v>2</v>
      </c>
      <c r="V337" s="2" t="str">
        <f>+IFERROR(INDEX('Restaurant Base (Hidden)'!$A$2:$Z$1048576,MATCH($C337,'Restaurant Base (Hidden)'!$C$2:$C$1048576,0),MATCH(V$6,'Restaurant Base (Hidden)'!$A$1:$Z$1,0)),"")</f>
        <v/>
      </c>
      <c r="W337" s="65" t="str">
        <f>+IFERROR(INDEX('Restaurant Base (Hidden)'!$A$2:$Z$1048576,MATCH($C337,'Restaurant Base (Hidden)'!$C$2:$C$1048576,0),MATCH(W$6,'Restaurant Base (Hidden)'!$A$1:$Z$1,0)),"")</f>
        <v>98,80 %</v>
      </c>
      <c r="X337" s="1">
        <f>+IFERROR(INDEX('Restaurant Base (Hidden)'!$A$2:$Z$1048576,MATCH($C337,'Restaurant Base (Hidden)'!$C$2:$C$1048576,0),MATCH(X$6,'Restaurant Base (Hidden)'!$A$1:$Z$1,0)),"")</f>
        <v>5</v>
      </c>
      <c r="Y337" s="65" t="str">
        <f>+IFERROR(INDEX('Restaurant Base (Hidden)'!$A$2:$Z$1048576,MATCH($C337,'Restaurant Base (Hidden)'!$C$2:$C$1048576,0),MATCH(Y$6,'Restaurant Base (Hidden)'!$A$1:$Z$1,0)),"")</f>
        <v>75,10 %</v>
      </c>
      <c r="Z337" s="106">
        <f>+IFERROR(INDEX('Restaurant Base (Hidden)'!$A$2:$Z$1048576,MATCH($C337,'Restaurant Base (Hidden)'!$C$2:$C$1048576,0),MATCH(Z$6,'Restaurant Base (Hidden)'!$A$1:$Z$1,0)),"")</f>
        <v>2</v>
      </c>
      <c r="AA337" s="65" t="str">
        <f>+IFERROR(INDEX('Restaurant Base (Hidden)'!$A$2:$Z$1048576,MATCH($C337,'Restaurant Base (Hidden)'!$C$2:$C$1048576,0),MATCH(AA$6,'Restaurant Base (Hidden)'!$A$1:$Z$1,0)),"")</f>
        <v>87,30 %</v>
      </c>
      <c r="AB337" s="1">
        <f>+IFERROR(INDEX('Restaurant Base (Hidden)'!$A$2:$Z$1048576,MATCH($C337,'Restaurant Base (Hidden)'!$C$2:$C$1048576,0),MATCH(AB$6,'Restaurant Base (Hidden)'!$A$1:$Z$1,0)),"")</f>
        <v>3</v>
      </c>
      <c r="AC337" s="20" t="str">
        <f>+IFERROR(INDEX('Restaurant Base (Hidden)'!$A$2:$Z$1048576,MATCH($C337,'Restaurant Base (Hidden)'!$C$2:$C$1048576,0),MATCH(AC$6,'Restaurant Base (Hidden)'!$A$1:$Z$1,0)),"")</f>
        <v/>
      </c>
      <c r="AD337" s="65" t="str">
        <f>+IFERROR(INDEX('Restaurant Base (Hidden)'!$A$2:$Z$1048576,MATCH($C337,'Restaurant Base (Hidden)'!$C$2:$C$1048576,0),MATCH(AD$6,'Restaurant Base (Hidden)'!$A$1:$Z$1,0)),"")</f>
        <v>75,20 %</v>
      </c>
      <c r="AE337" s="1">
        <f>+IFERROR(INDEX('Restaurant Base (Hidden)'!$A$2:$Z$1048576,MATCH($C337,'Restaurant Base (Hidden)'!$C$2:$C$1048576,0),MATCH(AE$6,'Restaurant Base (Hidden)'!$A$1:$Z$1,0)),"")</f>
        <v>2</v>
      </c>
      <c r="AF337" s="65" t="str">
        <f>+IFERROR(INDEX('Restaurant Base (Hidden)'!$A$2:$Z$1048576,MATCH($C337,'Restaurant Base (Hidden)'!$C$2:$C$1048576,0),MATCH(AF$6,'Restaurant Base (Hidden)'!$A$1:$Z$1,0)),"")</f>
        <v>63,60 %</v>
      </c>
      <c r="AG337" s="1">
        <f>+IFERROR(INDEX('Restaurant Base (Hidden)'!$A$2:$Z$1048576,MATCH($C337,'Restaurant Base (Hidden)'!$C$2:$C$1048576,0),MATCH(AG$6,'Restaurant Base (Hidden)'!$A$1:$Z$1,0)),"")</f>
        <v>1</v>
      </c>
    </row>
    <row r="338" spans="1:33" ht="16" customHeight="1" x14ac:dyDescent="0.4">
      <c r="A338" s="163" t="str">
        <f>IF('Restaurant Base (Hidden)'!A347=0,"", 'Restaurant Base (Hidden)'!A347)</f>
        <v>Sage Rosemont</v>
      </c>
      <c r="B338" s="163" t="str">
        <f>IF('Restaurant Base (Hidden)'!B347=0,"", 'Restaurant Base (Hidden)'!B347)</f>
        <v>Meadowgate Hospitality</v>
      </c>
      <c r="C338" s="163" t="str">
        <f>IF('Restaurant Base (Hidden)'!C347=0,"", 'Restaurant Base (Hidden)'!C347)</f>
        <v>Emerald Walk</v>
      </c>
      <c r="D338" s="104">
        <f t="shared" si="5"/>
        <v>332</v>
      </c>
      <c r="E338" s="105">
        <f>+IFERROR(INDEX('Restaurant Base (Hidden)'!$A$2:$Z$1048576,MATCH($C338,'Restaurant Base (Hidden)'!$C$2:$C$1048576,0),MATCH(E$6,'Restaurant Base (Hidden)'!$A$1:$Z$1,0)),"")</f>
        <v>2.58</v>
      </c>
      <c r="F338" s="2" t="str">
        <f>+IFERROR(INDEX('Restaurant Base (Hidden)'!$A$2:$Z$1048576,MATCH($C338,'Restaurant Base (Hidden)'!$C$2:$C$1048576,0),MATCH(F$6,'Restaurant Base (Hidden)'!$A$1:$Z$1,0)),"")</f>
        <v/>
      </c>
      <c r="G338" s="20" t="str">
        <f>+IFERROR(INDEX('Restaurant Base (Hidden)'!$A$2:$Z$1048576,MATCH($C338,'Restaurant Base (Hidden)'!$C$2:$C$1048576,0),MATCH(G$6,'Restaurant Base (Hidden)'!$A$1:$Z$1,0)),"")</f>
        <v>4,483</v>
      </c>
      <c r="H338" s="50">
        <f>+IFERROR(INDEX('Restaurant Base (Hidden)'!$A$2:$Z$1048576,MATCH($C338,'Restaurant Base (Hidden)'!$C$2:$C$1048576,0),MATCH(H$6,'Restaurant Base (Hidden)'!$A$1:$Z$1,0)),"")</f>
        <v>4</v>
      </c>
      <c r="I338" s="20" t="str">
        <f>+IFERROR(INDEX('Restaurant Base (Hidden)'!$A$2:$Z$1048576,MATCH($C338,'Restaurant Base (Hidden)'!$C$2:$C$1048576,0),MATCH(I$6,'Restaurant Base (Hidden)'!$A$1:$Z$1,0)),"")</f>
        <v>87,70 %</v>
      </c>
      <c r="J338" s="49">
        <f>+IFERROR(INDEX('Restaurant Base (Hidden)'!$A$2:$Z$1048576,MATCH($C338,'Restaurant Base (Hidden)'!$C$2:$C$1048576,0),MATCH(J$6,'Restaurant Base (Hidden)'!$A$1:$Z$1,0)),"")</f>
        <v>3</v>
      </c>
      <c r="K338" s="20" t="str">
        <f>+IFERROR(INDEX('Restaurant Base (Hidden)'!$A$2:$Z$1048576,MATCH($C338,'Restaurant Base (Hidden)'!$C$2:$C$1048576,0),MATCH(K$6,'Restaurant Base (Hidden)'!$A$1:$Z$1,0)),"")</f>
        <v>0,047</v>
      </c>
      <c r="L338" s="51">
        <f>+IFERROR(INDEX('Restaurant Base (Hidden)'!$A$2:$Z$1048576,MATCH($C338,'Restaurant Base (Hidden)'!$C$2:$C$1048576,0),MATCH(L$6,'Restaurant Base (Hidden)'!$A$1:$Z$1,0)),"")</f>
        <v>5</v>
      </c>
      <c r="M338" s="2" t="str">
        <f>+IFERROR(INDEX('Restaurant Base (Hidden)'!$A$2:$Z$1048576,MATCH($C338,'Restaurant Base (Hidden)'!$C$2:$C$1048576,0),MATCH(M$6,'Restaurant Base (Hidden)'!$A$1:$Z$1,0)),"")</f>
        <v/>
      </c>
      <c r="N338" s="234" t="str">
        <f>+IFERROR(INDEX('Restaurant Base (Hidden)'!$A$2:$Z$1048576,MATCH($C338,'Restaurant Base (Hidden)'!$C$2:$C$1048576,0),MATCH(N$6,'Restaurant Base (Hidden)'!$A$1:$Z$1,0)),"")</f>
        <v>96,20 %</v>
      </c>
      <c r="O338" s="1">
        <f>+IFERROR(INDEX('Restaurant Base (Hidden)'!$A$2:$Z$1048576,MATCH($C338,'Restaurant Base (Hidden)'!$C$2:$C$1048576,0),MATCH(O$6,'Restaurant Base (Hidden)'!$A$1:$Z$1,0)),"")</f>
        <v>5</v>
      </c>
      <c r="P338" s="2" t="str">
        <f>+IFERROR(INDEX('Restaurant Base (Hidden)'!$A$2:$Z$1048576,MATCH($C338,'Restaurant Base (Hidden)'!$C$2:$C$1048576,0),MATCH(P$6,'Restaurant Base (Hidden)'!$A$1:$Z$1,0)),"")</f>
        <v/>
      </c>
      <c r="Q338" s="234" t="str">
        <f>+IFERROR(INDEX('Restaurant Base (Hidden)'!$A$2:$Z$1048576,MATCH($C338,'Restaurant Base (Hidden)'!$C$2:$C$1048576,0),MATCH(Q$6,'Restaurant Base (Hidden)'!$A$1:$Z$1,0)),"")</f>
        <v>62,20 %</v>
      </c>
      <c r="R338" s="1">
        <f>+IFERROR(INDEX('Restaurant Base (Hidden)'!$A$2:$Z$1048576,MATCH($C338,'Restaurant Base (Hidden)'!$C$2:$C$1048576,0),MATCH(R$6,'Restaurant Base (Hidden)'!$A$1:$Z$1,0)),"")</f>
        <v>2</v>
      </c>
      <c r="S338" s="2" t="str">
        <f>+IFERROR(INDEX('Restaurant Base (Hidden)'!$A$2:$Z$1048576,MATCH($C338,'Restaurant Base (Hidden)'!$C$2:$C$1048576,0),MATCH(S$6,'Restaurant Base (Hidden)'!$A$1:$Z$1,0)),"")</f>
        <v/>
      </c>
      <c r="T338" s="62">
        <f>+IFERROR(INDEX('Restaurant Base (Hidden)'!$A$2:$Z$1048576,MATCH($C338,'Restaurant Base (Hidden)'!$C$2:$C$1048576,0),MATCH(T$6,'Restaurant Base (Hidden)'!$A$1:$Z$1,0)),"")</f>
        <v>52.7</v>
      </c>
      <c r="U338" s="1">
        <f>+IFERROR(INDEX('Restaurant Base (Hidden)'!$A$2:$Z$1048576,MATCH($C338,'Restaurant Base (Hidden)'!$C$2:$C$1048576,0),MATCH(U$6,'Restaurant Base (Hidden)'!$A$1:$Z$1,0)),"")</f>
        <v>1</v>
      </c>
      <c r="V338" s="2" t="str">
        <f>+IFERROR(INDEX('Restaurant Base (Hidden)'!$A$2:$Z$1048576,MATCH($C338,'Restaurant Base (Hidden)'!$C$2:$C$1048576,0),MATCH(V$6,'Restaurant Base (Hidden)'!$A$1:$Z$1,0)),"")</f>
        <v/>
      </c>
      <c r="W338" s="65" t="str">
        <f>+IFERROR(INDEX('Restaurant Base (Hidden)'!$A$2:$Z$1048576,MATCH($C338,'Restaurant Base (Hidden)'!$C$2:$C$1048576,0),MATCH(W$6,'Restaurant Base (Hidden)'!$A$1:$Z$1,0)),"")</f>
        <v>90,50 %</v>
      </c>
      <c r="X338" s="1">
        <f>+IFERROR(INDEX('Restaurant Base (Hidden)'!$A$2:$Z$1048576,MATCH($C338,'Restaurant Base (Hidden)'!$C$2:$C$1048576,0),MATCH(X$6,'Restaurant Base (Hidden)'!$A$1:$Z$1,0)),"")</f>
        <v>3</v>
      </c>
      <c r="Y338" s="65" t="str">
        <f>+IFERROR(INDEX('Restaurant Base (Hidden)'!$A$2:$Z$1048576,MATCH($C338,'Restaurant Base (Hidden)'!$C$2:$C$1048576,0),MATCH(Y$6,'Restaurant Base (Hidden)'!$A$1:$Z$1,0)),"")</f>
        <v>56,90 %</v>
      </c>
      <c r="Z338" s="106">
        <f>+IFERROR(INDEX('Restaurant Base (Hidden)'!$A$2:$Z$1048576,MATCH($C338,'Restaurant Base (Hidden)'!$C$2:$C$1048576,0),MATCH(Z$6,'Restaurant Base (Hidden)'!$A$1:$Z$1,0)),"")</f>
        <v>1</v>
      </c>
      <c r="AA338" s="65" t="str">
        <f>+IFERROR(INDEX('Restaurant Base (Hidden)'!$A$2:$Z$1048576,MATCH($C338,'Restaurant Base (Hidden)'!$C$2:$C$1048576,0),MATCH(AA$6,'Restaurant Base (Hidden)'!$A$1:$Z$1,0)),"")</f>
        <v>84,10 %</v>
      </c>
      <c r="AB338" s="1">
        <f>+IFERROR(INDEX('Restaurant Base (Hidden)'!$A$2:$Z$1048576,MATCH($C338,'Restaurant Base (Hidden)'!$C$2:$C$1048576,0),MATCH(AB$6,'Restaurant Base (Hidden)'!$A$1:$Z$1,0)),"")</f>
        <v>2</v>
      </c>
      <c r="AC338" s="20" t="str">
        <f>+IFERROR(INDEX('Restaurant Base (Hidden)'!$A$2:$Z$1048576,MATCH($C338,'Restaurant Base (Hidden)'!$C$2:$C$1048576,0),MATCH(AC$6,'Restaurant Base (Hidden)'!$A$1:$Z$1,0)),"")</f>
        <v/>
      </c>
      <c r="AD338" s="65" t="str">
        <f>+IFERROR(INDEX('Restaurant Base (Hidden)'!$A$2:$Z$1048576,MATCH($C338,'Restaurant Base (Hidden)'!$C$2:$C$1048576,0),MATCH(AD$6,'Restaurant Base (Hidden)'!$A$1:$Z$1,0)),"")</f>
        <v>68,50 %</v>
      </c>
      <c r="AE338" s="1">
        <f>+IFERROR(INDEX('Restaurant Base (Hidden)'!$A$2:$Z$1048576,MATCH($C338,'Restaurant Base (Hidden)'!$C$2:$C$1048576,0),MATCH(AE$6,'Restaurant Base (Hidden)'!$A$1:$Z$1,0)),"")</f>
        <v>1</v>
      </c>
      <c r="AF338" s="65" t="str">
        <f>+IFERROR(INDEX('Restaurant Base (Hidden)'!$A$2:$Z$1048576,MATCH($C338,'Restaurant Base (Hidden)'!$C$2:$C$1048576,0),MATCH(AF$6,'Restaurant Base (Hidden)'!$A$1:$Z$1,0)),"")</f>
        <v>61,50 %</v>
      </c>
      <c r="AG338" s="1">
        <f>+IFERROR(INDEX('Restaurant Base (Hidden)'!$A$2:$Z$1048576,MATCH($C338,'Restaurant Base (Hidden)'!$C$2:$C$1048576,0),MATCH(AG$6,'Restaurant Base (Hidden)'!$A$1:$Z$1,0)),"")</f>
        <v>1</v>
      </c>
    </row>
    <row r="339" spans="1:33" ht="16" customHeight="1" x14ac:dyDescent="0.4">
      <c r="A339" s="163" t="str">
        <f>IF('Restaurant Base (Hidden)'!A71=0,"", 'Restaurant Base (Hidden)'!A71)</f>
        <v>Kendall Prescott</v>
      </c>
      <c r="B339" s="163" t="str">
        <f>IF('Restaurant Base (Hidden)'!B71=0,"", 'Restaurant Base (Hidden)'!B71)</f>
        <v>Rosebridge Hospitality</v>
      </c>
      <c r="C339" s="163" t="str">
        <f>IF('Restaurant Base (Hidden)'!C71=0,"", 'Restaurant Base (Hidden)'!C71)</f>
        <v>Woodland Commons</v>
      </c>
      <c r="D339" s="104">
        <f t="shared" si="5"/>
        <v>333</v>
      </c>
      <c r="E339" s="105">
        <f>+IFERROR(INDEX('Restaurant Base (Hidden)'!$A$2:$Z$1048576,MATCH($C339,'Restaurant Base (Hidden)'!$C$2:$C$1048576,0),MATCH(E$6,'Restaurant Base (Hidden)'!$A$1:$Z$1,0)),"")</f>
        <v>2.57</v>
      </c>
      <c r="F339" s="64" t="str">
        <f>+IFERROR(INDEX('Restaurant Base (Hidden)'!$A$2:$Z$1048576,MATCH($C339,'Restaurant Base (Hidden)'!$C$2:$C$1048576,0),MATCH(F$6,'Restaurant Base (Hidden)'!$A$1:$Z$1,0)),"")</f>
        <v/>
      </c>
      <c r="G339" s="20" t="str">
        <f>+IFERROR(INDEX('Restaurant Base (Hidden)'!$A$2:$Z$1048576,MATCH($C339,'Restaurant Base (Hidden)'!$C$2:$C$1048576,0),MATCH(G$6,'Restaurant Base (Hidden)'!$A$1:$Z$1,0)),"")</f>
        <v>4,040</v>
      </c>
      <c r="H339" s="50">
        <f>+IFERROR(INDEX('Restaurant Base (Hidden)'!$A$2:$Z$1048576,MATCH($C339,'Restaurant Base (Hidden)'!$C$2:$C$1048576,0),MATCH(H$6,'Restaurant Base (Hidden)'!$A$1:$Z$1,0)),"")</f>
        <v>1</v>
      </c>
      <c r="I339" s="20" t="str">
        <f>+IFERROR(INDEX('Restaurant Base (Hidden)'!$A$2:$Z$1048576,MATCH($C339,'Restaurant Base (Hidden)'!$C$2:$C$1048576,0),MATCH(I$6,'Restaurant Base (Hidden)'!$A$1:$Z$1,0)),"")</f>
        <v>94,50 %</v>
      </c>
      <c r="J339" s="49">
        <f>+IFERROR(INDEX('Restaurant Base (Hidden)'!$A$2:$Z$1048576,MATCH($C339,'Restaurant Base (Hidden)'!$C$2:$C$1048576,0),MATCH(J$6,'Restaurant Base (Hidden)'!$A$1:$Z$1,0)),"")</f>
        <v>5</v>
      </c>
      <c r="K339" s="20" t="str">
        <f>+IFERROR(INDEX('Restaurant Base (Hidden)'!$A$2:$Z$1048576,MATCH($C339,'Restaurant Base (Hidden)'!$C$2:$C$1048576,0),MATCH(K$6,'Restaurant Base (Hidden)'!$A$1:$Z$1,0)),"")</f>
        <v>0,181</v>
      </c>
      <c r="L339" s="51">
        <f>+IFERROR(INDEX('Restaurant Base (Hidden)'!$A$2:$Z$1048576,MATCH($C339,'Restaurant Base (Hidden)'!$C$2:$C$1048576,0),MATCH(L$6,'Restaurant Base (Hidden)'!$A$1:$Z$1,0)),"")</f>
        <v>1</v>
      </c>
      <c r="M339" s="2" t="str">
        <f>+IFERROR(INDEX('Restaurant Base (Hidden)'!$A$2:$Z$1048576,MATCH($C339,'Restaurant Base (Hidden)'!$C$2:$C$1048576,0),MATCH(M$6,'Restaurant Base (Hidden)'!$A$1:$Z$1,0)),"")</f>
        <v/>
      </c>
      <c r="N339" s="234" t="str">
        <f>+IFERROR(INDEX('Restaurant Base (Hidden)'!$A$2:$Z$1048576,MATCH($C339,'Restaurant Base (Hidden)'!$C$2:$C$1048576,0),MATCH(N$6,'Restaurant Base (Hidden)'!$A$1:$Z$1,0)),"")</f>
        <v>80,60 %</v>
      </c>
      <c r="O339" s="1">
        <f>+IFERROR(INDEX('Restaurant Base (Hidden)'!$A$2:$Z$1048576,MATCH($C339,'Restaurant Base (Hidden)'!$C$2:$C$1048576,0),MATCH(O$6,'Restaurant Base (Hidden)'!$A$1:$Z$1,0)),"")</f>
        <v>5</v>
      </c>
      <c r="P339" s="2" t="str">
        <f>+IFERROR(INDEX('Restaurant Base (Hidden)'!$A$2:$Z$1048576,MATCH($C339,'Restaurant Base (Hidden)'!$C$2:$C$1048576,0),MATCH(P$6,'Restaurant Base (Hidden)'!$A$1:$Z$1,0)),"")</f>
        <v/>
      </c>
      <c r="Q339" s="234" t="str">
        <f>+IFERROR(INDEX('Restaurant Base (Hidden)'!$A$2:$Z$1048576,MATCH($C339,'Restaurant Base (Hidden)'!$C$2:$C$1048576,0),MATCH(Q$6,'Restaurant Base (Hidden)'!$A$1:$Z$1,0)),"")</f>
        <v>59,90 %</v>
      </c>
      <c r="R339" s="1">
        <f>+IFERROR(INDEX('Restaurant Base (Hidden)'!$A$2:$Z$1048576,MATCH($C339,'Restaurant Base (Hidden)'!$C$2:$C$1048576,0),MATCH(R$6,'Restaurant Base (Hidden)'!$A$1:$Z$1,0)),"")</f>
        <v>1</v>
      </c>
      <c r="S339" s="2" t="str">
        <f>+IFERROR(INDEX('Restaurant Base (Hidden)'!$A$2:$Z$1048576,MATCH($C339,'Restaurant Base (Hidden)'!$C$2:$C$1048576,0),MATCH(S$6,'Restaurant Base (Hidden)'!$A$1:$Z$1,0)),"")</f>
        <v/>
      </c>
      <c r="T339" s="62">
        <f>+IFERROR(INDEX('Restaurant Base (Hidden)'!$A$2:$Z$1048576,MATCH($C339,'Restaurant Base (Hidden)'!$C$2:$C$1048576,0),MATCH(T$6,'Restaurant Base (Hidden)'!$A$1:$Z$1,0)),"")</f>
        <v>58</v>
      </c>
      <c r="U339" s="1">
        <f>+IFERROR(INDEX('Restaurant Base (Hidden)'!$A$2:$Z$1048576,MATCH($C339,'Restaurant Base (Hidden)'!$C$2:$C$1048576,0),MATCH(U$6,'Restaurant Base (Hidden)'!$A$1:$Z$1,0)),"")</f>
        <v>2</v>
      </c>
      <c r="V339" s="2" t="str">
        <f>+IFERROR(INDEX('Restaurant Base (Hidden)'!$A$2:$Z$1048576,MATCH($C339,'Restaurant Base (Hidden)'!$C$2:$C$1048576,0),MATCH(V$6,'Restaurant Base (Hidden)'!$A$1:$Z$1,0)),"")</f>
        <v/>
      </c>
      <c r="W339" s="65" t="str">
        <f>+IFERROR(INDEX('Restaurant Base (Hidden)'!$A$2:$Z$1048576,MATCH($C339,'Restaurant Base (Hidden)'!$C$2:$C$1048576,0),MATCH(W$6,'Restaurant Base (Hidden)'!$A$1:$Z$1,0)),"")</f>
        <v>99,40 %</v>
      </c>
      <c r="X339" s="1">
        <f>+IFERROR(INDEX('Restaurant Base (Hidden)'!$A$2:$Z$1048576,MATCH($C339,'Restaurant Base (Hidden)'!$C$2:$C$1048576,0),MATCH(X$6,'Restaurant Base (Hidden)'!$A$1:$Z$1,0)),"")</f>
        <v>5</v>
      </c>
      <c r="Y339" s="65" t="str">
        <f>+IFERROR(INDEX('Restaurant Base (Hidden)'!$A$2:$Z$1048576,MATCH($C339,'Restaurant Base (Hidden)'!$C$2:$C$1048576,0),MATCH(Y$6,'Restaurant Base (Hidden)'!$A$1:$Z$1,0)),"")</f>
        <v>89,40 %</v>
      </c>
      <c r="Z339" s="106">
        <f>+IFERROR(INDEX('Restaurant Base (Hidden)'!$A$2:$Z$1048576,MATCH($C339,'Restaurant Base (Hidden)'!$C$2:$C$1048576,0),MATCH(Z$6,'Restaurant Base (Hidden)'!$A$1:$Z$1,0)),"")</f>
        <v>3</v>
      </c>
      <c r="AA339" s="65" t="str">
        <f>+IFERROR(INDEX('Restaurant Base (Hidden)'!$A$2:$Z$1048576,MATCH($C339,'Restaurant Base (Hidden)'!$C$2:$C$1048576,0),MATCH(AA$6,'Restaurant Base (Hidden)'!$A$1:$Z$1,0)),"")</f>
        <v>91,00 %</v>
      </c>
      <c r="AB339" s="1">
        <f>+IFERROR(INDEX('Restaurant Base (Hidden)'!$A$2:$Z$1048576,MATCH($C339,'Restaurant Base (Hidden)'!$C$2:$C$1048576,0),MATCH(AB$6,'Restaurant Base (Hidden)'!$A$1:$Z$1,0)),"")</f>
        <v>3</v>
      </c>
      <c r="AC339" s="20" t="str">
        <f>+IFERROR(INDEX('Restaurant Base (Hidden)'!$A$2:$Z$1048576,MATCH($C339,'Restaurant Base (Hidden)'!$C$2:$C$1048576,0),MATCH(AC$6,'Restaurant Base (Hidden)'!$A$1:$Z$1,0)),"")</f>
        <v/>
      </c>
      <c r="AD339" s="65" t="str">
        <f>+IFERROR(INDEX('Restaurant Base (Hidden)'!$A$2:$Z$1048576,MATCH($C339,'Restaurant Base (Hidden)'!$C$2:$C$1048576,0),MATCH(AD$6,'Restaurant Base (Hidden)'!$A$1:$Z$1,0)),"")</f>
        <v>56,90 %</v>
      </c>
      <c r="AE339" s="1">
        <f>+IFERROR(INDEX('Restaurant Base (Hidden)'!$A$2:$Z$1048576,MATCH($C339,'Restaurant Base (Hidden)'!$C$2:$C$1048576,0),MATCH(AE$6,'Restaurant Base (Hidden)'!$A$1:$Z$1,0)),"")</f>
        <v>1</v>
      </c>
      <c r="AF339" s="65" t="str">
        <f>+IFERROR(INDEX('Restaurant Base (Hidden)'!$A$2:$Z$1048576,MATCH($C339,'Restaurant Base (Hidden)'!$C$2:$C$1048576,0),MATCH(AF$6,'Restaurant Base (Hidden)'!$A$1:$Z$1,0)),"")</f>
        <v>65,00 %</v>
      </c>
      <c r="AG339" s="1">
        <f>+IFERROR(INDEX('Restaurant Base (Hidden)'!$A$2:$Z$1048576,MATCH($C339,'Restaurant Base (Hidden)'!$C$2:$C$1048576,0),MATCH(AG$6,'Restaurant Base (Hidden)'!$A$1:$Z$1,0)),"")</f>
        <v>1</v>
      </c>
    </row>
    <row r="340" spans="1:33" ht="16" customHeight="1" x14ac:dyDescent="0.4">
      <c r="A340" s="163" t="str">
        <f>IF('Restaurant Base (Hidden)'!A104=0,"", 'Restaurant Base (Hidden)'!A104)</f>
        <v>Quinn Westbrook</v>
      </c>
      <c r="B340" s="163" t="str">
        <f>IF('Restaurant Base (Hidden)'!B104=0,"", 'Restaurant Base (Hidden)'!B104)</f>
        <v>Brookvale Dining</v>
      </c>
      <c r="C340" s="163" t="str">
        <f>IF('Restaurant Base (Hidden)'!C104=0,"", 'Restaurant Base (Hidden)'!C104)</f>
        <v>Liberty Court</v>
      </c>
      <c r="D340" s="104">
        <f t="shared" si="5"/>
        <v>333</v>
      </c>
      <c r="E340" s="105">
        <f>+IFERROR(INDEX('Restaurant Base (Hidden)'!$A$2:$Z$1048576,MATCH($C340,'Restaurant Base (Hidden)'!$C$2:$C$1048576,0),MATCH(E$6,'Restaurant Base (Hidden)'!$A$1:$Z$1,0)),"")</f>
        <v>2.57</v>
      </c>
      <c r="F340" s="2" t="str">
        <f>+IFERROR(INDEX('Restaurant Base (Hidden)'!$A$2:$Z$1048576,MATCH($C340,'Restaurant Base (Hidden)'!$C$2:$C$1048576,0),MATCH(F$6,'Restaurant Base (Hidden)'!$A$1:$Z$1,0)),"")</f>
        <v/>
      </c>
      <c r="G340" s="20" t="str">
        <f>+IFERROR(INDEX('Restaurant Base (Hidden)'!$A$2:$Z$1048576,MATCH($C340,'Restaurant Base (Hidden)'!$C$2:$C$1048576,0),MATCH(G$6,'Restaurant Base (Hidden)'!$A$1:$Z$1,0)),"")</f>
        <v>4,126</v>
      </c>
      <c r="H340" s="50">
        <f>+IFERROR(INDEX('Restaurant Base (Hidden)'!$A$2:$Z$1048576,MATCH($C340,'Restaurant Base (Hidden)'!$C$2:$C$1048576,0),MATCH(H$6,'Restaurant Base (Hidden)'!$A$1:$Z$1,0)),"")</f>
        <v>2</v>
      </c>
      <c r="I340" s="20" t="str">
        <f>+IFERROR(INDEX('Restaurant Base (Hidden)'!$A$2:$Z$1048576,MATCH($C340,'Restaurant Base (Hidden)'!$C$2:$C$1048576,0),MATCH(I$6,'Restaurant Base (Hidden)'!$A$1:$Z$1,0)),"")</f>
        <v>80,70 %</v>
      </c>
      <c r="J340" s="49">
        <f>+IFERROR(INDEX('Restaurant Base (Hidden)'!$A$2:$Z$1048576,MATCH($C340,'Restaurant Base (Hidden)'!$C$2:$C$1048576,0),MATCH(J$6,'Restaurant Base (Hidden)'!$A$1:$Z$1,0)),"")</f>
        <v>2</v>
      </c>
      <c r="K340" s="20" t="str">
        <f>+IFERROR(INDEX('Restaurant Base (Hidden)'!$A$2:$Z$1048576,MATCH($C340,'Restaurant Base (Hidden)'!$C$2:$C$1048576,0),MATCH(K$6,'Restaurant Base (Hidden)'!$A$1:$Z$1,0)),"")</f>
        <v>0,079</v>
      </c>
      <c r="L340" s="51">
        <f>+IFERROR(INDEX('Restaurant Base (Hidden)'!$A$2:$Z$1048576,MATCH($C340,'Restaurant Base (Hidden)'!$C$2:$C$1048576,0),MATCH(L$6,'Restaurant Base (Hidden)'!$A$1:$Z$1,0)),"")</f>
        <v>4</v>
      </c>
      <c r="M340" s="2" t="str">
        <f>+IFERROR(INDEX('Restaurant Base (Hidden)'!$A$2:$Z$1048576,MATCH($C340,'Restaurant Base (Hidden)'!$C$2:$C$1048576,0),MATCH(M$6,'Restaurant Base (Hidden)'!$A$1:$Z$1,0)),"")</f>
        <v/>
      </c>
      <c r="N340" s="234" t="str">
        <f>+IFERROR(INDEX('Restaurant Base (Hidden)'!$A$2:$Z$1048576,MATCH($C340,'Restaurant Base (Hidden)'!$C$2:$C$1048576,0),MATCH(N$6,'Restaurant Base (Hidden)'!$A$1:$Z$1,0)),"")</f>
        <v>56,80 %</v>
      </c>
      <c r="O340" s="1">
        <f>+IFERROR(INDEX('Restaurant Base (Hidden)'!$A$2:$Z$1048576,MATCH($C340,'Restaurant Base (Hidden)'!$C$2:$C$1048576,0),MATCH(O$6,'Restaurant Base (Hidden)'!$A$1:$Z$1,0)),"")</f>
        <v>1</v>
      </c>
      <c r="P340" s="2" t="str">
        <f>+IFERROR(INDEX('Restaurant Base (Hidden)'!$A$2:$Z$1048576,MATCH($C340,'Restaurant Base (Hidden)'!$C$2:$C$1048576,0),MATCH(P$6,'Restaurant Base (Hidden)'!$A$1:$Z$1,0)),"")</f>
        <v/>
      </c>
      <c r="Q340" s="234" t="str">
        <f>+IFERROR(INDEX('Restaurant Base (Hidden)'!$A$2:$Z$1048576,MATCH($C340,'Restaurant Base (Hidden)'!$C$2:$C$1048576,0),MATCH(Q$6,'Restaurant Base (Hidden)'!$A$1:$Z$1,0)),"")</f>
        <v>85,60 %</v>
      </c>
      <c r="R340" s="1">
        <f>+IFERROR(INDEX('Restaurant Base (Hidden)'!$A$2:$Z$1048576,MATCH($C340,'Restaurant Base (Hidden)'!$C$2:$C$1048576,0),MATCH(R$6,'Restaurant Base (Hidden)'!$A$1:$Z$1,0)),"")</f>
        <v>5</v>
      </c>
      <c r="S340" s="2" t="str">
        <f>+IFERROR(INDEX('Restaurant Base (Hidden)'!$A$2:$Z$1048576,MATCH($C340,'Restaurant Base (Hidden)'!$C$2:$C$1048576,0),MATCH(S$6,'Restaurant Base (Hidden)'!$A$1:$Z$1,0)),"")</f>
        <v/>
      </c>
      <c r="T340" s="62">
        <f>+IFERROR(INDEX('Restaurant Base (Hidden)'!$A$2:$Z$1048576,MATCH($C340,'Restaurant Base (Hidden)'!$C$2:$C$1048576,0),MATCH(T$6,'Restaurant Base (Hidden)'!$A$1:$Z$1,0)),"")</f>
        <v>63.3</v>
      </c>
      <c r="U340" s="1">
        <f>+IFERROR(INDEX('Restaurant Base (Hidden)'!$A$2:$Z$1048576,MATCH($C340,'Restaurant Base (Hidden)'!$C$2:$C$1048576,0),MATCH(U$6,'Restaurant Base (Hidden)'!$A$1:$Z$1,0)),"")</f>
        <v>3</v>
      </c>
      <c r="V340" s="2" t="str">
        <f>+IFERROR(INDEX('Restaurant Base (Hidden)'!$A$2:$Z$1048576,MATCH($C340,'Restaurant Base (Hidden)'!$C$2:$C$1048576,0),MATCH(V$6,'Restaurant Base (Hidden)'!$A$1:$Z$1,0)),"")</f>
        <v/>
      </c>
      <c r="W340" s="65" t="str">
        <f>+IFERROR(INDEX('Restaurant Base (Hidden)'!$A$2:$Z$1048576,MATCH($C340,'Restaurant Base (Hidden)'!$C$2:$C$1048576,0),MATCH(W$6,'Restaurant Base (Hidden)'!$A$1:$Z$1,0)),"")</f>
        <v>84,00 %</v>
      </c>
      <c r="X340" s="1">
        <f>+IFERROR(INDEX('Restaurant Base (Hidden)'!$A$2:$Z$1048576,MATCH($C340,'Restaurant Base (Hidden)'!$C$2:$C$1048576,0),MATCH(X$6,'Restaurant Base (Hidden)'!$A$1:$Z$1,0)),"")</f>
        <v>3</v>
      </c>
      <c r="Y340" s="65" t="str">
        <f>+IFERROR(INDEX('Restaurant Base (Hidden)'!$A$2:$Z$1048576,MATCH($C340,'Restaurant Base (Hidden)'!$C$2:$C$1048576,0),MATCH(Y$6,'Restaurant Base (Hidden)'!$A$1:$Z$1,0)),"")</f>
        <v>72,70 %</v>
      </c>
      <c r="Z340" s="106">
        <f>+IFERROR(INDEX('Restaurant Base (Hidden)'!$A$2:$Z$1048576,MATCH($C340,'Restaurant Base (Hidden)'!$C$2:$C$1048576,0),MATCH(Z$6,'Restaurant Base (Hidden)'!$A$1:$Z$1,0)),"")</f>
        <v>2</v>
      </c>
      <c r="AA340" s="65" t="str">
        <f>+IFERROR(INDEX('Restaurant Base (Hidden)'!$A$2:$Z$1048576,MATCH($C340,'Restaurant Base (Hidden)'!$C$2:$C$1048576,0),MATCH(AA$6,'Restaurant Base (Hidden)'!$A$1:$Z$1,0)),"")</f>
        <v>76,50 %</v>
      </c>
      <c r="AB340" s="1">
        <f>+IFERROR(INDEX('Restaurant Base (Hidden)'!$A$2:$Z$1048576,MATCH($C340,'Restaurant Base (Hidden)'!$C$2:$C$1048576,0),MATCH(AB$6,'Restaurant Base (Hidden)'!$A$1:$Z$1,0)),"")</f>
        <v>2</v>
      </c>
      <c r="AC340" s="20" t="str">
        <f>+IFERROR(INDEX('Restaurant Base (Hidden)'!$A$2:$Z$1048576,MATCH($C340,'Restaurant Base (Hidden)'!$C$2:$C$1048576,0),MATCH(AC$6,'Restaurant Base (Hidden)'!$A$1:$Z$1,0)),"")</f>
        <v/>
      </c>
      <c r="AD340" s="65" t="str">
        <f>+IFERROR(INDEX('Restaurant Base (Hidden)'!$A$2:$Z$1048576,MATCH($C340,'Restaurant Base (Hidden)'!$C$2:$C$1048576,0),MATCH(AD$6,'Restaurant Base (Hidden)'!$A$1:$Z$1,0)),"")</f>
        <v>68,20 %</v>
      </c>
      <c r="AE340" s="1">
        <f>+IFERROR(INDEX('Restaurant Base (Hidden)'!$A$2:$Z$1048576,MATCH($C340,'Restaurant Base (Hidden)'!$C$2:$C$1048576,0),MATCH(AE$6,'Restaurant Base (Hidden)'!$A$1:$Z$1,0)),"")</f>
        <v>1</v>
      </c>
      <c r="AF340" s="65" t="str">
        <f>+IFERROR(INDEX('Restaurant Base (Hidden)'!$A$2:$Z$1048576,MATCH($C340,'Restaurant Base (Hidden)'!$C$2:$C$1048576,0),MATCH(AF$6,'Restaurant Base (Hidden)'!$A$1:$Z$1,0)),"")</f>
        <v>85,80 %</v>
      </c>
      <c r="AG340" s="1">
        <f>+IFERROR(INDEX('Restaurant Base (Hidden)'!$A$2:$Z$1048576,MATCH($C340,'Restaurant Base (Hidden)'!$C$2:$C$1048576,0),MATCH(AG$6,'Restaurant Base (Hidden)'!$A$1:$Z$1,0)),"")</f>
        <v>3</v>
      </c>
    </row>
    <row r="341" spans="1:33" ht="16" customHeight="1" x14ac:dyDescent="0.4">
      <c r="A341" s="163" t="str">
        <f>IF('Restaurant Base (Hidden)'!A381=0,"", 'Restaurant Base (Hidden)'!A381)</f>
        <v>Casey Briarwood</v>
      </c>
      <c r="B341" s="163" t="str">
        <f>IF('Restaurant Base (Hidden)'!B381=0,"", 'Restaurant Base (Hidden)'!B381)</f>
        <v>Parkstone Restaurant Group</v>
      </c>
      <c r="C341" s="163" t="str">
        <f>IF('Restaurant Base (Hidden)'!C381=0,"", 'Restaurant Base (Hidden)'!C381)</f>
        <v>Westmere Crossing</v>
      </c>
      <c r="D341" s="104">
        <f t="shared" si="5"/>
        <v>333</v>
      </c>
      <c r="E341" s="105">
        <f>+IFERROR(INDEX('Restaurant Base (Hidden)'!$A$2:$Z$1048576,MATCH($C341,'Restaurant Base (Hidden)'!$C$2:$C$1048576,0),MATCH(E$6,'Restaurant Base (Hidden)'!$A$1:$Z$1,0)),"")</f>
        <v>2.57</v>
      </c>
      <c r="F341" s="2" t="str">
        <f>+IFERROR(INDEX('Restaurant Base (Hidden)'!$A$2:$Z$1048576,MATCH($C341,'Restaurant Base (Hidden)'!$C$2:$C$1048576,0),MATCH(F$6,'Restaurant Base (Hidden)'!$A$1:$Z$1,0)),"")</f>
        <v/>
      </c>
      <c r="G341" s="20" t="str">
        <f>+IFERROR(INDEX('Restaurant Base (Hidden)'!$A$2:$Z$1048576,MATCH($C341,'Restaurant Base (Hidden)'!$C$2:$C$1048576,0),MATCH(G$6,'Restaurant Base (Hidden)'!$A$1:$Z$1,0)),"")</f>
        <v>4,083</v>
      </c>
      <c r="H341" s="50">
        <f>+IFERROR(INDEX('Restaurant Base (Hidden)'!$A$2:$Z$1048576,MATCH($C341,'Restaurant Base (Hidden)'!$C$2:$C$1048576,0),MATCH(H$6,'Restaurant Base (Hidden)'!$A$1:$Z$1,0)),"")</f>
        <v>2</v>
      </c>
      <c r="I341" s="20" t="str">
        <f>+IFERROR(INDEX('Restaurant Base (Hidden)'!$A$2:$Z$1048576,MATCH($C341,'Restaurant Base (Hidden)'!$C$2:$C$1048576,0),MATCH(I$6,'Restaurant Base (Hidden)'!$A$1:$Z$1,0)),"")</f>
        <v>78,60 %</v>
      </c>
      <c r="J341" s="49">
        <f>+IFERROR(INDEX('Restaurant Base (Hidden)'!$A$2:$Z$1048576,MATCH($C341,'Restaurant Base (Hidden)'!$C$2:$C$1048576,0),MATCH(J$6,'Restaurant Base (Hidden)'!$A$1:$Z$1,0)),"")</f>
        <v>2</v>
      </c>
      <c r="K341" s="20" t="str">
        <f>+IFERROR(INDEX('Restaurant Base (Hidden)'!$A$2:$Z$1048576,MATCH($C341,'Restaurant Base (Hidden)'!$C$2:$C$1048576,0),MATCH(K$6,'Restaurant Base (Hidden)'!$A$1:$Z$1,0)),"")</f>
        <v>0,150</v>
      </c>
      <c r="L341" s="51">
        <f>+IFERROR(INDEX('Restaurant Base (Hidden)'!$A$2:$Z$1048576,MATCH($C341,'Restaurant Base (Hidden)'!$C$2:$C$1048576,0),MATCH(L$6,'Restaurant Base (Hidden)'!$A$1:$Z$1,0)),"")</f>
        <v>2</v>
      </c>
      <c r="M341" s="2" t="str">
        <f>+IFERROR(INDEX('Restaurant Base (Hidden)'!$A$2:$Z$1048576,MATCH($C341,'Restaurant Base (Hidden)'!$C$2:$C$1048576,0),MATCH(M$6,'Restaurant Base (Hidden)'!$A$1:$Z$1,0)),"")</f>
        <v/>
      </c>
      <c r="N341" s="234" t="str">
        <f>+IFERROR(INDEX('Restaurant Base (Hidden)'!$A$2:$Z$1048576,MATCH($C341,'Restaurant Base (Hidden)'!$C$2:$C$1048576,0),MATCH(N$6,'Restaurant Base (Hidden)'!$A$1:$Z$1,0)),"")</f>
        <v>60,10 %</v>
      </c>
      <c r="O341" s="1">
        <f>+IFERROR(INDEX('Restaurant Base (Hidden)'!$A$2:$Z$1048576,MATCH($C341,'Restaurant Base (Hidden)'!$C$2:$C$1048576,0),MATCH(O$6,'Restaurant Base (Hidden)'!$A$1:$Z$1,0)),"")</f>
        <v>2</v>
      </c>
      <c r="P341" s="2" t="str">
        <f>+IFERROR(INDEX('Restaurant Base (Hidden)'!$A$2:$Z$1048576,MATCH($C341,'Restaurant Base (Hidden)'!$C$2:$C$1048576,0),MATCH(P$6,'Restaurant Base (Hidden)'!$A$1:$Z$1,0)),"")</f>
        <v/>
      </c>
      <c r="Q341" s="234" t="str">
        <f>+IFERROR(INDEX('Restaurant Base (Hidden)'!$A$2:$Z$1048576,MATCH($C341,'Restaurant Base (Hidden)'!$C$2:$C$1048576,0),MATCH(Q$6,'Restaurant Base (Hidden)'!$A$1:$Z$1,0)),"")</f>
        <v>70,50 %</v>
      </c>
      <c r="R341" s="1">
        <f>+IFERROR(INDEX('Restaurant Base (Hidden)'!$A$2:$Z$1048576,MATCH($C341,'Restaurant Base (Hidden)'!$C$2:$C$1048576,0),MATCH(R$6,'Restaurant Base (Hidden)'!$A$1:$Z$1,0)),"")</f>
        <v>4</v>
      </c>
      <c r="S341" s="2" t="str">
        <f>+IFERROR(INDEX('Restaurant Base (Hidden)'!$A$2:$Z$1048576,MATCH($C341,'Restaurant Base (Hidden)'!$C$2:$C$1048576,0),MATCH(S$6,'Restaurant Base (Hidden)'!$A$1:$Z$1,0)),"")</f>
        <v/>
      </c>
      <c r="T341" s="62">
        <f>+IFERROR(INDEX('Restaurant Base (Hidden)'!$A$2:$Z$1048576,MATCH($C341,'Restaurant Base (Hidden)'!$C$2:$C$1048576,0),MATCH(T$6,'Restaurant Base (Hidden)'!$A$1:$Z$1,0)),"")</f>
        <v>67.900000000000006</v>
      </c>
      <c r="U341" s="1">
        <f>+IFERROR(INDEX('Restaurant Base (Hidden)'!$A$2:$Z$1048576,MATCH($C341,'Restaurant Base (Hidden)'!$C$2:$C$1048576,0),MATCH(U$6,'Restaurant Base (Hidden)'!$A$1:$Z$1,0)),"")</f>
        <v>4</v>
      </c>
      <c r="V341" s="2" t="str">
        <f>+IFERROR(INDEX('Restaurant Base (Hidden)'!$A$2:$Z$1048576,MATCH($C341,'Restaurant Base (Hidden)'!$C$2:$C$1048576,0),MATCH(V$6,'Restaurant Base (Hidden)'!$A$1:$Z$1,0)),"")</f>
        <v/>
      </c>
      <c r="W341" s="65" t="str">
        <f>+IFERROR(INDEX('Restaurant Base (Hidden)'!$A$2:$Z$1048576,MATCH($C341,'Restaurant Base (Hidden)'!$C$2:$C$1048576,0),MATCH(W$6,'Restaurant Base (Hidden)'!$A$1:$Z$1,0)),"")</f>
        <v>93,40 %</v>
      </c>
      <c r="X341" s="1">
        <f>+IFERROR(INDEX('Restaurant Base (Hidden)'!$A$2:$Z$1048576,MATCH($C341,'Restaurant Base (Hidden)'!$C$2:$C$1048576,0),MATCH(X$6,'Restaurant Base (Hidden)'!$A$1:$Z$1,0)),"")</f>
        <v>4</v>
      </c>
      <c r="Y341" s="65" t="str">
        <f>+IFERROR(INDEX('Restaurant Base (Hidden)'!$A$2:$Z$1048576,MATCH($C341,'Restaurant Base (Hidden)'!$C$2:$C$1048576,0),MATCH(Y$6,'Restaurant Base (Hidden)'!$A$1:$Z$1,0)),"")</f>
        <v>75,10 %</v>
      </c>
      <c r="Z341" s="106">
        <f>+IFERROR(INDEX('Restaurant Base (Hidden)'!$A$2:$Z$1048576,MATCH($C341,'Restaurant Base (Hidden)'!$C$2:$C$1048576,0),MATCH(Z$6,'Restaurant Base (Hidden)'!$A$1:$Z$1,0)),"")</f>
        <v>2</v>
      </c>
      <c r="AA341" s="65" t="str">
        <f>+IFERROR(INDEX('Restaurant Base (Hidden)'!$A$2:$Z$1048576,MATCH($C341,'Restaurant Base (Hidden)'!$C$2:$C$1048576,0),MATCH(AA$6,'Restaurant Base (Hidden)'!$A$1:$Z$1,0)),"")</f>
        <v>85,00 %</v>
      </c>
      <c r="AB341" s="1">
        <f>+IFERROR(INDEX('Restaurant Base (Hidden)'!$A$2:$Z$1048576,MATCH($C341,'Restaurant Base (Hidden)'!$C$2:$C$1048576,0),MATCH(AB$6,'Restaurant Base (Hidden)'!$A$1:$Z$1,0)),"")</f>
        <v>3</v>
      </c>
      <c r="AC341" s="20" t="str">
        <f>+IFERROR(INDEX('Restaurant Base (Hidden)'!$A$2:$Z$1048576,MATCH($C341,'Restaurant Base (Hidden)'!$C$2:$C$1048576,0),MATCH(AC$6,'Restaurant Base (Hidden)'!$A$1:$Z$1,0)),"")</f>
        <v/>
      </c>
      <c r="AD341" s="65" t="str">
        <f>+IFERROR(INDEX('Restaurant Base (Hidden)'!$A$2:$Z$1048576,MATCH($C341,'Restaurant Base (Hidden)'!$C$2:$C$1048576,0),MATCH(AD$6,'Restaurant Base (Hidden)'!$A$1:$Z$1,0)),"")</f>
        <v>60,10 %</v>
      </c>
      <c r="AE341" s="1">
        <f>+IFERROR(INDEX('Restaurant Base (Hidden)'!$A$2:$Z$1048576,MATCH($C341,'Restaurant Base (Hidden)'!$C$2:$C$1048576,0),MATCH(AE$6,'Restaurant Base (Hidden)'!$A$1:$Z$1,0)),"")</f>
        <v>1</v>
      </c>
      <c r="AF341" s="65" t="str">
        <f>+IFERROR(INDEX('Restaurant Base (Hidden)'!$A$2:$Z$1048576,MATCH($C341,'Restaurant Base (Hidden)'!$C$2:$C$1048576,0),MATCH(AF$6,'Restaurant Base (Hidden)'!$A$1:$Z$1,0)),"")</f>
        <v>76,10 %</v>
      </c>
      <c r="AG341" s="1">
        <f>+IFERROR(INDEX('Restaurant Base (Hidden)'!$A$2:$Z$1048576,MATCH($C341,'Restaurant Base (Hidden)'!$C$2:$C$1048576,0),MATCH(AG$6,'Restaurant Base (Hidden)'!$A$1:$Z$1,0)),"")</f>
        <v>2</v>
      </c>
    </row>
    <row r="342" spans="1:33" ht="16" customHeight="1" x14ac:dyDescent="0.4">
      <c r="A342" s="163" t="str">
        <f>IF('Restaurant Base (Hidden)'!A87=0,"", 'Restaurant Base (Hidden)'!A87)</f>
        <v>Sawyer Thornfield</v>
      </c>
      <c r="B342" s="163" t="str">
        <f>IF('Restaurant Base (Hidden)'!B87=0,"", 'Restaurant Base (Hidden)'!B87)</f>
        <v>Brightfield Dining</v>
      </c>
      <c r="C342" s="163" t="str">
        <f>IF('Restaurant Base (Hidden)'!C87=0,"", 'Restaurant Base (Hidden)'!C87)</f>
        <v>Fox Plaza</v>
      </c>
      <c r="D342" s="104">
        <f t="shared" si="5"/>
        <v>336</v>
      </c>
      <c r="E342" s="105">
        <f>+IFERROR(INDEX('Restaurant Base (Hidden)'!$A$2:$Z$1048576,MATCH($C342,'Restaurant Base (Hidden)'!$C$2:$C$1048576,0),MATCH(E$6,'Restaurant Base (Hidden)'!$A$1:$Z$1,0)),"")</f>
        <v>2.56</v>
      </c>
      <c r="F342" s="2" t="str">
        <f>+IFERROR(INDEX('Restaurant Base (Hidden)'!$A$2:$Z$1048576,MATCH($C342,'Restaurant Base (Hidden)'!$C$2:$C$1048576,0),MATCH(F$6,'Restaurant Base (Hidden)'!$A$1:$Z$1,0)),"")</f>
        <v/>
      </c>
      <c r="G342" s="20" t="str">
        <f>+IFERROR(INDEX('Restaurant Base (Hidden)'!$A$2:$Z$1048576,MATCH($C342,'Restaurant Base (Hidden)'!$C$2:$C$1048576,0),MATCH(G$6,'Restaurant Base (Hidden)'!$A$1:$Z$1,0)),"")</f>
        <v>4,418</v>
      </c>
      <c r="H342" s="50">
        <f>+IFERROR(INDEX('Restaurant Base (Hidden)'!$A$2:$Z$1048576,MATCH($C342,'Restaurant Base (Hidden)'!$C$2:$C$1048576,0),MATCH(H$6,'Restaurant Base (Hidden)'!$A$1:$Z$1,0)),"")</f>
        <v>4</v>
      </c>
      <c r="I342" s="20" t="str">
        <f>+IFERROR(INDEX('Restaurant Base (Hidden)'!$A$2:$Z$1048576,MATCH($C342,'Restaurant Base (Hidden)'!$C$2:$C$1048576,0),MATCH(I$6,'Restaurant Base (Hidden)'!$A$1:$Z$1,0)),"")</f>
        <v>82,40 %</v>
      </c>
      <c r="J342" s="49">
        <f>+IFERROR(INDEX('Restaurant Base (Hidden)'!$A$2:$Z$1048576,MATCH($C342,'Restaurant Base (Hidden)'!$C$2:$C$1048576,0),MATCH(J$6,'Restaurant Base (Hidden)'!$A$1:$Z$1,0)),"")</f>
        <v>2</v>
      </c>
      <c r="K342" s="20" t="str">
        <f>+IFERROR(INDEX('Restaurant Base (Hidden)'!$A$2:$Z$1048576,MATCH($C342,'Restaurant Base (Hidden)'!$C$2:$C$1048576,0),MATCH(K$6,'Restaurant Base (Hidden)'!$A$1:$Z$1,0)),"")</f>
        <v>0,177</v>
      </c>
      <c r="L342" s="51">
        <f>+IFERROR(INDEX('Restaurant Base (Hidden)'!$A$2:$Z$1048576,MATCH($C342,'Restaurant Base (Hidden)'!$C$2:$C$1048576,0),MATCH(L$6,'Restaurant Base (Hidden)'!$A$1:$Z$1,0)),"")</f>
        <v>2</v>
      </c>
      <c r="M342" s="2" t="str">
        <f>+IFERROR(INDEX('Restaurant Base (Hidden)'!$A$2:$Z$1048576,MATCH($C342,'Restaurant Base (Hidden)'!$C$2:$C$1048576,0),MATCH(M$6,'Restaurant Base (Hidden)'!$A$1:$Z$1,0)),"")</f>
        <v/>
      </c>
      <c r="N342" s="234" t="str">
        <f>+IFERROR(INDEX('Restaurant Base (Hidden)'!$A$2:$Z$1048576,MATCH($C342,'Restaurant Base (Hidden)'!$C$2:$C$1048576,0),MATCH(N$6,'Restaurant Base (Hidden)'!$A$1:$Z$1,0)),"")</f>
        <v>80,20 %</v>
      </c>
      <c r="O342" s="1">
        <f>+IFERROR(INDEX('Restaurant Base (Hidden)'!$A$2:$Z$1048576,MATCH($C342,'Restaurant Base (Hidden)'!$C$2:$C$1048576,0),MATCH(O$6,'Restaurant Base (Hidden)'!$A$1:$Z$1,0)),"")</f>
        <v>5</v>
      </c>
      <c r="P342" s="2" t="str">
        <f>+IFERROR(INDEX('Restaurant Base (Hidden)'!$A$2:$Z$1048576,MATCH($C342,'Restaurant Base (Hidden)'!$C$2:$C$1048576,0),MATCH(P$6,'Restaurant Base (Hidden)'!$A$1:$Z$1,0)),"")</f>
        <v/>
      </c>
      <c r="Q342" s="234" t="str">
        <f>+IFERROR(INDEX('Restaurant Base (Hidden)'!$A$2:$Z$1048576,MATCH($C342,'Restaurant Base (Hidden)'!$C$2:$C$1048576,0),MATCH(Q$6,'Restaurant Base (Hidden)'!$A$1:$Z$1,0)),"")</f>
        <v>55,10 %</v>
      </c>
      <c r="R342" s="1">
        <f>+IFERROR(INDEX('Restaurant Base (Hidden)'!$A$2:$Z$1048576,MATCH($C342,'Restaurant Base (Hidden)'!$C$2:$C$1048576,0),MATCH(R$6,'Restaurant Base (Hidden)'!$A$1:$Z$1,0)),"")</f>
        <v>1</v>
      </c>
      <c r="S342" s="2" t="str">
        <f>+IFERROR(INDEX('Restaurant Base (Hidden)'!$A$2:$Z$1048576,MATCH($C342,'Restaurant Base (Hidden)'!$C$2:$C$1048576,0),MATCH(S$6,'Restaurant Base (Hidden)'!$A$1:$Z$1,0)),"")</f>
        <v/>
      </c>
      <c r="T342" s="62">
        <f>+IFERROR(INDEX('Restaurant Base (Hidden)'!$A$2:$Z$1048576,MATCH($C342,'Restaurant Base (Hidden)'!$C$2:$C$1048576,0),MATCH(T$6,'Restaurant Base (Hidden)'!$A$1:$Z$1,0)),"")</f>
        <v>66</v>
      </c>
      <c r="U342" s="1">
        <f>+IFERROR(INDEX('Restaurant Base (Hidden)'!$A$2:$Z$1048576,MATCH($C342,'Restaurant Base (Hidden)'!$C$2:$C$1048576,0),MATCH(U$6,'Restaurant Base (Hidden)'!$A$1:$Z$1,0)),"")</f>
        <v>4</v>
      </c>
      <c r="V342" s="2" t="str">
        <f>+IFERROR(INDEX('Restaurant Base (Hidden)'!$A$2:$Z$1048576,MATCH($C342,'Restaurant Base (Hidden)'!$C$2:$C$1048576,0),MATCH(V$6,'Restaurant Base (Hidden)'!$A$1:$Z$1,0)),"")</f>
        <v/>
      </c>
      <c r="W342" s="65" t="str">
        <f>+IFERROR(INDEX('Restaurant Base (Hidden)'!$A$2:$Z$1048576,MATCH($C342,'Restaurant Base (Hidden)'!$C$2:$C$1048576,0),MATCH(W$6,'Restaurant Base (Hidden)'!$A$1:$Z$1,0)),"")</f>
        <v>85,00 %</v>
      </c>
      <c r="X342" s="1">
        <f>+IFERROR(INDEX('Restaurant Base (Hidden)'!$A$2:$Z$1048576,MATCH($C342,'Restaurant Base (Hidden)'!$C$2:$C$1048576,0),MATCH(X$6,'Restaurant Base (Hidden)'!$A$1:$Z$1,0)),"")</f>
        <v>3</v>
      </c>
      <c r="Y342" s="65" t="str">
        <f>+IFERROR(INDEX('Restaurant Base (Hidden)'!$A$2:$Z$1048576,MATCH($C342,'Restaurant Base (Hidden)'!$C$2:$C$1048576,0),MATCH(Y$6,'Restaurant Base (Hidden)'!$A$1:$Z$1,0)),"")</f>
        <v>58,90 %</v>
      </c>
      <c r="Z342" s="106">
        <f>+IFERROR(INDEX('Restaurant Base (Hidden)'!$A$2:$Z$1048576,MATCH($C342,'Restaurant Base (Hidden)'!$C$2:$C$1048576,0),MATCH(Z$6,'Restaurant Base (Hidden)'!$A$1:$Z$1,0)),"")</f>
        <v>1</v>
      </c>
      <c r="AA342" s="65" t="str">
        <f>+IFERROR(INDEX('Restaurant Base (Hidden)'!$A$2:$Z$1048576,MATCH($C342,'Restaurant Base (Hidden)'!$C$2:$C$1048576,0),MATCH(AA$6,'Restaurant Base (Hidden)'!$A$1:$Z$1,0)),"")</f>
        <v>61,00 %</v>
      </c>
      <c r="AB342" s="1">
        <f>+IFERROR(INDEX('Restaurant Base (Hidden)'!$A$2:$Z$1048576,MATCH($C342,'Restaurant Base (Hidden)'!$C$2:$C$1048576,0),MATCH(AB$6,'Restaurant Base (Hidden)'!$A$1:$Z$1,0)),"")</f>
        <v>2</v>
      </c>
      <c r="AC342" s="20" t="str">
        <f>+IFERROR(INDEX('Restaurant Base (Hidden)'!$A$2:$Z$1048576,MATCH($C342,'Restaurant Base (Hidden)'!$C$2:$C$1048576,0),MATCH(AC$6,'Restaurant Base (Hidden)'!$A$1:$Z$1,0)),"")</f>
        <v/>
      </c>
      <c r="AD342" s="65" t="str">
        <f>+IFERROR(INDEX('Restaurant Base (Hidden)'!$A$2:$Z$1048576,MATCH($C342,'Restaurant Base (Hidden)'!$C$2:$C$1048576,0),MATCH(AD$6,'Restaurant Base (Hidden)'!$A$1:$Z$1,0)),"")</f>
        <v>79,20 %</v>
      </c>
      <c r="AE342" s="1">
        <f>+IFERROR(INDEX('Restaurant Base (Hidden)'!$A$2:$Z$1048576,MATCH($C342,'Restaurant Base (Hidden)'!$C$2:$C$1048576,0),MATCH(AE$6,'Restaurant Base (Hidden)'!$A$1:$Z$1,0)),"")</f>
        <v>2</v>
      </c>
      <c r="AF342" s="65" t="str">
        <f>+IFERROR(INDEX('Restaurant Base (Hidden)'!$A$2:$Z$1048576,MATCH($C342,'Restaurant Base (Hidden)'!$C$2:$C$1048576,0),MATCH(AF$6,'Restaurant Base (Hidden)'!$A$1:$Z$1,0)),"")</f>
        <v>65,10 %</v>
      </c>
      <c r="AG342" s="1">
        <f>+IFERROR(INDEX('Restaurant Base (Hidden)'!$A$2:$Z$1048576,MATCH($C342,'Restaurant Base (Hidden)'!$C$2:$C$1048576,0),MATCH(AG$6,'Restaurant Base (Hidden)'!$A$1:$Z$1,0)),"")</f>
        <v>1</v>
      </c>
    </row>
    <row r="343" spans="1:33" ht="16" customHeight="1" x14ac:dyDescent="0.4">
      <c r="A343" s="163" t="str">
        <f>IF('Restaurant Base (Hidden)'!A107=0,"", 'Restaurant Base (Hidden)'!A107)</f>
        <v>Rowan Kingsley</v>
      </c>
      <c r="B343" s="163" t="str">
        <f>IF('Restaurant Base (Hidden)'!B107=0,"", 'Restaurant Base (Hidden)'!B107)</f>
        <v>Meadowgate Hospitality</v>
      </c>
      <c r="C343" s="163" t="str">
        <f>IF('Restaurant Base (Hidden)'!C107=0,"", 'Restaurant Base (Hidden)'!C107)</f>
        <v>Hilltop Walk</v>
      </c>
      <c r="D343" s="104">
        <f t="shared" si="5"/>
        <v>336</v>
      </c>
      <c r="E343" s="105">
        <f>+IFERROR(INDEX('Restaurant Base (Hidden)'!$A$2:$Z$1048576,MATCH($C343,'Restaurant Base (Hidden)'!$C$2:$C$1048576,0),MATCH(E$6,'Restaurant Base (Hidden)'!$A$1:$Z$1,0)),"")</f>
        <v>2.56</v>
      </c>
      <c r="F343" s="2" t="str">
        <f>+IFERROR(INDEX('Restaurant Base (Hidden)'!$A$2:$Z$1048576,MATCH($C343,'Restaurant Base (Hidden)'!$C$2:$C$1048576,0),MATCH(F$6,'Restaurant Base (Hidden)'!$A$1:$Z$1,0)),"")</f>
        <v/>
      </c>
      <c r="G343" s="20" t="str">
        <f>+IFERROR(INDEX('Restaurant Base (Hidden)'!$A$2:$Z$1048576,MATCH($C343,'Restaurant Base (Hidden)'!$C$2:$C$1048576,0),MATCH(G$6,'Restaurant Base (Hidden)'!$A$1:$Z$1,0)),"")</f>
        <v>4,222</v>
      </c>
      <c r="H343" s="50">
        <f>+IFERROR(INDEX('Restaurant Base (Hidden)'!$A$2:$Z$1048576,MATCH($C343,'Restaurant Base (Hidden)'!$C$2:$C$1048576,0),MATCH(H$6,'Restaurant Base (Hidden)'!$A$1:$Z$1,0)),"")</f>
        <v>3</v>
      </c>
      <c r="I343" s="20" t="str">
        <f>+IFERROR(INDEX('Restaurant Base (Hidden)'!$A$2:$Z$1048576,MATCH($C343,'Restaurant Base (Hidden)'!$C$2:$C$1048576,0),MATCH(I$6,'Restaurant Base (Hidden)'!$A$1:$Z$1,0)),"")</f>
        <v>65,90 %</v>
      </c>
      <c r="J343" s="49">
        <f>+IFERROR(INDEX('Restaurant Base (Hidden)'!$A$2:$Z$1048576,MATCH($C343,'Restaurant Base (Hidden)'!$C$2:$C$1048576,0),MATCH(J$6,'Restaurant Base (Hidden)'!$A$1:$Z$1,0)),"")</f>
        <v>1</v>
      </c>
      <c r="K343" s="20" t="str">
        <f>+IFERROR(INDEX('Restaurant Base (Hidden)'!$A$2:$Z$1048576,MATCH($C343,'Restaurant Base (Hidden)'!$C$2:$C$1048576,0),MATCH(K$6,'Restaurant Base (Hidden)'!$A$1:$Z$1,0)),"")</f>
        <v>0,192</v>
      </c>
      <c r="L343" s="51">
        <f>+IFERROR(INDEX('Restaurant Base (Hidden)'!$A$2:$Z$1048576,MATCH($C343,'Restaurant Base (Hidden)'!$C$2:$C$1048576,0),MATCH(L$6,'Restaurant Base (Hidden)'!$A$1:$Z$1,0)),"")</f>
        <v>1</v>
      </c>
      <c r="M343" s="2" t="str">
        <f>+IFERROR(INDEX('Restaurant Base (Hidden)'!$A$2:$Z$1048576,MATCH($C343,'Restaurant Base (Hidden)'!$C$2:$C$1048576,0),MATCH(M$6,'Restaurant Base (Hidden)'!$A$1:$Z$1,0)),"")</f>
        <v/>
      </c>
      <c r="N343" s="234" t="str">
        <f>+IFERROR(INDEX('Restaurant Base (Hidden)'!$A$2:$Z$1048576,MATCH($C343,'Restaurant Base (Hidden)'!$C$2:$C$1048576,0),MATCH(N$6,'Restaurant Base (Hidden)'!$A$1:$Z$1,0)),"")</f>
        <v>72,70 %</v>
      </c>
      <c r="O343" s="1">
        <f>+IFERROR(INDEX('Restaurant Base (Hidden)'!$A$2:$Z$1048576,MATCH($C343,'Restaurant Base (Hidden)'!$C$2:$C$1048576,0),MATCH(O$6,'Restaurant Base (Hidden)'!$A$1:$Z$1,0)),"")</f>
        <v>5</v>
      </c>
      <c r="P343" s="2" t="str">
        <f>+IFERROR(INDEX('Restaurant Base (Hidden)'!$A$2:$Z$1048576,MATCH($C343,'Restaurant Base (Hidden)'!$C$2:$C$1048576,0),MATCH(P$6,'Restaurant Base (Hidden)'!$A$1:$Z$1,0)),"")</f>
        <v/>
      </c>
      <c r="Q343" s="234" t="str">
        <f>+IFERROR(INDEX('Restaurant Base (Hidden)'!$A$2:$Z$1048576,MATCH($C343,'Restaurant Base (Hidden)'!$C$2:$C$1048576,0),MATCH(Q$6,'Restaurant Base (Hidden)'!$A$1:$Z$1,0)),"")</f>
        <v>96,20 %</v>
      </c>
      <c r="R343" s="1">
        <f>+IFERROR(INDEX('Restaurant Base (Hidden)'!$A$2:$Z$1048576,MATCH($C343,'Restaurant Base (Hidden)'!$C$2:$C$1048576,0),MATCH(R$6,'Restaurant Base (Hidden)'!$A$1:$Z$1,0)),"")</f>
        <v>5</v>
      </c>
      <c r="S343" s="2" t="str">
        <f>+IFERROR(INDEX('Restaurant Base (Hidden)'!$A$2:$Z$1048576,MATCH($C343,'Restaurant Base (Hidden)'!$C$2:$C$1048576,0),MATCH(S$6,'Restaurant Base (Hidden)'!$A$1:$Z$1,0)),"")</f>
        <v/>
      </c>
      <c r="T343" s="62">
        <f>+IFERROR(INDEX('Restaurant Base (Hidden)'!$A$2:$Z$1048576,MATCH($C343,'Restaurant Base (Hidden)'!$C$2:$C$1048576,0),MATCH(T$6,'Restaurant Base (Hidden)'!$A$1:$Z$1,0)),"")</f>
        <v>57.5</v>
      </c>
      <c r="U343" s="1">
        <f>+IFERROR(INDEX('Restaurant Base (Hidden)'!$A$2:$Z$1048576,MATCH($C343,'Restaurant Base (Hidden)'!$C$2:$C$1048576,0),MATCH(U$6,'Restaurant Base (Hidden)'!$A$1:$Z$1,0)),"")</f>
        <v>2</v>
      </c>
      <c r="V343" s="2" t="str">
        <f>+IFERROR(INDEX('Restaurant Base (Hidden)'!$A$2:$Z$1048576,MATCH($C343,'Restaurant Base (Hidden)'!$C$2:$C$1048576,0),MATCH(V$6,'Restaurant Base (Hidden)'!$A$1:$Z$1,0)),"")</f>
        <v/>
      </c>
      <c r="W343" s="65" t="str">
        <f>+IFERROR(INDEX('Restaurant Base (Hidden)'!$A$2:$Z$1048576,MATCH($C343,'Restaurant Base (Hidden)'!$C$2:$C$1048576,0),MATCH(W$6,'Restaurant Base (Hidden)'!$A$1:$Z$1,0)),"")</f>
        <v>56,50 %</v>
      </c>
      <c r="X343" s="1">
        <f>+IFERROR(INDEX('Restaurant Base (Hidden)'!$A$2:$Z$1048576,MATCH($C343,'Restaurant Base (Hidden)'!$C$2:$C$1048576,0),MATCH(X$6,'Restaurant Base (Hidden)'!$A$1:$Z$1,0)),"")</f>
        <v>1</v>
      </c>
      <c r="Y343" s="65" t="str">
        <f>+IFERROR(INDEX('Restaurant Base (Hidden)'!$A$2:$Z$1048576,MATCH($C343,'Restaurant Base (Hidden)'!$C$2:$C$1048576,0),MATCH(Y$6,'Restaurant Base (Hidden)'!$A$1:$Z$1,0)),"")</f>
        <v>79,80 %</v>
      </c>
      <c r="Z343" s="106">
        <f>+IFERROR(INDEX('Restaurant Base (Hidden)'!$A$2:$Z$1048576,MATCH($C343,'Restaurant Base (Hidden)'!$C$2:$C$1048576,0),MATCH(Z$6,'Restaurant Base (Hidden)'!$A$1:$Z$1,0)),"")</f>
        <v>2</v>
      </c>
      <c r="AA343" s="65" t="str">
        <f>+IFERROR(INDEX('Restaurant Base (Hidden)'!$A$2:$Z$1048576,MATCH($C343,'Restaurant Base (Hidden)'!$C$2:$C$1048576,0),MATCH(AA$6,'Restaurant Base (Hidden)'!$A$1:$Z$1,0)),"")</f>
        <v>91,60 %</v>
      </c>
      <c r="AB343" s="1">
        <f>+IFERROR(INDEX('Restaurant Base (Hidden)'!$A$2:$Z$1048576,MATCH($C343,'Restaurant Base (Hidden)'!$C$2:$C$1048576,0),MATCH(AB$6,'Restaurant Base (Hidden)'!$A$1:$Z$1,0)),"")</f>
        <v>3</v>
      </c>
      <c r="AC343" s="20" t="str">
        <f>+IFERROR(INDEX('Restaurant Base (Hidden)'!$A$2:$Z$1048576,MATCH($C343,'Restaurant Base (Hidden)'!$C$2:$C$1048576,0),MATCH(AC$6,'Restaurant Base (Hidden)'!$A$1:$Z$1,0)),"")</f>
        <v/>
      </c>
      <c r="AD343" s="65" t="str">
        <f>+IFERROR(INDEX('Restaurant Base (Hidden)'!$A$2:$Z$1048576,MATCH($C343,'Restaurant Base (Hidden)'!$C$2:$C$1048576,0),MATCH(AD$6,'Restaurant Base (Hidden)'!$A$1:$Z$1,0)),"")</f>
        <v>62,80 %</v>
      </c>
      <c r="AE343" s="1">
        <f>+IFERROR(INDEX('Restaurant Base (Hidden)'!$A$2:$Z$1048576,MATCH($C343,'Restaurant Base (Hidden)'!$C$2:$C$1048576,0),MATCH(AE$6,'Restaurant Base (Hidden)'!$A$1:$Z$1,0)),"")</f>
        <v>1</v>
      </c>
      <c r="AF343" s="65" t="str">
        <f>+IFERROR(INDEX('Restaurant Base (Hidden)'!$A$2:$Z$1048576,MATCH($C343,'Restaurant Base (Hidden)'!$C$2:$C$1048576,0),MATCH(AF$6,'Restaurant Base (Hidden)'!$A$1:$Z$1,0)),"")</f>
        <v>73,70 %</v>
      </c>
      <c r="AG343" s="1">
        <f>+IFERROR(INDEX('Restaurant Base (Hidden)'!$A$2:$Z$1048576,MATCH($C343,'Restaurant Base (Hidden)'!$C$2:$C$1048576,0),MATCH(AG$6,'Restaurant Base (Hidden)'!$A$1:$Z$1,0)),"")</f>
        <v>1</v>
      </c>
    </row>
    <row r="344" spans="1:33" ht="16" customHeight="1" x14ac:dyDescent="0.4">
      <c r="A344" s="163" t="str">
        <f>IF('Restaurant Base (Hidden)'!A327=0,"", 'Restaurant Base (Hidden)'!A327)</f>
        <v>Finley Kensington</v>
      </c>
      <c r="B344" s="163" t="str">
        <f>IF('Restaurant Base (Hidden)'!B327=0,"", 'Restaurant Base (Hidden)'!B327)</f>
        <v>Brightfield Dining</v>
      </c>
      <c r="C344" s="163" t="str">
        <f>IF('Restaurant Base (Hidden)'!C327=0,"", 'Restaurant Base (Hidden)'!C327)</f>
        <v>Northern Hollow</v>
      </c>
      <c r="D344" s="104">
        <f t="shared" si="5"/>
        <v>336</v>
      </c>
      <c r="E344" s="105">
        <f>+IFERROR(INDEX('Restaurant Base (Hidden)'!$A$2:$Z$1048576,MATCH($C344,'Restaurant Base (Hidden)'!$C$2:$C$1048576,0),MATCH(E$6,'Restaurant Base (Hidden)'!$A$1:$Z$1,0)),"")</f>
        <v>2.56</v>
      </c>
      <c r="F344" s="2" t="str">
        <f>+IFERROR(INDEX('Restaurant Base (Hidden)'!$A$2:$Z$1048576,MATCH($C344,'Restaurant Base (Hidden)'!$C$2:$C$1048576,0),MATCH(F$6,'Restaurant Base (Hidden)'!$A$1:$Z$1,0)),"")</f>
        <v/>
      </c>
      <c r="G344" s="20" t="str">
        <f>+IFERROR(INDEX('Restaurant Base (Hidden)'!$A$2:$Z$1048576,MATCH($C344,'Restaurant Base (Hidden)'!$C$2:$C$1048576,0),MATCH(G$6,'Restaurant Base (Hidden)'!$A$1:$Z$1,0)),"")</f>
        <v>4,183</v>
      </c>
      <c r="H344" s="50">
        <f>+IFERROR(INDEX('Restaurant Base (Hidden)'!$A$2:$Z$1048576,MATCH($C344,'Restaurant Base (Hidden)'!$C$2:$C$1048576,0),MATCH(H$6,'Restaurant Base (Hidden)'!$A$1:$Z$1,0)),"")</f>
        <v>2</v>
      </c>
      <c r="I344" s="20" t="str">
        <f>+IFERROR(INDEX('Restaurant Base (Hidden)'!$A$2:$Z$1048576,MATCH($C344,'Restaurant Base (Hidden)'!$C$2:$C$1048576,0),MATCH(I$6,'Restaurant Base (Hidden)'!$A$1:$Z$1,0)),"")</f>
        <v>58,80 %</v>
      </c>
      <c r="J344" s="49">
        <f>+IFERROR(INDEX('Restaurant Base (Hidden)'!$A$2:$Z$1048576,MATCH($C344,'Restaurant Base (Hidden)'!$C$2:$C$1048576,0),MATCH(J$6,'Restaurant Base (Hidden)'!$A$1:$Z$1,0)),"")</f>
        <v>1</v>
      </c>
      <c r="K344" s="20" t="str">
        <f>+IFERROR(INDEX('Restaurant Base (Hidden)'!$A$2:$Z$1048576,MATCH($C344,'Restaurant Base (Hidden)'!$C$2:$C$1048576,0),MATCH(K$6,'Restaurant Base (Hidden)'!$A$1:$Z$1,0)),"")</f>
        <v>0,052</v>
      </c>
      <c r="L344" s="51">
        <f>+IFERROR(INDEX('Restaurant Base (Hidden)'!$A$2:$Z$1048576,MATCH($C344,'Restaurant Base (Hidden)'!$C$2:$C$1048576,0),MATCH(L$6,'Restaurant Base (Hidden)'!$A$1:$Z$1,0)),"")</f>
        <v>5</v>
      </c>
      <c r="M344" s="2" t="str">
        <f>+IFERROR(INDEX('Restaurant Base (Hidden)'!$A$2:$Z$1048576,MATCH($C344,'Restaurant Base (Hidden)'!$C$2:$C$1048576,0),MATCH(M$6,'Restaurant Base (Hidden)'!$A$1:$Z$1,0)),"")</f>
        <v/>
      </c>
      <c r="N344" s="234" t="str">
        <f>+IFERROR(INDEX('Restaurant Base (Hidden)'!$A$2:$Z$1048576,MATCH($C344,'Restaurant Base (Hidden)'!$C$2:$C$1048576,0),MATCH(N$6,'Restaurant Base (Hidden)'!$A$1:$Z$1,0)),"")</f>
        <v>64,20 %</v>
      </c>
      <c r="O344" s="1">
        <f>+IFERROR(INDEX('Restaurant Base (Hidden)'!$A$2:$Z$1048576,MATCH($C344,'Restaurant Base (Hidden)'!$C$2:$C$1048576,0),MATCH(O$6,'Restaurant Base (Hidden)'!$A$1:$Z$1,0)),"")</f>
        <v>3</v>
      </c>
      <c r="P344" s="2" t="str">
        <f>+IFERROR(INDEX('Restaurant Base (Hidden)'!$A$2:$Z$1048576,MATCH($C344,'Restaurant Base (Hidden)'!$C$2:$C$1048576,0),MATCH(P$6,'Restaurant Base (Hidden)'!$A$1:$Z$1,0)),"")</f>
        <v/>
      </c>
      <c r="Q344" s="234" t="str">
        <f>+IFERROR(INDEX('Restaurant Base (Hidden)'!$A$2:$Z$1048576,MATCH($C344,'Restaurant Base (Hidden)'!$C$2:$C$1048576,0),MATCH(Q$6,'Restaurant Base (Hidden)'!$A$1:$Z$1,0)),"")</f>
        <v>66,50 %</v>
      </c>
      <c r="R344" s="1">
        <f>+IFERROR(INDEX('Restaurant Base (Hidden)'!$A$2:$Z$1048576,MATCH($C344,'Restaurant Base (Hidden)'!$C$2:$C$1048576,0),MATCH(R$6,'Restaurant Base (Hidden)'!$A$1:$Z$1,0)),"")</f>
        <v>3</v>
      </c>
      <c r="S344" s="2" t="str">
        <f>+IFERROR(INDEX('Restaurant Base (Hidden)'!$A$2:$Z$1048576,MATCH($C344,'Restaurant Base (Hidden)'!$C$2:$C$1048576,0),MATCH(S$6,'Restaurant Base (Hidden)'!$A$1:$Z$1,0)),"")</f>
        <v/>
      </c>
      <c r="T344" s="62">
        <f>+IFERROR(INDEX('Restaurant Base (Hidden)'!$A$2:$Z$1048576,MATCH($C344,'Restaurant Base (Hidden)'!$C$2:$C$1048576,0),MATCH(T$6,'Restaurant Base (Hidden)'!$A$1:$Z$1,0)),"")</f>
        <v>60.8</v>
      </c>
      <c r="U344" s="1">
        <f>+IFERROR(INDEX('Restaurant Base (Hidden)'!$A$2:$Z$1048576,MATCH($C344,'Restaurant Base (Hidden)'!$C$2:$C$1048576,0),MATCH(U$6,'Restaurant Base (Hidden)'!$A$1:$Z$1,0)),"")</f>
        <v>2</v>
      </c>
      <c r="V344" s="2" t="str">
        <f>+IFERROR(INDEX('Restaurant Base (Hidden)'!$A$2:$Z$1048576,MATCH($C344,'Restaurant Base (Hidden)'!$C$2:$C$1048576,0),MATCH(V$6,'Restaurant Base (Hidden)'!$A$1:$Z$1,0)),"")</f>
        <v/>
      </c>
      <c r="W344" s="65" t="str">
        <f>+IFERROR(INDEX('Restaurant Base (Hidden)'!$A$2:$Z$1048576,MATCH($C344,'Restaurant Base (Hidden)'!$C$2:$C$1048576,0),MATCH(W$6,'Restaurant Base (Hidden)'!$A$1:$Z$1,0)),"")</f>
        <v>97,70 %</v>
      </c>
      <c r="X344" s="1">
        <f>+IFERROR(INDEX('Restaurant Base (Hidden)'!$A$2:$Z$1048576,MATCH($C344,'Restaurant Base (Hidden)'!$C$2:$C$1048576,0),MATCH(X$6,'Restaurant Base (Hidden)'!$A$1:$Z$1,0)),"")</f>
        <v>5</v>
      </c>
      <c r="Y344" s="65" t="str">
        <f>+IFERROR(INDEX('Restaurant Base (Hidden)'!$A$2:$Z$1048576,MATCH($C344,'Restaurant Base (Hidden)'!$C$2:$C$1048576,0),MATCH(Y$6,'Restaurant Base (Hidden)'!$A$1:$Z$1,0)),"")</f>
        <v>67,30 %</v>
      </c>
      <c r="Z344" s="106">
        <f>+IFERROR(INDEX('Restaurant Base (Hidden)'!$A$2:$Z$1048576,MATCH($C344,'Restaurant Base (Hidden)'!$C$2:$C$1048576,0),MATCH(Z$6,'Restaurant Base (Hidden)'!$A$1:$Z$1,0)),"")</f>
        <v>2</v>
      </c>
      <c r="AA344" s="65" t="str">
        <f>+IFERROR(INDEX('Restaurant Base (Hidden)'!$A$2:$Z$1048576,MATCH($C344,'Restaurant Base (Hidden)'!$C$2:$C$1048576,0),MATCH(AA$6,'Restaurant Base (Hidden)'!$A$1:$Z$1,0)),"")</f>
        <v>87,60 %</v>
      </c>
      <c r="AB344" s="1">
        <f>+IFERROR(INDEX('Restaurant Base (Hidden)'!$A$2:$Z$1048576,MATCH($C344,'Restaurant Base (Hidden)'!$C$2:$C$1048576,0),MATCH(AB$6,'Restaurant Base (Hidden)'!$A$1:$Z$1,0)),"")</f>
        <v>3</v>
      </c>
      <c r="AC344" s="20" t="str">
        <f>+IFERROR(INDEX('Restaurant Base (Hidden)'!$A$2:$Z$1048576,MATCH($C344,'Restaurant Base (Hidden)'!$C$2:$C$1048576,0),MATCH(AC$6,'Restaurant Base (Hidden)'!$A$1:$Z$1,0)),"")</f>
        <v/>
      </c>
      <c r="AD344" s="65" t="str">
        <f>+IFERROR(INDEX('Restaurant Base (Hidden)'!$A$2:$Z$1048576,MATCH($C344,'Restaurant Base (Hidden)'!$C$2:$C$1048576,0),MATCH(AD$6,'Restaurant Base (Hidden)'!$A$1:$Z$1,0)),"")</f>
        <v>70,60 %</v>
      </c>
      <c r="AE344" s="1">
        <f>+IFERROR(INDEX('Restaurant Base (Hidden)'!$A$2:$Z$1048576,MATCH($C344,'Restaurant Base (Hidden)'!$C$2:$C$1048576,0),MATCH(AE$6,'Restaurant Base (Hidden)'!$A$1:$Z$1,0)),"")</f>
        <v>1</v>
      </c>
      <c r="AF344" s="65" t="str">
        <f>+IFERROR(INDEX('Restaurant Base (Hidden)'!$A$2:$Z$1048576,MATCH($C344,'Restaurant Base (Hidden)'!$C$2:$C$1048576,0),MATCH(AF$6,'Restaurant Base (Hidden)'!$A$1:$Z$1,0)),"")</f>
        <v>85,20 %</v>
      </c>
      <c r="AG344" s="1">
        <f>+IFERROR(INDEX('Restaurant Base (Hidden)'!$A$2:$Z$1048576,MATCH($C344,'Restaurant Base (Hidden)'!$C$2:$C$1048576,0),MATCH(AG$6,'Restaurant Base (Hidden)'!$A$1:$Z$1,0)),"")</f>
        <v>3</v>
      </c>
    </row>
    <row r="345" spans="1:33" ht="16" customHeight="1" x14ac:dyDescent="0.4">
      <c r="A345" s="163" t="str">
        <f>IF('Restaurant Base (Hidden)'!A395=0,"", 'Restaurant Base (Hidden)'!A395)</f>
        <v>Reese Whitmore</v>
      </c>
      <c r="B345" s="163" t="str">
        <f>IF('Restaurant Base (Hidden)'!B395=0,"", 'Restaurant Base (Hidden)'!B395)</f>
        <v>Springwell Hospitality</v>
      </c>
      <c r="C345" s="163" t="str">
        <f>IF('Restaurant Base (Hidden)'!C395=0,"", 'Restaurant Base (Hidden)'!C395)</f>
        <v>Eastwood Pines</v>
      </c>
      <c r="D345" s="104">
        <f t="shared" si="5"/>
        <v>339</v>
      </c>
      <c r="E345" s="105">
        <f>+IFERROR(INDEX('Restaurant Base (Hidden)'!$A$2:$Z$1048576,MATCH($C345,'Restaurant Base (Hidden)'!$C$2:$C$1048576,0),MATCH(E$6,'Restaurant Base (Hidden)'!$A$1:$Z$1,0)),"")</f>
        <v>2.5499999999999998</v>
      </c>
      <c r="F345" s="2" t="str">
        <f>+IFERROR(INDEX('Restaurant Base (Hidden)'!$A$2:$Z$1048576,MATCH($C345,'Restaurant Base (Hidden)'!$C$2:$C$1048576,0),MATCH(F$6,'Restaurant Base (Hidden)'!$A$1:$Z$1,0)),"")</f>
        <v/>
      </c>
      <c r="G345" s="20" t="str">
        <f>+IFERROR(INDEX('Restaurant Base (Hidden)'!$A$2:$Z$1048576,MATCH($C345,'Restaurant Base (Hidden)'!$C$2:$C$1048576,0),MATCH(G$6,'Restaurant Base (Hidden)'!$A$1:$Z$1,0)),"")</f>
        <v>4,455</v>
      </c>
      <c r="H345" s="50">
        <f>+IFERROR(INDEX('Restaurant Base (Hidden)'!$A$2:$Z$1048576,MATCH($C345,'Restaurant Base (Hidden)'!$C$2:$C$1048576,0),MATCH(H$6,'Restaurant Base (Hidden)'!$A$1:$Z$1,0)),"")</f>
        <v>4</v>
      </c>
      <c r="I345" s="20" t="str">
        <f>+IFERROR(INDEX('Restaurant Base (Hidden)'!$A$2:$Z$1048576,MATCH($C345,'Restaurant Base (Hidden)'!$C$2:$C$1048576,0),MATCH(I$6,'Restaurant Base (Hidden)'!$A$1:$Z$1,0)),"")</f>
        <v>70,90 %</v>
      </c>
      <c r="J345" s="49">
        <f>+IFERROR(INDEX('Restaurant Base (Hidden)'!$A$2:$Z$1048576,MATCH($C345,'Restaurant Base (Hidden)'!$C$2:$C$1048576,0),MATCH(J$6,'Restaurant Base (Hidden)'!$A$1:$Z$1,0)),"")</f>
        <v>1</v>
      </c>
      <c r="K345" s="20" t="str">
        <f>+IFERROR(INDEX('Restaurant Base (Hidden)'!$A$2:$Z$1048576,MATCH($C345,'Restaurant Base (Hidden)'!$C$2:$C$1048576,0),MATCH(K$6,'Restaurant Base (Hidden)'!$A$1:$Z$1,0)),"")</f>
        <v>0,151</v>
      </c>
      <c r="L345" s="51">
        <f>+IFERROR(INDEX('Restaurant Base (Hidden)'!$A$2:$Z$1048576,MATCH($C345,'Restaurant Base (Hidden)'!$C$2:$C$1048576,0),MATCH(L$6,'Restaurant Base (Hidden)'!$A$1:$Z$1,0)),"")</f>
        <v>2</v>
      </c>
      <c r="M345" s="2" t="str">
        <f>+IFERROR(INDEX('Restaurant Base (Hidden)'!$A$2:$Z$1048576,MATCH($C345,'Restaurant Base (Hidden)'!$C$2:$C$1048576,0),MATCH(M$6,'Restaurant Base (Hidden)'!$A$1:$Z$1,0)),"")</f>
        <v/>
      </c>
      <c r="N345" s="234" t="str">
        <f>+IFERROR(INDEX('Restaurant Base (Hidden)'!$A$2:$Z$1048576,MATCH($C345,'Restaurant Base (Hidden)'!$C$2:$C$1048576,0),MATCH(N$6,'Restaurant Base (Hidden)'!$A$1:$Z$1,0)),"")</f>
        <v>58,20 %</v>
      </c>
      <c r="O345" s="1">
        <f>+IFERROR(INDEX('Restaurant Base (Hidden)'!$A$2:$Z$1048576,MATCH($C345,'Restaurant Base (Hidden)'!$C$2:$C$1048576,0),MATCH(O$6,'Restaurant Base (Hidden)'!$A$1:$Z$1,0)),"")</f>
        <v>1</v>
      </c>
      <c r="P345" s="2" t="str">
        <f>+IFERROR(INDEX('Restaurant Base (Hidden)'!$A$2:$Z$1048576,MATCH($C345,'Restaurant Base (Hidden)'!$C$2:$C$1048576,0),MATCH(P$6,'Restaurant Base (Hidden)'!$A$1:$Z$1,0)),"")</f>
        <v/>
      </c>
      <c r="Q345" s="234" t="str">
        <f>+IFERROR(INDEX('Restaurant Base (Hidden)'!$A$2:$Z$1048576,MATCH($C345,'Restaurant Base (Hidden)'!$C$2:$C$1048576,0),MATCH(Q$6,'Restaurant Base (Hidden)'!$A$1:$Z$1,0)),"")</f>
        <v>65,10 %</v>
      </c>
      <c r="R345" s="1">
        <f>+IFERROR(INDEX('Restaurant Base (Hidden)'!$A$2:$Z$1048576,MATCH($C345,'Restaurant Base (Hidden)'!$C$2:$C$1048576,0),MATCH(R$6,'Restaurant Base (Hidden)'!$A$1:$Z$1,0)),"")</f>
        <v>3</v>
      </c>
      <c r="S345" s="2" t="str">
        <f>+IFERROR(INDEX('Restaurant Base (Hidden)'!$A$2:$Z$1048576,MATCH($C345,'Restaurant Base (Hidden)'!$C$2:$C$1048576,0),MATCH(S$6,'Restaurant Base (Hidden)'!$A$1:$Z$1,0)),"")</f>
        <v/>
      </c>
      <c r="T345" s="62">
        <f>+IFERROR(INDEX('Restaurant Base (Hidden)'!$A$2:$Z$1048576,MATCH($C345,'Restaurant Base (Hidden)'!$C$2:$C$1048576,0),MATCH(T$6,'Restaurant Base (Hidden)'!$A$1:$Z$1,0)),"")</f>
        <v>76.400000000000006</v>
      </c>
      <c r="U345" s="1">
        <f>+IFERROR(INDEX('Restaurant Base (Hidden)'!$A$2:$Z$1048576,MATCH($C345,'Restaurant Base (Hidden)'!$C$2:$C$1048576,0),MATCH(U$6,'Restaurant Base (Hidden)'!$A$1:$Z$1,0)),"")</f>
        <v>5</v>
      </c>
      <c r="V345" s="2" t="str">
        <f>+IFERROR(INDEX('Restaurant Base (Hidden)'!$A$2:$Z$1048576,MATCH($C345,'Restaurant Base (Hidden)'!$C$2:$C$1048576,0),MATCH(V$6,'Restaurant Base (Hidden)'!$A$1:$Z$1,0)),"")</f>
        <v/>
      </c>
      <c r="W345" s="65" t="str">
        <f>+IFERROR(INDEX('Restaurant Base (Hidden)'!$A$2:$Z$1048576,MATCH($C345,'Restaurant Base (Hidden)'!$C$2:$C$1048576,0),MATCH(W$6,'Restaurant Base (Hidden)'!$A$1:$Z$1,0)),"")</f>
        <v>60,90 %</v>
      </c>
      <c r="X345" s="1">
        <f>+IFERROR(INDEX('Restaurant Base (Hidden)'!$A$2:$Z$1048576,MATCH($C345,'Restaurant Base (Hidden)'!$C$2:$C$1048576,0),MATCH(X$6,'Restaurant Base (Hidden)'!$A$1:$Z$1,0)),"")</f>
        <v>2</v>
      </c>
      <c r="Y345" s="65" t="str">
        <f>+IFERROR(INDEX('Restaurant Base (Hidden)'!$A$2:$Z$1048576,MATCH($C345,'Restaurant Base (Hidden)'!$C$2:$C$1048576,0),MATCH(Y$6,'Restaurant Base (Hidden)'!$A$1:$Z$1,0)),"")</f>
        <v>61,60 %</v>
      </c>
      <c r="Z345" s="106">
        <f>+IFERROR(INDEX('Restaurant Base (Hidden)'!$A$2:$Z$1048576,MATCH($C345,'Restaurant Base (Hidden)'!$C$2:$C$1048576,0),MATCH(Z$6,'Restaurant Base (Hidden)'!$A$1:$Z$1,0)),"")</f>
        <v>2</v>
      </c>
      <c r="AA345" s="65" t="str">
        <f>+IFERROR(INDEX('Restaurant Base (Hidden)'!$A$2:$Z$1048576,MATCH($C345,'Restaurant Base (Hidden)'!$C$2:$C$1048576,0),MATCH(AA$6,'Restaurant Base (Hidden)'!$A$1:$Z$1,0)),"")</f>
        <v>61,60 %</v>
      </c>
      <c r="AB345" s="1">
        <f>+IFERROR(INDEX('Restaurant Base (Hidden)'!$A$2:$Z$1048576,MATCH($C345,'Restaurant Base (Hidden)'!$C$2:$C$1048576,0),MATCH(AB$6,'Restaurant Base (Hidden)'!$A$1:$Z$1,0)),"")</f>
        <v>2</v>
      </c>
      <c r="AC345" s="20" t="str">
        <f>+IFERROR(INDEX('Restaurant Base (Hidden)'!$A$2:$Z$1048576,MATCH($C345,'Restaurant Base (Hidden)'!$C$2:$C$1048576,0),MATCH(AC$6,'Restaurant Base (Hidden)'!$A$1:$Z$1,0)),"")</f>
        <v/>
      </c>
      <c r="AD345" s="65" t="str">
        <f>+IFERROR(INDEX('Restaurant Base (Hidden)'!$A$2:$Z$1048576,MATCH($C345,'Restaurant Base (Hidden)'!$C$2:$C$1048576,0),MATCH(AD$6,'Restaurant Base (Hidden)'!$A$1:$Z$1,0)),"")</f>
        <v>91,50 %</v>
      </c>
      <c r="AE345" s="1">
        <f>+IFERROR(INDEX('Restaurant Base (Hidden)'!$A$2:$Z$1048576,MATCH($C345,'Restaurant Base (Hidden)'!$C$2:$C$1048576,0),MATCH(AE$6,'Restaurant Base (Hidden)'!$A$1:$Z$1,0)),"")</f>
        <v>4</v>
      </c>
      <c r="AF345" s="65" t="str">
        <f>+IFERROR(INDEX('Restaurant Base (Hidden)'!$A$2:$Z$1048576,MATCH($C345,'Restaurant Base (Hidden)'!$C$2:$C$1048576,0),MATCH(AF$6,'Restaurant Base (Hidden)'!$A$1:$Z$1,0)),"")</f>
        <v>75,00 %</v>
      </c>
      <c r="AG345" s="1">
        <f>+IFERROR(INDEX('Restaurant Base (Hidden)'!$A$2:$Z$1048576,MATCH($C345,'Restaurant Base (Hidden)'!$C$2:$C$1048576,0),MATCH(AG$6,'Restaurant Base (Hidden)'!$A$1:$Z$1,0)),"")</f>
        <v>2</v>
      </c>
    </row>
    <row r="346" spans="1:33" ht="16" customHeight="1" x14ac:dyDescent="0.4">
      <c r="A346" s="163" t="str">
        <f>IF('Restaurant Base (Hidden)'!A174=0,"", 'Restaurant Base (Hidden)'!A174)</f>
        <v>Sawyer Thornfield</v>
      </c>
      <c r="B346" s="163" t="str">
        <f>IF('Restaurant Base (Hidden)'!B174=0,"", 'Restaurant Base (Hidden)'!B174)</f>
        <v>Stonebridge Restaurant Co</v>
      </c>
      <c r="C346" s="163" t="str">
        <f>IF('Restaurant Base (Hidden)'!C174=0,"", 'Restaurant Base (Hidden)'!C174)</f>
        <v>Sunset Court</v>
      </c>
      <c r="D346" s="104">
        <f t="shared" si="5"/>
        <v>340</v>
      </c>
      <c r="E346" s="105">
        <f>+IFERROR(INDEX('Restaurant Base (Hidden)'!$A$2:$Z$1048576,MATCH($C346,'Restaurant Base (Hidden)'!$C$2:$C$1048576,0),MATCH(E$6,'Restaurant Base (Hidden)'!$A$1:$Z$1,0)),"")</f>
        <v>2.5299999999999998</v>
      </c>
      <c r="F346" s="2" t="str">
        <f>+IFERROR(INDEX('Restaurant Base (Hidden)'!$A$2:$Z$1048576,MATCH($C346,'Restaurant Base (Hidden)'!$C$2:$C$1048576,0),MATCH(F$6,'Restaurant Base (Hidden)'!$A$1:$Z$1,0)),"")</f>
        <v/>
      </c>
      <c r="G346" s="20" t="str">
        <f>+IFERROR(INDEX('Restaurant Base (Hidden)'!$A$2:$Z$1048576,MATCH($C346,'Restaurant Base (Hidden)'!$C$2:$C$1048576,0),MATCH(G$6,'Restaurant Base (Hidden)'!$A$1:$Z$1,0)),"")</f>
        <v>4,199</v>
      </c>
      <c r="H346" s="50">
        <f>+IFERROR(INDEX('Restaurant Base (Hidden)'!$A$2:$Z$1048576,MATCH($C346,'Restaurant Base (Hidden)'!$C$2:$C$1048576,0),MATCH(H$6,'Restaurant Base (Hidden)'!$A$1:$Z$1,0)),"")</f>
        <v>2</v>
      </c>
      <c r="I346" s="20" t="str">
        <f>+IFERROR(INDEX('Restaurant Base (Hidden)'!$A$2:$Z$1048576,MATCH($C346,'Restaurant Base (Hidden)'!$C$2:$C$1048576,0),MATCH(I$6,'Restaurant Base (Hidden)'!$A$1:$Z$1,0)),"")</f>
        <v>80,70 %</v>
      </c>
      <c r="J346" s="49">
        <f>+IFERROR(INDEX('Restaurant Base (Hidden)'!$A$2:$Z$1048576,MATCH($C346,'Restaurant Base (Hidden)'!$C$2:$C$1048576,0),MATCH(J$6,'Restaurant Base (Hidden)'!$A$1:$Z$1,0)),"")</f>
        <v>2</v>
      </c>
      <c r="K346" s="20" t="str">
        <f>+IFERROR(INDEX('Restaurant Base (Hidden)'!$A$2:$Z$1048576,MATCH($C346,'Restaurant Base (Hidden)'!$C$2:$C$1048576,0),MATCH(K$6,'Restaurant Base (Hidden)'!$A$1:$Z$1,0)),"")</f>
        <v>0,117</v>
      </c>
      <c r="L346" s="51">
        <f>+IFERROR(INDEX('Restaurant Base (Hidden)'!$A$2:$Z$1048576,MATCH($C346,'Restaurant Base (Hidden)'!$C$2:$C$1048576,0),MATCH(L$6,'Restaurant Base (Hidden)'!$A$1:$Z$1,0)),"")</f>
        <v>3</v>
      </c>
      <c r="M346" s="2" t="str">
        <f>+IFERROR(INDEX('Restaurant Base (Hidden)'!$A$2:$Z$1048576,MATCH($C346,'Restaurant Base (Hidden)'!$C$2:$C$1048576,0),MATCH(M$6,'Restaurant Base (Hidden)'!$A$1:$Z$1,0)),"")</f>
        <v/>
      </c>
      <c r="N346" s="234" t="str">
        <f>+IFERROR(INDEX('Restaurant Base (Hidden)'!$A$2:$Z$1048576,MATCH($C346,'Restaurant Base (Hidden)'!$C$2:$C$1048576,0),MATCH(N$6,'Restaurant Base (Hidden)'!$A$1:$Z$1,0)),"")</f>
        <v>97,10 %</v>
      </c>
      <c r="O346" s="1">
        <f>+IFERROR(INDEX('Restaurant Base (Hidden)'!$A$2:$Z$1048576,MATCH($C346,'Restaurant Base (Hidden)'!$C$2:$C$1048576,0),MATCH(O$6,'Restaurant Base (Hidden)'!$A$1:$Z$1,0)),"")</f>
        <v>5</v>
      </c>
      <c r="P346" s="2" t="str">
        <f>+IFERROR(INDEX('Restaurant Base (Hidden)'!$A$2:$Z$1048576,MATCH($C346,'Restaurant Base (Hidden)'!$C$2:$C$1048576,0),MATCH(P$6,'Restaurant Base (Hidden)'!$A$1:$Z$1,0)),"")</f>
        <v/>
      </c>
      <c r="Q346" s="234" t="str">
        <f>+IFERROR(INDEX('Restaurant Base (Hidden)'!$A$2:$Z$1048576,MATCH($C346,'Restaurant Base (Hidden)'!$C$2:$C$1048576,0),MATCH(Q$6,'Restaurant Base (Hidden)'!$A$1:$Z$1,0)),"")</f>
        <v>59,90 %</v>
      </c>
      <c r="R346" s="1">
        <f>+IFERROR(INDEX('Restaurant Base (Hidden)'!$A$2:$Z$1048576,MATCH($C346,'Restaurant Base (Hidden)'!$C$2:$C$1048576,0),MATCH(R$6,'Restaurant Base (Hidden)'!$A$1:$Z$1,0)),"")</f>
        <v>1</v>
      </c>
      <c r="S346" s="2" t="str">
        <f>+IFERROR(INDEX('Restaurant Base (Hidden)'!$A$2:$Z$1048576,MATCH($C346,'Restaurant Base (Hidden)'!$C$2:$C$1048576,0),MATCH(S$6,'Restaurant Base (Hidden)'!$A$1:$Z$1,0)),"")</f>
        <v/>
      </c>
      <c r="T346" s="62">
        <f>+IFERROR(INDEX('Restaurant Base (Hidden)'!$A$2:$Z$1048576,MATCH($C346,'Restaurant Base (Hidden)'!$C$2:$C$1048576,0),MATCH(T$6,'Restaurant Base (Hidden)'!$A$1:$Z$1,0)),"")</f>
        <v>68.099999999999994</v>
      </c>
      <c r="U346" s="1">
        <f>+IFERROR(INDEX('Restaurant Base (Hidden)'!$A$2:$Z$1048576,MATCH($C346,'Restaurant Base (Hidden)'!$C$2:$C$1048576,0),MATCH(U$6,'Restaurant Base (Hidden)'!$A$1:$Z$1,0)),"")</f>
        <v>4</v>
      </c>
      <c r="V346" s="2" t="str">
        <f>+IFERROR(INDEX('Restaurant Base (Hidden)'!$A$2:$Z$1048576,MATCH($C346,'Restaurant Base (Hidden)'!$C$2:$C$1048576,0),MATCH(V$6,'Restaurant Base (Hidden)'!$A$1:$Z$1,0)),"")</f>
        <v/>
      </c>
      <c r="W346" s="65" t="str">
        <f>+IFERROR(INDEX('Restaurant Base (Hidden)'!$A$2:$Z$1048576,MATCH($C346,'Restaurant Base (Hidden)'!$C$2:$C$1048576,0),MATCH(W$6,'Restaurant Base (Hidden)'!$A$1:$Z$1,0)),"")</f>
        <v>57,90 %</v>
      </c>
      <c r="X346" s="1">
        <f>+IFERROR(INDEX('Restaurant Base (Hidden)'!$A$2:$Z$1048576,MATCH($C346,'Restaurant Base (Hidden)'!$C$2:$C$1048576,0),MATCH(X$6,'Restaurant Base (Hidden)'!$A$1:$Z$1,0)),"")</f>
        <v>1</v>
      </c>
      <c r="Y346" s="65" t="str">
        <f>+IFERROR(INDEX('Restaurant Base (Hidden)'!$A$2:$Z$1048576,MATCH($C346,'Restaurant Base (Hidden)'!$C$2:$C$1048576,0),MATCH(Y$6,'Restaurant Base (Hidden)'!$A$1:$Z$1,0)),"")</f>
        <v>59,40 %</v>
      </c>
      <c r="Z346" s="106">
        <f>+IFERROR(INDEX('Restaurant Base (Hidden)'!$A$2:$Z$1048576,MATCH($C346,'Restaurant Base (Hidden)'!$C$2:$C$1048576,0),MATCH(Z$6,'Restaurant Base (Hidden)'!$A$1:$Z$1,0)),"")</f>
        <v>1</v>
      </c>
      <c r="AA346" s="65" t="str">
        <f>+IFERROR(INDEX('Restaurant Base (Hidden)'!$A$2:$Z$1048576,MATCH($C346,'Restaurant Base (Hidden)'!$C$2:$C$1048576,0),MATCH(AA$6,'Restaurant Base (Hidden)'!$A$1:$Z$1,0)),"")</f>
        <v>88,30 %</v>
      </c>
      <c r="AB346" s="1">
        <f>+IFERROR(INDEX('Restaurant Base (Hidden)'!$A$2:$Z$1048576,MATCH($C346,'Restaurant Base (Hidden)'!$C$2:$C$1048576,0),MATCH(AB$6,'Restaurant Base (Hidden)'!$A$1:$Z$1,0)),"")</f>
        <v>3</v>
      </c>
      <c r="AC346" s="20" t="str">
        <f>+IFERROR(INDEX('Restaurant Base (Hidden)'!$A$2:$Z$1048576,MATCH($C346,'Restaurant Base (Hidden)'!$C$2:$C$1048576,0),MATCH(AC$6,'Restaurant Base (Hidden)'!$A$1:$Z$1,0)),"")</f>
        <v/>
      </c>
      <c r="AD346" s="65" t="str">
        <f>+IFERROR(INDEX('Restaurant Base (Hidden)'!$A$2:$Z$1048576,MATCH($C346,'Restaurant Base (Hidden)'!$C$2:$C$1048576,0),MATCH(AD$6,'Restaurant Base (Hidden)'!$A$1:$Z$1,0)),"")</f>
        <v>62,70 %</v>
      </c>
      <c r="AE346" s="1">
        <f>+IFERROR(INDEX('Restaurant Base (Hidden)'!$A$2:$Z$1048576,MATCH($C346,'Restaurant Base (Hidden)'!$C$2:$C$1048576,0),MATCH(AE$6,'Restaurant Base (Hidden)'!$A$1:$Z$1,0)),"")</f>
        <v>1</v>
      </c>
      <c r="AF346" s="65" t="str">
        <f>+IFERROR(INDEX('Restaurant Base (Hidden)'!$A$2:$Z$1048576,MATCH($C346,'Restaurant Base (Hidden)'!$C$2:$C$1048576,0),MATCH(AF$6,'Restaurant Base (Hidden)'!$A$1:$Z$1,0)),"")</f>
        <v>89,70 %</v>
      </c>
      <c r="AG346" s="1">
        <f>+IFERROR(INDEX('Restaurant Base (Hidden)'!$A$2:$Z$1048576,MATCH($C346,'Restaurant Base (Hidden)'!$C$2:$C$1048576,0),MATCH(AG$6,'Restaurant Base (Hidden)'!$A$1:$Z$1,0)),"")</f>
        <v>3</v>
      </c>
    </row>
    <row r="347" spans="1:33" ht="16" customHeight="1" x14ac:dyDescent="0.4">
      <c r="A347" s="163" t="str">
        <f>IF('Restaurant Base (Hidden)'!A248=0,"", 'Restaurant Base (Hidden)'!A248)</f>
        <v>Parker Sterling</v>
      </c>
      <c r="B347" s="163" t="str">
        <f>IF('Restaurant Base (Hidden)'!B248=0,"", 'Restaurant Base (Hidden)'!B248)</f>
        <v>Cedarstone Hospitality</v>
      </c>
      <c r="C347" s="163" t="str">
        <f>IF('Restaurant Base (Hidden)'!C248=0,"", 'Restaurant Base (Hidden)'!C248)</f>
        <v>Crestfield Boulevard</v>
      </c>
      <c r="D347" s="104">
        <f t="shared" si="5"/>
        <v>340</v>
      </c>
      <c r="E347" s="105">
        <f>+IFERROR(INDEX('Restaurant Base (Hidden)'!$A$2:$Z$1048576,MATCH($C347,'Restaurant Base (Hidden)'!$C$2:$C$1048576,0),MATCH(E$6,'Restaurant Base (Hidden)'!$A$1:$Z$1,0)),"")</f>
        <v>2.5299999999999998</v>
      </c>
      <c r="F347" s="2" t="str">
        <f>+IFERROR(INDEX('Restaurant Base (Hidden)'!$A$2:$Z$1048576,MATCH($C347,'Restaurant Base (Hidden)'!$C$2:$C$1048576,0),MATCH(F$6,'Restaurant Base (Hidden)'!$A$1:$Z$1,0)),"")</f>
        <v/>
      </c>
      <c r="G347" s="20" t="str">
        <f>+IFERROR(INDEX('Restaurant Base (Hidden)'!$A$2:$Z$1048576,MATCH($C347,'Restaurant Base (Hidden)'!$C$2:$C$1048576,0),MATCH(G$6,'Restaurant Base (Hidden)'!$A$1:$Z$1,0)),"")</f>
        <v>4,683</v>
      </c>
      <c r="H347" s="50">
        <f>+IFERROR(INDEX('Restaurant Base (Hidden)'!$A$2:$Z$1048576,MATCH($C347,'Restaurant Base (Hidden)'!$C$2:$C$1048576,0),MATCH(H$6,'Restaurant Base (Hidden)'!$A$1:$Z$1,0)),"")</f>
        <v>5</v>
      </c>
      <c r="I347" s="20" t="str">
        <f>+IFERROR(INDEX('Restaurant Base (Hidden)'!$A$2:$Z$1048576,MATCH($C347,'Restaurant Base (Hidden)'!$C$2:$C$1048576,0),MATCH(I$6,'Restaurant Base (Hidden)'!$A$1:$Z$1,0)),"")</f>
        <v>85,10 %</v>
      </c>
      <c r="J347" s="49">
        <f>+IFERROR(INDEX('Restaurant Base (Hidden)'!$A$2:$Z$1048576,MATCH($C347,'Restaurant Base (Hidden)'!$C$2:$C$1048576,0),MATCH(J$6,'Restaurant Base (Hidden)'!$A$1:$Z$1,0)),"")</f>
        <v>3</v>
      </c>
      <c r="K347" s="20" t="str">
        <f>+IFERROR(INDEX('Restaurant Base (Hidden)'!$A$2:$Z$1048576,MATCH($C347,'Restaurant Base (Hidden)'!$C$2:$C$1048576,0),MATCH(K$6,'Restaurant Base (Hidden)'!$A$1:$Z$1,0)),"")</f>
        <v>0,204</v>
      </c>
      <c r="L347" s="51">
        <f>+IFERROR(INDEX('Restaurant Base (Hidden)'!$A$2:$Z$1048576,MATCH($C347,'Restaurant Base (Hidden)'!$C$2:$C$1048576,0),MATCH(L$6,'Restaurant Base (Hidden)'!$A$1:$Z$1,0)),"")</f>
        <v>1</v>
      </c>
      <c r="M347" s="2" t="str">
        <f>+IFERROR(INDEX('Restaurant Base (Hidden)'!$A$2:$Z$1048576,MATCH($C347,'Restaurant Base (Hidden)'!$C$2:$C$1048576,0),MATCH(M$6,'Restaurant Base (Hidden)'!$A$1:$Z$1,0)),"")</f>
        <v/>
      </c>
      <c r="N347" s="234" t="str">
        <f>+IFERROR(INDEX('Restaurant Base (Hidden)'!$A$2:$Z$1048576,MATCH($C347,'Restaurant Base (Hidden)'!$C$2:$C$1048576,0),MATCH(N$6,'Restaurant Base (Hidden)'!$A$1:$Z$1,0)),"")</f>
        <v>56,00 %</v>
      </c>
      <c r="O347" s="1">
        <f>+IFERROR(INDEX('Restaurant Base (Hidden)'!$A$2:$Z$1048576,MATCH($C347,'Restaurant Base (Hidden)'!$C$2:$C$1048576,0),MATCH(O$6,'Restaurant Base (Hidden)'!$A$1:$Z$1,0)),"")</f>
        <v>1</v>
      </c>
      <c r="P347" s="2" t="str">
        <f>+IFERROR(INDEX('Restaurant Base (Hidden)'!$A$2:$Z$1048576,MATCH($C347,'Restaurant Base (Hidden)'!$C$2:$C$1048576,0),MATCH(P$6,'Restaurant Base (Hidden)'!$A$1:$Z$1,0)),"")</f>
        <v/>
      </c>
      <c r="Q347" s="234" t="str">
        <f>+IFERROR(INDEX('Restaurant Base (Hidden)'!$A$2:$Z$1048576,MATCH($C347,'Restaurant Base (Hidden)'!$C$2:$C$1048576,0),MATCH(Q$6,'Restaurant Base (Hidden)'!$A$1:$Z$1,0)),"")</f>
        <v>83,30 %</v>
      </c>
      <c r="R347" s="1">
        <f>+IFERROR(INDEX('Restaurant Base (Hidden)'!$A$2:$Z$1048576,MATCH($C347,'Restaurant Base (Hidden)'!$C$2:$C$1048576,0),MATCH(R$6,'Restaurant Base (Hidden)'!$A$1:$Z$1,0)),"")</f>
        <v>5</v>
      </c>
      <c r="S347" s="2" t="str">
        <f>+IFERROR(INDEX('Restaurant Base (Hidden)'!$A$2:$Z$1048576,MATCH($C347,'Restaurant Base (Hidden)'!$C$2:$C$1048576,0),MATCH(S$6,'Restaurant Base (Hidden)'!$A$1:$Z$1,0)),"")</f>
        <v/>
      </c>
      <c r="T347" s="62">
        <f>+IFERROR(INDEX('Restaurant Base (Hidden)'!$A$2:$Z$1048576,MATCH($C347,'Restaurant Base (Hidden)'!$C$2:$C$1048576,0),MATCH(T$6,'Restaurant Base (Hidden)'!$A$1:$Z$1,0)),"")</f>
        <v>57.4</v>
      </c>
      <c r="U347" s="1">
        <f>+IFERROR(INDEX('Restaurant Base (Hidden)'!$A$2:$Z$1048576,MATCH($C347,'Restaurant Base (Hidden)'!$C$2:$C$1048576,0),MATCH(U$6,'Restaurant Base (Hidden)'!$A$1:$Z$1,0)),"")</f>
        <v>2</v>
      </c>
      <c r="V347" s="2" t="str">
        <f>+IFERROR(INDEX('Restaurant Base (Hidden)'!$A$2:$Z$1048576,MATCH($C347,'Restaurant Base (Hidden)'!$C$2:$C$1048576,0),MATCH(V$6,'Restaurant Base (Hidden)'!$A$1:$Z$1,0)),"")</f>
        <v/>
      </c>
      <c r="W347" s="65" t="str">
        <f>+IFERROR(INDEX('Restaurant Base (Hidden)'!$A$2:$Z$1048576,MATCH($C347,'Restaurant Base (Hidden)'!$C$2:$C$1048576,0),MATCH(W$6,'Restaurant Base (Hidden)'!$A$1:$Z$1,0)),"")</f>
        <v>67,80 %</v>
      </c>
      <c r="X347" s="1">
        <f>+IFERROR(INDEX('Restaurant Base (Hidden)'!$A$2:$Z$1048576,MATCH($C347,'Restaurant Base (Hidden)'!$C$2:$C$1048576,0),MATCH(X$6,'Restaurant Base (Hidden)'!$A$1:$Z$1,0)),"")</f>
        <v>2</v>
      </c>
      <c r="Y347" s="65" t="str">
        <f>+IFERROR(INDEX('Restaurant Base (Hidden)'!$A$2:$Z$1048576,MATCH($C347,'Restaurant Base (Hidden)'!$C$2:$C$1048576,0),MATCH(Y$6,'Restaurant Base (Hidden)'!$A$1:$Z$1,0)),"")</f>
        <v>92,40 %</v>
      </c>
      <c r="Z347" s="106">
        <f>+IFERROR(INDEX('Restaurant Base (Hidden)'!$A$2:$Z$1048576,MATCH($C347,'Restaurant Base (Hidden)'!$C$2:$C$1048576,0),MATCH(Z$6,'Restaurant Base (Hidden)'!$A$1:$Z$1,0)),"")</f>
        <v>3</v>
      </c>
      <c r="AA347" s="65" t="str">
        <f>+IFERROR(INDEX('Restaurant Base (Hidden)'!$A$2:$Z$1048576,MATCH($C347,'Restaurant Base (Hidden)'!$C$2:$C$1048576,0),MATCH(AA$6,'Restaurant Base (Hidden)'!$A$1:$Z$1,0)),"")</f>
        <v>84,60 %</v>
      </c>
      <c r="AB347" s="1">
        <f>+IFERROR(INDEX('Restaurant Base (Hidden)'!$A$2:$Z$1048576,MATCH($C347,'Restaurant Base (Hidden)'!$C$2:$C$1048576,0),MATCH(AB$6,'Restaurant Base (Hidden)'!$A$1:$Z$1,0)),"")</f>
        <v>2</v>
      </c>
      <c r="AC347" s="20" t="str">
        <f>+IFERROR(INDEX('Restaurant Base (Hidden)'!$A$2:$Z$1048576,MATCH($C347,'Restaurant Base (Hidden)'!$C$2:$C$1048576,0),MATCH(AC$6,'Restaurant Base (Hidden)'!$A$1:$Z$1,0)),"")</f>
        <v/>
      </c>
      <c r="AD347" s="65" t="str">
        <f>+IFERROR(INDEX('Restaurant Base (Hidden)'!$A$2:$Z$1048576,MATCH($C347,'Restaurant Base (Hidden)'!$C$2:$C$1048576,0),MATCH(AD$6,'Restaurant Base (Hidden)'!$A$1:$Z$1,0)),"")</f>
        <v>80,90 %</v>
      </c>
      <c r="AE347" s="1">
        <f>+IFERROR(INDEX('Restaurant Base (Hidden)'!$A$2:$Z$1048576,MATCH($C347,'Restaurant Base (Hidden)'!$C$2:$C$1048576,0),MATCH(AE$6,'Restaurant Base (Hidden)'!$A$1:$Z$1,0)),"")</f>
        <v>2</v>
      </c>
      <c r="AF347" s="65" t="str">
        <f>+IFERROR(INDEX('Restaurant Base (Hidden)'!$A$2:$Z$1048576,MATCH($C347,'Restaurant Base (Hidden)'!$C$2:$C$1048576,0),MATCH(AF$6,'Restaurant Base (Hidden)'!$A$1:$Z$1,0)),"")</f>
        <v>59,00 %</v>
      </c>
      <c r="AG347" s="1">
        <f>+IFERROR(INDEX('Restaurant Base (Hidden)'!$A$2:$Z$1048576,MATCH($C347,'Restaurant Base (Hidden)'!$C$2:$C$1048576,0),MATCH(AG$6,'Restaurant Base (Hidden)'!$A$1:$Z$1,0)),"")</f>
        <v>1</v>
      </c>
    </row>
    <row r="348" spans="1:33" ht="16" customHeight="1" x14ac:dyDescent="0.4">
      <c r="A348" s="163" t="str">
        <f>IF('Restaurant Base (Hidden)'!A271=0,"", 'Restaurant Base (Hidden)'!A271)</f>
        <v>Hayden Merriton</v>
      </c>
      <c r="B348" s="163" t="str">
        <f>IF('Restaurant Base (Hidden)'!B271=0,"", 'Restaurant Base (Hidden)'!B271)</f>
        <v>Rosebridge Hospitality</v>
      </c>
      <c r="C348" s="163" t="str">
        <f>IF('Restaurant Base (Hidden)'!C271=0,"", 'Restaurant Base (Hidden)'!C271)</f>
        <v>River Point</v>
      </c>
      <c r="D348" s="104">
        <f t="shared" si="5"/>
        <v>340</v>
      </c>
      <c r="E348" s="105">
        <f>+IFERROR(INDEX('Restaurant Base (Hidden)'!$A$2:$Z$1048576,MATCH($C348,'Restaurant Base (Hidden)'!$C$2:$C$1048576,0),MATCH(E$6,'Restaurant Base (Hidden)'!$A$1:$Z$1,0)),"")</f>
        <v>2.5299999999999998</v>
      </c>
      <c r="F348" s="2" t="str">
        <f>+IFERROR(INDEX('Restaurant Base (Hidden)'!$A$2:$Z$1048576,MATCH($C348,'Restaurant Base (Hidden)'!$C$2:$C$1048576,0),MATCH(F$6,'Restaurant Base (Hidden)'!$A$1:$Z$1,0)),"")</f>
        <v/>
      </c>
      <c r="G348" s="20" t="str">
        <f>+IFERROR(INDEX('Restaurant Base (Hidden)'!$A$2:$Z$1048576,MATCH($C348,'Restaurant Base (Hidden)'!$C$2:$C$1048576,0),MATCH(G$6,'Restaurant Base (Hidden)'!$A$1:$Z$1,0)),"")</f>
        <v>4,161</v>
      </c>
      <c r="H348" s="50">
        <f>+IFERROR(INDEX('Restaurant Base (Hidden)'!$A$2:$Z$1048576,MATCH($C348,'Restaurant Base (Hidden)'!$C$2:$C$1048576,0),MATCH(H$6,'Restaurant Base (Hidden)'!$A$1:$Z$1,0)),"")</f>
        <v>2</v>
      </c>
      <c r="I348" s="20" t="str">
        <f>+IFERROR(INDEX('Restaurant Base (Hidden)'!$A$2:$Z$1048576,MATCH($C348,'Restaurant Base (Hidden)'!$C$2:$C$1048576,0),MATCH(I$6,'Restaurant Base (Hidden)'!$A$1:$Z$1,0)),"")</f>
        <v>56,60 %</v>
      </c>
      <c r="J348" s="49">
        <f>+IFERROR(INDEX('Restaurant Base (Hidden)'!$A$2:$Z$1048576,MATCH($C348,'Restaurant Base (Hidden)'!$C$2:$C$1048576,0),MATCH(J$6,'Restaurant Base (Hidden)'!$A$1:$Z$1,0)),"")</f>
        <v>1</v>
      </c>
      <c r="K348" s="20" t="str">
        <f>+IFERROR(INDEX('Restaurant Base (Hidden)'!$A$2:$Z$1048576,MATCH($C348,'Restaurant Base (Hidden)'!$C$2:$C$1048576,0),MATCH(K$6,'Restaurant Base (Hidden)'!$A$1:$Z$1,0)),"")</f>
        <v>0,053</v>
      </c>
      <c r="L348" s="51">
        <f>+IFERROR(INDEX('Restaurant Base (Hidden)'!$A$2:$Z$1048576,MATCH($C348,'Restaurant Base (Hidden)'!$C$2:$C$1048576,0),MATCH(L$6,'Restaurant Base (Hidden)'!$A$1:$Z$1,0)),"")</f>
        <v>5</v>
      </c>
      <c r="M348" s="2" t="str">
        <f>+IFERROR(INDEX('Restaurant Base (Hidden)'!$A$2:$Z$1048576,MATCH($C348,'Restaurant Base (Hidden)'!$C$2:$C$1048576,0),MATCH(M$6,'Restaurant Base (Hidden)'!$A$1:$Z$1,0)),"")</f>
        <v/>
      </c>
      <c r="N348" s="234" t="str">
        <f>+IFERROR(INDEX('Restaurant Base (Hidden)'!$A$2:$Z$1048576,MATCH($C348,'Restaurant Base (Hidden)'!$C$2:$C$1048576,0),MATCH(N$6,'Restaurant Base (Hidden)'!$A$1:$Z$1,0)),"")</f>
        <v>59,20 %</v>
      </c>
      <c r="O348" s="1">
        <f>+IFERROR(INDEX('Restaurant Base (Hidden)'!$A$2:$Z$1048576,MATCH($C348,'Restaurant Base (Hidden)'!$C$2:$C$1048576,0),MATCH(O$6,'Restaurant Base (Hidden)'!$A$1:$Z$1,0)),"")</f>
        <v>1</v>
      </c>
      <c r="P348" s="2" t="str">
        <f>+IFERROR(INDEX('Restaurant Base (Hidden)'!$A$2:$Z$1048576,MATCH($C348,'Restaurant Base (Hidden)'!$C$2:$C$1048576,0),MATCH(P$6,'Restaurant Base (Hidden)'!$A$1:$Z$1,0)),"")</f>
        <v/>
      </c>
      <c r="Q348" s="234" t="str">
        <f>+IFERROR(INDEX('Restaurant Base (Hidden)'!$A$2:$Z$1048576,MATCH($C348,'Restaurant Base (Hidden)'!$C$2:$C$1048576,0),MATCH(Q$6,'Restaurant Base (Hidden)'!$A$1:$Z$1,0)),"")</f>
        <v>87,20 %</v>
      </c>
      <c r="R348" s="1">
        <f>+IFERROR(INDEX('Restaurant Base (Hidden)'!$A$2:$Z$1048576,MATCH($C348,'Restaurant Base (Hidden)'!$C$2:$C$1048576,0),MATCH(R$6,'Restaurant Base (Hidden)'!$A$1:$Z$1,0)),"")</f>
        <v>5</v>
      </c>
      <c r="S348" s="2" t="str">
        <f>+IFERROR(INDEX('Restaurant Base (Hidden)'!$A$2:$Z$1048576,MATCH($C348,'Restaurant Base (Hidden)'!$C$2:$C$1048576,0),MATCH(S$6,'Restaurant Base (Hidden)'!$A$1:$Z$1,0)),"")</f>
        <v/>
      </c>
      <c r="T348" s="62">
        <f>+IFERROR(INDEX('Restaurant Base (Hidden)'!$A$2:$Z$1048576,MATCH($C348,'Restaurant Base (Hidden)'!$C$2:$C$1048576,0),MATCH(T$6,'Restaurant Base (Hidden)'!$A$1:$Z$1,0)),"")</f>
        <v>59.7</v>
      </c>
      <c r="U348" s="1">
        <f>+IFERROR(INDEX('Restaurant Base (Hidden)'!$A$2:$Z$1048576,MATCH($C348,'Restaurant Base (Hidden)'!$C$2:$C$1048576,0),MATCH(U$6,'Restaurant Base (Hidden)'!$A$1:$Z$1,0)),"")</f>
        <v>2</v>
      </c>
      <c r="V348" s="2" t="str">
        <f>+IFERROR(INDEX('Restaurant Base (Hidden)'!$A$2:$Z$1048576,MATCH($C348,'Restaurant Base (Hidden)'!$C$2:$C$1048576,0),MATCH(V$6,'Restaurant Base (Hidden)'!$A$1:$Z$1,0)),"")</f>
        <v/>
      </c>
      <c r="W348" s="65" t="str">
        <f>+IFERROR(INDEX('Restaurant Base (Hidden)'!$A$2:$Z$1048576,MATCH($C348,'Restaurant Base (Hidden)'!$C$2:$C$1048576,0),MATCH(W$6,'Restaurant Base (Hidden)'!$A$1:$Z$1,0)),"")</f>
        <v>73,00 %</v>
      </c>
      <c r="X348" s="1">
        <f>+IFERROR(INDEX('Restaurant Base (Hidden)'!$A$2:$Z$1048576,MATCH($C348,'Restaurant Base (Hidden)'!$C$2:$C$1048576,0),MATCH(X$6,'Restaurant Base (Hidden)'!$A$1:$Z$1,0)),"")</f>
        <v>2</v>
      </c>
      <c r="Y348" s="65" t="str">
        <f>+IFERROR(INDEX('Restaurant Base (Hidden)'!$A$2:$Z$1048576,MATCH($C348,'Restaurant Base (Hidden)'!$C$2:$C$1048576,0),MATCH(Y$6,'Restaurant Base (Hidden)'!$A$1:$Z$1,0)),"")</f>
        <v>74,80 %</v>
      </c>
      <c r="Z348" s="106">
        <f>+IFERROR(INDEX('Restaurant Base (Hidden)'!$A$2:$Z$1048576,MATCH($C348,'Restaurant Base (Hidden)'!$C$2:$C$1048576,0),MATCH(Z$6,'Restaurant Base (Hidden)'!$A$1:$Z$1,0)),"")</f>
        <v>2</v>
      </c>
      <c r="AA348" s="65" t="str">
        <f>+IFERROR(INDEX('Restaurant Base (Hidden)'!$A$2:$Z$1048576,MATCH($C348,'Restaurant Base (Hidden)'!$C$2:$C$1048576,0),MATCH(AA$6,'Restaurant Base (Hidden)'!$A$1:$Z$1,0)),"")</f>
        <v>83,70 %</v>
      </c>
      <c r="AB348" s="1">
        <f>+IFERROR(INDEX('Restaurant Base (Hidden)'!$A$2:$Z$1048576,MATCH($C348,'Restaurant Base (Hidden)'!$C$2:$C$1048576,0),MATCH(AB$6,'Restaurant Base (Hidden)'!$A$1:$Z$1,0)),"")</f>
        <v>2</v>
      </c>
      <c r="AC348" s="20" t="str">
        <f>+IFERROR(INDEX('Restaurant Base (Hidden)'!$A$2:$Z$1048576,MATCH($C348,'Restaurant Base (Hidden)'!$C$2:$C$1048576,0),MATCH(AC$6,'Restaurant Base (Hidden)'!$A$1:$Z$1,0)),"")</f>
        <v/>
      </c>
      <c r="AD348" s="65" t="str">
        <f>+IFERROR(INDEX('Restaurant Base (Hidden)'!$A$2:$Z$1048576,MATCH($C348,'Restaurant Base (Hidden)'!$C$2:$C$1048576,0),MATCH(AD$6,'Restaurant Base (Hidden)'!$A$1:$Z$1,0)),"")</f>
        <v>83,10 %</v>
      </c>
      <c r="AE348" s="1">
        <f>+IFERROR(INDEX('Restaurant Base (Hidden)'!$A$2:$Z$1048576,MATCH($C348,'Restaurant Base (Hidden)'!$C$2:$C$1048576,0),MATCH(AE$6,'Restaurant Base (Hidden)'!$A$1:$Z$1,0)),"")</f>
        <v>3</v>
      </c>
      <c r="AF348" s="65" t="str">
        <f>+IFERROR(INDEX('Restaurant Base (Hidden)'!$A$2:$Z$1048576,MATCH($C348,'Restaurant Base (Hidden)'!$C$2:$C$1048576,0),MATCH(AF$6,'Restaurant Base (Hidden)'!$A$1:$Z$1,0)),"")</f>
        <v>84,20 %</v>
      </c>
      <c r="AG348" s="1">
        <f>+IFERROR(INDEX('Restaurant Base (Hidden)'!$A$2:$Z$1048576,MATCH($C348,'Restaurant Base (Hidden)'!$C$2:$C$1048576,0),MATCH(AG$6,'Restaurant Base (Hidden)'!$A$1:$Z$1,0)),"")</f>
        <v>3</v>
      </c>
    </row>
    <row r="349" spans="1:33" ht="16" customHeight="1" x14ac:dyDescent="0.4">
      <c r="A349" s="163" t="str">
        <f>IF('Restaurant Base (Hidden)'!A294=0,"", 'Restaurant Base (Hidden)'!A294)</f>
        <v>Casey Briarwood</v>
      </c>
      <c r="B349" s="163" t="str">
        <f>IF('Restaurant Base (Hidden)'!B294=0,"", 'Restaurant Base (Hidden)'!B294)</f>
        <v>Stonebridge Restaurant Co</v>
      </c>
      <c r="C349" s="163" t="str">
        <f>IF('Restaurant Base (Hidden)'!C294=0,"", 'Restaurant Base (Hidden)'!C294)</f>
        <v>Emerald Plaza</v>
      </c>
      <c r="D349" s="104">
        <f t="shared" si="5"/>
        <v>343</v>
      </c>
      <c r="E349" s="105">
        <f>+IFERROR(INDEX('Restaurant Base (Hidden)'!$A$2:$Z$1048576,MATCH($C349,'Restaurant Base (Hidden)'!$C$2:$C$1048576,0),MATCH(E$6,'Restaurant Base (Hidden)'!$A$1:$Z$1,0)),"")</f>
        <v>2.52</v>
      </c>
      <c r="F349" s="2" t="str">
        <f>+IFERROR(INDEX('Restaurant Base (Hidden)'!$A$2:$Z$1048576,MATCH($C349,'Restaurant Base (Hidden)'!$C$2:$C$1048576,0),MATCH(F$6,'Restaurant Base (Hidden)'!$A$1:$Z$1,0)),"")</f>
        <v/>
      </c>
      <c r="G349" s="20" t="str">
        <f>+IFERROR(INDEX('Restaurant Base (Hidden)'!$A$2:$Z$1048576,MATCH($C349,'Restaurant Base (Hidden)'!$C$2:$C$1048576,0),MATCH(G$6,'Restaurant Base (Hidden)'!$A$1:$Z$1,0)),"")</f>
        <v>4,461</v>
      </c>
      <c r="H349" s="50">
        <f>+IFERROR(INDEX('Restaurant Base (Hidden)'!$A$2:$Z$1048576,MATCH($C349,'Restaurant Base (Hidden)'!$C$2:$C$1048576,0),MATCH(H$6,'Restaurant Base (Hidden)'!$A$1:$Z$1,0)),"")</f>
        <v>4</v>
      </c>
      <c r="I349" s="20" t="str">
        <f>+IFERROR(INDEX('Restaurant Base (Hidden)'!$A$2:$Z$1048576,MATCH($C349,'Restaurant Base (Hidden)'!$C$2:$C$1048576,0),MATCH(I$6,'Restaurant Base (Hidden)'!$A$1:$Z$1,0)),"")</f>
        <v>85,30 %</v>
      </c>
      <c r="J349" s="49">
        <f>+IFERROR(INDEX('Restaurant Base (Hidden)'!$A$2:$Z$1048576,MATCH($C349,'Restaurant Base (Hidden)'!$C$2:$C$1048576,0),MATCH(J$6,'Restaurant Base (Hidden)'!$A$1:$Z$1,0)),"")</f>
        <v>3</v>
      </c>
      <c r="K349" s="20" t="str">
        <f>+IFERROR(INDEX('Restaurant Base (Hidden)'!$A$2:$Z$1048576,MATCH($C349,'Restaurant Base (Hidden)'!$C$2:$C$1048576,0),MATCH(K$6,'Restaurant Base (Hidden)'!$A$1:$Z$1,0)),"")</f>
        <v>0,099</v>
      </c>
      <c r="L349" s="51">
        <f>+IFERROR(INDEX('Restaurant Base (Hidden)'!$A$2:$Z$1048576,MATCH($C349,'Restaurant Base (Hidden)'!$C$2:$C$1048576,0),MATCH(L$6,'Restaurant Base (Hidden)'!$A$1:$Z$1,0)),"")</f>
        <v>4</v>
      </c>
      <c r="M349" s="2" t="str">
        <f>+IFERROR(INDEX('Restaurant Base (Hidden)'!$A$2:$Z$1048576,MATCH($C349,'Restaurant Base (Hidden)'!$C$2:$C$1048576,0),MATCH(M$6,'Restaurant Base (Hidden)'!$A$1:$Z$1,0)),"")</f>
        <v/>
      </c>
      <c r="N349" s="234" t="str">
        <f>+IFERROR(INDEX('Restaurant Base (Hidden)'!$A$2:$Z$1048576,MATCH($C349,'Restaurant Base (Hidden)'!$C$2:$C$1048576,0),MATCH(N$6,'Restaurant Base (Hidden)'!$A$1:$Z$1,0)),"")</f>
        <v>92,70 %</v>
      </c>
      <c r="O349" s="1">
        <f>+IFERROR(INDEX('Restaurant Base (Hidden)'!$A$2:$Z$1048576,MATCH($C349,'Restaurant Base (Hidden)'!$C$2:$C$1048576,0),MATCH(O$6,'Restaurant Base (Hidden)'!$A$1:$Z$1,0)),"")</f>
        <v>5</v>
      </c>
      <c r="P349" s="2" t="str">
        <f>+IFERROR(INDEX('Restaurant Base (Hidden)'!$A$2:$Z$1048576,MATCH($C349,'Restaurant Base (Hidden)'!$C$2:$C$1048576,0),MATCH(P$6,'Restaurant Base (Hidden)'!$A$1:$Z$1,0)),"")</f>
        <v/>
      </c>
      <c r="Q349" s="234" t="str">
        <f>+IFERROR(INDEX('Restaurant Base (Hidden)'!$A$2:$Z$1048576,MATCH($C349,'Restaurant Base (Hidden)'!$C$2:$C$1048576,0),MATCH(Q$6,'Restaurant Base (Hidden)'!$A$1:$Z$1,0)),"")</f>
        <v>60,40 %</v>
      </c>
      <c r="R349" s="1">
        <f>+IFERROR(INDEX('Restaurant Base (Hidden)'!$A$2:$Z$1048576,MATCH($C349,'Restaurant Base (Hidden)'!$C$2:$C$1048576,0),MATCH(R$6,'Restaurant Base (Hidden)'!$A$1:$Z$1,0)),"")</f>
        <v>1</v>
      </c>
      <c r="S349" s="2" t="str">
        <f>+IFERROR(INDEX('Restaurant Base (Hidden)'!$A$2:$Z$1048576,MATCH($C349,'Restaurant Base (Hidden)'!$C$2:$C$1048576,0),MATCH(S$6,'Restaurant Base (Hidden)'!$A$1:$Z$1,0)),"")</f>
        <v/>
      </c>
      <c r="T349" s="62">
        <f>+IFERROR(INDEX('Restaurant Base (Hidden)'!$A$2:$Z$1048576,MATCH($C349,'Restaurant Base (Hidden)'!$C$2:$C$1048576,0),MATCH(T$6,'Restaurant Base (Hidden)'!$A$1:$Z$1,0)),"")</f>
        <v>55</v>
      </c>
      <c r="U349" s="1">
        <f>+IFERROR(INDEX('Restaurant Base (Hidden)'!$A$2:$Z$1048576,MATCH($C349,'Restaurant Base (Hidden)'!$C$2:$C$1048576,0),MATCH(U$6,'Restaurant Base (Hidden)'!$A$1:$Z$1,0)),"")</f>
        <v>1</v>
      </c>
      <c r="V349" s="2" t="str">
        <f>+IFERROR(INDEX('Restaurant Base (Hidden)'!$A$2:$Z$1048576,MATCH($C349,'Restaurant Base (Hidden)'!$C$2:$C$1048576,0),MATCH(V$6,'Restaurant Base (Hidden)'!$A$1:$Z$1,0)),"")</f>
        <v/>
      </c>
      <c r="W349" s="65" t="str">
        <f>+IFERROR(INDEX('Restaurant Base (Hidden)'!$A$2:$Z$1048576,MATCH($C349,'Restaurant Base (Hidden)'!$C$2:$C$1048576,0),MATCH(W$6,'Restaurant Base (Hidden)'!$A$1:$Z$1,0)),"")</f>
        <v>63,30 %</v>
      </c>
      <c r="X349" s="1">
        <f>+IFERROR(INDEX('Restaurant Base (Hidden)'!$A$2:$Z$1048576,MATCH($C349,'Restaurant Base (Hidden)'!$C$2:$C$1048576,0),MATCH(X$6,'Restaurant Base (Hidden)'!$A$1:$Z$1,0)),"")</f>
        <v>2</v>
      </c>
      <c r="Y349" s="65" t="str">
        <f>+IFERROR(INDEX('Restaurant Base (Hidden)'!$A$2:$Z$1048576,MATCH($C349,'Restaurant Base (Hidden)'!$C$2:$C$1048576,0),MATCH(Y$6,'Restaurant Base (Hidden)'!$A$1:$Z$1,0)),"")</f>
        <v>89,10 %</v>
      </c>
      <c r="Z349" s="106">
        <f>+IFERROR(INDEX('Restaurant Base (Hidden)'!$A$2:$Z$1048576,MATCH($C349,'Restaurant Base (Hidden)'!$C$2:$C$1048576,0),MATCH(Z$6,'Restaurant Base (Hidden)'!$A$1:$Z$1,0)),"")</f>
        <v>3</v>
      </c>
      <c r="AA349" s="65" t="str">
        <f>+IFERROR(INDEX('Restaurant Base (Hidden)'!$A$2:$Z$1048576,MATCH($C349,'Restaurant Base (Hidden)'!$C$2:$C$1048576,0),MATCH(AA$6,'Restaurant Base (Hidden)'!$A$1:$Z$1,0)),"")</f>
        <v>75,30 %</v>
      </c>
      <c r="AB349" s="1">
        <f>+IFERROR(INDEX('Restaurant Base (Hidden)'!$A$2:$Z$1048576,MATCH($C349,'Restaurant Base (Hidden)'!$C$2:$C$1048576,0),MATCH(AB$6,'Restaurant Base (Hidden)'!$A$1:$Z$1,0)),"")</f>
        <v>2</v>
      </c>
      <c r="AC349" s="20" t="str">
        <f>+IFERROR(INDEX('Restaurant Base (Hidden)'!$A$2:$Z$1048576,MATCH($C349,'Restaurant Base (Hidden)'!$C$2:$C$1048576,0),MATCH(AC$6,'Restaurant Base (Hidden)'!$A$1:$Z$1,0)),"")</f>
        <v/>
      </c>
      <c r="AD349" s="65" t="str">
        <f>+IFERROR(INDEX('Restaurant Base (Hidden)'!$A$2:$Z$1048576,MATCH($C349,'Restaurant Base (Hidden)'!$C$2:$C$1048576,0),MATCH(AD$6,'Restaurant Base (Hidden)'!$A$1:$Z$1,0)),"")</f>
        <v>76,00 %</v>
      </c>
      <c r="AE349" s="1">
        <f>+IFERROR(INDEX('Restaurant Base (Hidden)'!$A$2:$Z$1048576,MATCH($C349,'Restaurant Base (Hidden)'!$C$2:$C$1048576,0),MATCH(AE$6,'Restaurant Base (Hidden)'!$A$1:$Z$1,0)),"")</f>
        <v>2</v>
      </c>
      <c r="AF349" s="65" t="str">
        <f>+IFERROR(INDEX('Restaurant Base (Hidden)'!$A$2:$Z$1048576,MATCH($C349,'Restaurant Base (Hidden)'!$C$2:$C$1048576,0),MATCH(AF$6,'Restaurant Base (Hidden)'!$A$1:$Z$1,0)),"")</f>
        <v>57,50 %</v>
      </c>
      <c r="AG349" s="1">
        <f>+IFERROR(INDEX('Restaurant Base (Hidden)'!$A$2:$Z$1048576,MATCH($C349,'Restaurant Base (Hidden)'!$C$2:$C$1048576,0),MATCH(AG$6,'Restaurant Base (Hidden)'!$A$1:$Z$1,0)),"")</f>
        <v>1</v>
      </c>
    </row>
    <row r="350" spans="1:33" ht="16" customHeight="1" x14ac:dyDescent="0.4">
      <c r="A350" s="163" t="str">
        <f>IF('Restaurant Base (Hidden)'!A255=0,"", 'Restaurant Base (Hidden)'!A255)</f>
        <v>Arden Brookstone</v>
      </c>
      <c r="B350" s="163" t="str">
        <f>IF('Restaurant Base (Hidden)'!B255=0,"", 'Restaurant Base (Hidden)'!B255)</f>
        <v>Clearview Dining Group</v>
      </c>
      <c r="C350" s="163" t="str">
        <f>IF('Restaurant Base (Hidden)'!C255=0,"", 'Restaurant Base (Hidden)'!C255)</f>
        <v>Brook Crescent</v>
      </c>
      <c r="D350" s="104">
        <f t="shared" si="5"/>
        <v>344</v>
      </c>
      <c r="E350" s="105">
        <f>+IFERROR(INDEX('Restaurant Base (Hidden)'!$A$2:$Z$1048576,MATCH($C350,'Restaurant Base (Hidden)'!$C$2:$C$1048576,0),MATCH(E$6,'Restaurant Base (Hidden)'!$A$1:$Z$1,0)),"")</f>
        <v>2.5099999999999998</v>
      </c>
      <c r="F350" s="2" t="str">
        <f>+IFERROR(INDEX('Restaurant Base (Hidden)'!$A$2:$Z$1048576,MATCH($C350,'Restaurant Base (Hidden)'!$C$2:$C$1048576,0),MATCH(F$6,'Restaurant Base (Hidden)'!$A$1:$Z$1,0)),"")</f>
        <v/>
      </c>
      <c r="G350" s="20" t="str">
        <f>+IFERROR(INDEX('Restaurant Base (Hidden)'!$A$2:$Z$1048576,MATCH($C350,'Restaurant Base (Hidden)'!$C$2:$C$1048576,0),MATCH(G$6,'Restaurant Base (Hidden)'!$A$1:$Z$1,0)),"")</f>
        <v>4,331</v>
      </c>
      <c r="H350" s="50">
        <f>+IFERROR(INDEX('Restaurant Base (Hidden)'!$A$2:$Z$1048576,MATCH($C350,'Restaurant Base (Hidden)'!$C$2:$C$1048576,0),MATCH(H$6,'Restaurant Base (Hidden)'!$A$1:$Z$1,0)),"")</f>
        <v>3</v>
      </c>
      <c r="I350" s="20" t="str">
        <f>+IFERROR(INDEX('Restaurant Base (Hidden)'!$A$2:$Z$1048576,MATCH($C350,'Restaurant Base (Hidden)'!$C$2:$C$1048576,0),MATCH(I$6,'Restaurant Base (Hidden)'!$A$1:$Z$1,0)),"")</f>
        <v>55,50 %</v>
      </c>
      <c r="J350" s="49">
        <f>+IFERROR(INDEX('Restaurant Base (Hidden)'!$A$2:$Z$1048576,MATCH($C350,'Restaurant Base (Hidden)'!$C$2:$C$1048576,0),MATCH(J$6,'Restaurant Base (Hidden)'!$A$1:$Z$1,0)),"")</f>
        <v>1</v>
      </c>
      <c r="K350" s="20" t="str">
        <f>+IFERROR(INDEX('Restaurant Base (Hidden)'!$A$2:$Z$1048576,MATCH($C350,'Restaurant Base (Hidden)'!$C$2:$C$1048576,0),MATCH(K$6,'Restaurant Base (Hidden)'!$A$1:$Z$1,0)),"")</f>
        <v>0,072</v>
      </c>
      <c r="L350" s="51">
        <f>+IFERROR(INDEX('Restaurant Base (Hidden)'!$A$2:$Z$1048576,MATCH($C350,'Restaurant Base (Hidden)'!$C$2:$C$1048576,0),MATCH(L$6,'Restaurant Base (Hidden)'!$A$1:$Z$1,0)),"")</f>
        <v>4</v>
      </c>
      <c r="M350" s="2" t="str">
        <f>+IFERROR(INDEX('Restaurant Base (Hidden)'!$A$2:$Z$1048576,MATCH($C350,'Restaurant Base (Hidden)'!$C$2:$C$1048576,0),MATCH(M$6,'Restaurant Base (Hidden)'!$A$1:$Z$1,0)),"")</f>
        <v/>
      </c>
      <c r="N350" s="234" t="str">
        <f>+IFERROR(INDEX('Restaurant Base (Hidden)'!$A$2:$Z$1048576,MATCH($C350,'Restaurant Base (Hidden)'!$C$2:$C$1048576,0),MATCH(N$6,'Restaurant Base (Hidden)'!$A$1:$Z$1,0)),"")</f>
        <v>89,80 %</v>
      </c>
      <c r="O350" s="1">
        <f>+IFERROR(INDEX('Restaurant Base (Hidden)'!$A$2:$Z$1048576,MATCH($C350,'Restaurant Base (Hidden)'!$C$2:$C$1048576,0),MATCH(O$6,'Restaurant Base (Hidden)'!$A$1:$Z$1,0)),"")</f>
        <v>5</v>
      </c>
      <c r="P350" s="2" t="str">
        <f>+IFERROR(INDEX('Restaurant Base (Hidden)'!$A$2:$Z$1048576,MATCH($C350,'Restaurant Base (Hidden)'!$C$2:$C$1048576,0),MATCH(P$6,'Restaurant Base (Hidden)'!$A$1:$Z$1,0)),"")</f>
        <v/>
      </c>
      <c r="Q350" s="234" t="str">
        <f>+IFERROR(INDEX('Restaurant Base (Hidden)'!$A$2:$Z$1048576,MATCH($C350,'Restaurant Base (Hidden)'!$C$2:$C$1048576,0),MATCH(Q$6,'Restaurant Base (Hidden)'!$A$1:$Z$1,0)),"")</f>
        <v>64,90 %</v>
      </c>
      <c r="R350" s="1">
        <f>+IFERROR(INDEX('Restaurant Base (Hidden)'!$A$2:$Z$1048576,MATCH($C350,'Restaurant Base (Hidden)'!$C$2:$C$1048576,0),MATCH(R$6,'Restaurant Base (Hidden)'!$A$1:$Z$1,0)),"")</f>
        <v>2</v>
      </c>
      <c r="S350" s="2" t="str">
        <f>+IFERROR(INDEX('Restaurant Base (Hidden)'!$A$2:$Z$1048576,MATCH($C350,'Restaurant Base (Hidden)'!$C$2:$C$1048576,0),MATCH(S$6,'Restaurant Base (Hidden)'!$A$1:$Z$1,0)),"")</f>
        <v/>
      </c>
      <c r="T350" s="62">
        <f>+IFERROR(INDEX('Restaurant Base (Hidden)'!$A$2:$Z$1048576,MATCH($C350,'Restaurant Base (Hidden)'!$C$2:$C$1048576,0),MATCH(T$6,'Restaurant Base (Hidden)'!$A$1:$Z$1,0)),"")</f>
        <v>53.1</v>
      </c>
      <c r="U350" s="1">
        <f>+IFERROR(INDEX('Restaurant Base (Hidden)'!$A$2:$Z$1048576,MATCH($C350,'Restaurant Base (Hidden)'!$C$2:$C$1048576,0),MATCH(U$6,'Restaurant Base (Hidden)'!$A$1:$Z$1,0)),"")</f>
        <v>1</v>
      </c>
      <c r="V350" s="2" t="str">
        <f>+IFERROR(INDEX('Restaurant Base (Hidden)'!$A$2:$Z$1048576,MATCH($C350,'Restaurant Base (Hidden)'!$C$2:$C$1048576,0),MATCH(V$6,'Restaurant Base (Hidden)'!$A$1:$Z$1,0)),"")</f>
        <v/>
      </c>
      <c r="W350" s="65" t="str">
        <f>+IFERROR(INDEX('Restaurant Base (Hidden)'!$A$2:$Z$1048576,MATCH($C350,'Restaurant Base (Hidden)'!$C$2:$C$1048576,0),MATCH(W$6,'Restaurant Base (Hidden)'!$A$1:$Z$1,0)),"")</f>
        <v>94,20 %</v>
      </c>
      <c r="X350" s="1">
        <f>+IFERROR(INDEX('Restaurant Base (Hidden)'!$A$2:$Z$1048576,MATCH($C350,'Restaurant Base (Hidden)'!$C$2:$C$1048576,0),MATCH(X$6,'Restaurant Base (Hidden)'!$A$1:$Z$1,0)),"")</f>
        <v>4</v>
      </c>
      <c r="Y350" s="65" t="str">
        <f>+IFERROR(INDEX('Restaurant Base (Hidden)'!$A$2:$Z$1048576,MATCH($C350,'Restaurant Base (Hidden)'!$C$2:$C$1048576,0),MATCH(Y$6,'Restaurant Base (Hidden)'!$A$1:$Z$1,0)),"")</f>
        <v>87,00 %</v>
      </c>
      <c r="Z350" s="106">
        <f>+IFERROR(INDEX('Restaurant Base (Hidden)'!$A$2:$Z$1048576,MATCH($C350,'Restaurant Base (Hidden)'!$C$2:$C$1048576,0),MATCH(Z$6,'Restaurant Base (Hidden)'!$A$1:$Z$1,0)),"")</f>
        <v>3</v>
      </c>
      <c r="AA350" s="65" t="str">
        <f>+IFERROR(INDEX('Restaurant Base (Hidden)'!$A$2:$Z$1048576,MATCH($C350,'Restaurant Base (Hidden)'!$C$2:$C$1048576,0),MATCH(AA$6,'Restaurant Base (Hidden)'!$A$1:$Z$1,0)),"")</f>
        <v>88,70 %</v>
      </c>
      <c r="AB350" s="1">
        <f>+IFERROR(INDEX('Restaurant Base (Hidden)'!$A$2:$Z$1048576,MATCH($C350,'Restaurant Base (Hidden)'!$C$2:$C$1048576,0),MATCH(AB$6,'Restaurant Base (Hidden)'!$A$1:$Z$1,0)),"")</f>
        <v>3</v>
      </c>
      <c r="AC350" s="20" t="str">
        <f>+IFERROR(INDEX('Restaurant Base (Hidden)'!$A$2:$Z$1048576,MATCH($C350,'Restaurant Base (Hidden)'!$C$2:$C$1048576,0),MATCH(AC$6,'Restaurant Base (Hidden)'!$A$1:$Z$1,0)),"")</f>
        <v/>
      </c>
      <c r="AD350" s="65" t="str">
        <f>+IFERROR(INDEX('Restaurant Base (Hidden)'!$A$2:$Z$1048576,MATCH($C350,'Restaurant Base (Hidden)'!$C$2:$C$1048576,0),MATCH(AD$6,'Restaurant Base (Hidden)'!$A$1:$Z$1,0)),"")</f>
        <v>68,70 %</v>
      </c>
      <c r="AE350" s="1">
        <f>+IFERROR(INDEX('Restaurant Base (Hidden)'!$A$2:$Z$1048576,MATCH($C350,'Restaurant Base (Hidden)'!$C$2:$C$1048576,0),MATCH(AE$6,'Restaurant Base (Hidden)'!$A$1:$Z$1,0)),"")</f>
        <v>1</v>
      </c>
      <c r="AF350" s="65" t="str">
        <f>+IFERROR(INDEX('Restaurant Base (Hidden)'!$A$2:$Z$1048576,MATCH($C350,'Restaurant Base (Hidden)'!$C$2:$C$1048576,0),MATCH(AF$6,'Restaurant Base (Hidden)'!$A$1:$Z$1,0)),"")</f>
        <v>82,60 %</v>
      </c>
      <c r="AG350" s="1">
        <f>+IFERROR(INDEX('Restaurant Base (Hidden)'!$A$2:$Z$1048576,MATCH($C350,'Restaurant Base (Hidden)'!$C$2:$C$1048576,0),MATCH(AG$6,'Restaurant Base (Hidden)'!$A$1:$Z$1,0)),"")</f>
        <v>2</v>
      </c>
    </row>
    <row r="351" spans="1:33" ht="16" customHeight="1" x14ac:dyDescent="0.4">
      <c r="A351" s="163" t="str">
        <f>IF('Restaurant Base (Hidden)'!A309=0,"", 'Restaurant Base (Hidden)'!A309)</f>
        <v>Riley Wellington</v>
      </c>
      <c r="B351" s="163" t="str">
        <f>IF('Restaurant Base (Hidden)'!B309=0,"", 'Restaurant Base (Hidden)'!B309)</f>
        <v>Westfield Food Group</v>
      </c>
      <c r="C351" s="163" t="str">
        <f>IF('Restaurant Base (Hidden)'!C309=0,"", 'Restaurant Base (Hidden)'!C309)</f>
        <v>Royal Heights</v>
      </c>
      <c r="D351" s="104">
        <f t="shared" si="5"/>
        <v>344</v>
      </c>
      <c r="E351" s="105">
        <f>+IFERROR(INDEX('Restaurant Base (Hidden)'!$A$2:$Z$1048576,MATCH($C351,'Restaurant Base (Hidden)'!$C$2:$C$1048576,0),MATCH(E$6,'Restaurant Base (Hidden)'!$A$1:$Z$1,0)),"")</f>
        <v>2.5099999999999998</v>
      </c>
      <c r="F351" s="2" t="str">
        <f>+IFERROR(INDEX('Restaurant Base (Hidden)'!$A$2:$Z$1048576,MATCH($C351,'Restaurant Base (Hidden)'!$C$2:$C$1048576,0),MATCH(F$6,'Restaurant Base (Hidden)'!$A$1:$Z$1,0)),"")</f>
        <v/>
      </c>
      <c r="G351" s="20" t="str">
        <f>+IFERROR(INDEX('Restaurant Base (Hidden)'!$A$2:$Z$1048576,MATCH($C351,'Restaurant Base (Hidden)'!$C$2:$C$1048576,0),MATCH(G$6,'Restaurant Base (Hidden)'!$A$1:$Z$1,0)),"")</f>
        <v>4,523</v>
      </c>
      <c r="H351" s="50">
        <f>+IFERROR(INDEX('Restaurant Base (Hidden)'!$A$2:$Z$1048576,MATCH($C351,'Restaurant Base (Hidden)'!$C$2:$C$1048576,0),MATCH(H$6,'Restaurant Base (Hidden)'!$A$1:$Z$1,0)),"")</f>
        <v>5</v>
      </c>
      <c r="I351" s="20" t="str">
        <f>+IFERROR(INDEX('Restaurant Base (Hidden)'!$A$2:$Z$1048576,MATCH($C351,'Restaurant Base (Hidden)'!$C$2:$C$1048576,0),MATCH(I$6,'Restaurant Base (Hidden)'!$A$1:$Z$1,0)),"")</f>
        <v>63,00 %</v>
      </c>
      <c r="J351" s="49">
        <f>+IFERROR(INDEX('Restaurant Base (Hidden)'!$A$2:$Z$1048576,MATCH($C351,'Restaurant Base (Hidden)'!$C$2:$C$1048576,0),MATCH(J$6,'Restaurant Base (Hidden)'!$A$1:$Z$1,0)),"")</f>
        <v>1</v>
      </c>
      <c r="K351" s="20" t="str">
        <f>+IFERROR(INDEX('Restaurant Base (Hidden)'!$A$2:$Z$1048576,MATCH($C351,'Restaurant Base (Hidden)'!$C$2:$C$1048576,0),MATCH(K$6,'Restaurant Base (Hidden)'!$A$1:$Z$1,0)),"")</f>
        <v>0,208</v>
      </c>
      <c r="L351" s="51">
        <f>+IFERROR(INDEX('Restaurant Base (Hidden)'!$A$2:$Z$1048576,MATCH($C351,'Restaurant Base (Hidden)'!$C$2:$C$1048576,0),MATCH(L$6,'Restaurant Base (Hidden)'!$A$1:$Z$1,0)),"")</f>
        <v>1</v>
      </c>
      <c r="M351" s="2" t="str">
        <f>+IFERROR(INDEX('Restaurant Base (Hidden)'!$A$2:$Z$1048576,MATCH($C351,'Restaurant Base (Hidden)'!$C$2:$C$1048576,0),MATCH(M$6,'Restaurant Base (Hidden)'!$A$1:$Z$1,0)),"")</f>
        <v/>
      </c>
      <c r="N351" s="234" t="str">
        <f>+IFERROR(INDEX('Restaurant Base (Hidden)'!$A$2:$Z$1048576,MATCH($C351,'Restaurant Base (Hidden)'!$C$2:$C$1048576,0),MATCH(N$6,'Restaurant Base (Hidden)'!$A$1:$Z$1,0)),"")</f>
        <v>70,40 %</v>
      </c>
      <c r="O351" s="1">
        <f>+IFERROR(INDEX('Restaurant Base (Hidden)'!$A$2:$Z$1048576,MATCH($C351,'Restaurant Base (Hidden)'!$C$2:$C$1048576,0),MATCH(O$6,'Restaurant Base (Hidden)'!$A$1:$Z$1,0)),"")</f>
        <v>4</v>
      </c>
      <c r="P351" s="2" t="str">
        <f>+IFERROR(INDEX('Restaurant Base (Hidden)'!$A$2:$Z$1048576,MATCH($C351,'Restaurant Base (Hidden)'!$C$2:$C$1048576,0),MATCH(P$6,'Restaurant Base (Hidden)'!$A$1:$Z$1,0)),"")</f>
        <v/>
      </c>
      <c r="Q351" s="234" t="str">
        <f>+IFERROR(INDEX('Restaurant Base (Hidden)'!$A$2:$Z$1048576,MATCH($C351,'Restaurant Base (Hidden)'!$C$2:$C$1048576,0),MATCH(Q$6,'Restaurant Base (Hidden)'!$A$1:$Z$1,0)),"")</f>
        <v>82,60 %</v>
      </c>
      <c r="R351" s="1">
        <f>+IFERROR(INDEX('Restaurant Base (Hidden)'!$A$2:$Z$1048576,MATCH($C351,'Restaurant Base (Hidden)'!$C$2:$C$1048576,0),MATCH(R$6,'Restaurant Base (Hidden)'!$A$1:$Z$1,0)),"")</f>
        <v>5</v>
      </c>
      <c r="S351" s="2" t="str">
        <f>+IFERROR(INDEX('Restaurant Base (Hidden)'!$A$2:$Z$1048576,MATCH($C351,'Restaurant Base (Hidden)'!$C$2:$C$1048576,0),MATCH(S$6,'Restaurant Base (Hidden)'!$A$1:$Z$1,0)),"")</f>
        <v/>
      </c>
      <c r="T351" s="62">
        <f>+IFERROR(INDEX('Restaurant Base (Hidden)'!$A$2:$Z$1048576,MATCH($C351,'Restaurant Base (Hidden)'!$C$2:$C$1048576,0),MATCH(T$6,'Restaurant Base (Hidden)'!$A$1:$Z$1,0)),"")</f>
        <v>53</v>
      </c>
      <c r="U351" s="1">
        <f>+IFERROR(INDEX('Restaurant Base (Hidden)'!$A$2:$Z$1048576,MATCH($C351,'Restaurant Base (Hidden)'!$C$2:$C$1048576,0),MATCH(U$6,'Restaurant Base (Hidden)'!$A$1:$Z$1,0)),"")</f>
        <v>1</v>
      </c>
      <c r="V351" s="2" t="str">
        <f>+IFERROR(INDEX('Restaurant Base (Hidden)'!$A$2:$Z$1048576,MATCH($C351,'Restaurant Base (Hidden)'!$C$2:$C$1048576,0),MATCH(V$6,'Restaurant Base (Hidden)'!$A$1:$Z$1,0)),"")</f>
        <v/>
      </c>
      <c r="W351" s="65" t="str">
        <f>+IFERROR(INDEX('Restaurant Base (Hidden)'!$A$2:$Z$1048576,MATCH($C351,'Restaurant Base (Hidden)'!$C$2:$C$1048576,0),MATCH(W$6,'Restaurant Base (Hidden)'!$A$1:$Z$1,0)),"")</f>
        <v>58,70 %</v>
      </c>
      <c r="X351" s="1">
        <f>+IFERROR(INDEX('Restaurant Base (Hidden)'!$A$2:$Z$1048576,MATCH($C351,'Restaurant Base (Hidden)'!$C$2:$C$1048576,0),MATCH(X$6,'Restaurant Base (Hidden)'!$A$1:$Z$1,0)),"")</f>
        <v>1</v>
      </c>
      <c r="Y351" s="65" t="str">
        <f>+IFERROR(INDEX('Restaurant Base (Hidden)'!$A$2:$Z$1048576,MATCH($C351,'Restaurant Base (Hidden)'!$C$2:$C$1048576,0),MATCH(Y$6,'Restaurant Base (Hidden)'!$A$1:$Z$1,0)),"")</f>
        <v>56,20 %</v>
      </c>
      <c r="Z351" s="106">
        <f>+IFERROR(INDEX('Restaurant Base (Hidden)'!$A$2:$Z$1048576,MATCH($C351,'Restaurant Base (Hidden)'!$C$2:$C$1048576,0),MATCH(Z$6,'Restaurant Base (Hidden)'!$A$1:$Z$1,0)),"")</f>
        <v>1</v>
      </c>
      <c r="AA351" s="65" t="str">
        <f>+IFERROR(INDEX('Restaurant Base (Hidden)'!$A$2:$Z$1048576,MATCH($C351,'Restaurant Base (Hidden)'!$C$2:$C$1048576,0),MATCH(AA$6,'Restaurant Base (Hidden)'!$A$1:$Z$1,0)),"")</f>
        <v>92,60 %</v>
      </c>
      <c r="AB351" s="1">
        <f>+IFERROR(INDEX('Restaurant Base (Hidden)'!$A$2:$Z$1048576,MATCH($C351,'Restaurant Base (Hidden)'!$C$2:$C$1048576,0),MATCH(AB$6,'Restaurant Base (Hidden)'!$A$1:$Z$1,0)),"")</f>
        <v>3</v>
      </c>
      <c r="AC351" s="20" t="str">
        <f>+IFERROR(INDEX('Restaurant Base (Hidden)'!$A$2:$Z$1048576,MATCH($C351,'Restaurant Base (Hidden)'!$C$2:$C$1048576,0),MATCH(AC$6,'Restaurant Base (Hidden)'!$A$1:$Z$1,0)),"")</f>
        <v/>
      </c>
      <c r="AD351" s="65" t="str">
        <f>+IFERROR(INDEX('Restaurant Base (Hidden)'!$A$2:$Z$1048576,MATCH($C351,'Restaurant Base (Hidden)'!$C$2:$C$1048576,0),MATCH(AD$6,'Restaurant Base (Hidden)'!$A$1:$Z$1,0)),"")</f>
        <v>81,90 %</v>
      </c>
      <c r="AE351" s="1">
        <f>+IFERROR(INDEX('Restaurant Base (Hidden)'!$A$2:$Z$1048576,MATCH($C351,'Restaurant Base (Hidden)'!$C$2:$C$1048576,0),MATCH(AE$6,'Restaurant Base (Hidden)'!$A$1:$Z$1,0)),"")</f>
        <v>2</v>
      </c>
      <c r="AF351" s="65" t="str">
        <f>+IFERROR(INDEX('Restaurant Base (Hidden)'!$A$2:$Z$1048576,MATCH($C351,'Restaurant Base (Hidden)'!$C$2:$C$1048576,0),MATCH(AF$6,'Restaurant Base (Hidden)'!$A$1:$Z$1,0)),"")</f>
        <v>73,80 %</v>
      </c>
      <c r="AG351" s="1">
        <f>+IFERROR(INDEX('Restaurant Base (Hidden)'!$A$2:$Z$1048576,MATCH($C351,'Restaurant Base (Hidden)'!$C$2:$C$1048576,0),MATCH(AG$6,'Restaurant Base (Hidden)'!$A$1:$Z$1,0)),"")</f>
        <v>1</v>
      </c>
    </row>
    <row r="352" spans="1:33" ht="16" customHeight="1" x14ac:dyDescent="0.4">
      <c r="A352" s="163" t="str">
        <f>IF('Restaurant Base (Hidden)'!A304=0,"", 'Restaurant Base (Hidden)'!A304)</f>
        <v>Logan Redford</v>
      </c>
      <c r="B352" s="163" t="str">
        <f>IF('Restaurant Base (Hidden)'!B304=0,"", 'Restaurant Base (Hidden)'!B304)</f>
        <v>Brookvale Dining</v>
      </c>
      <c r="C352" s="163" t="str">
        <f>IF('Restaurant Base (Hidden)'!C304=0,"", 'Restaurant Base (Hidden)'!C304)</f>
        <v>Haven Meadows</v>
      </c>
      <c r="D352" s="104">
        <f t="shared" si="5"/>
        <v>346</v>
      </c>
      <c r="E352" s="105">
        <f>+IFERROR(INDEX('Restaurant Base (Hidden)'!$A$2:$Z$1048576,MATCH($C352,'Restaurant Base (Hidden)'!$C$2:$C$1048576,0),MATCH(E$6,'Restaurant Base (Hidden)'!$A$1:$Z$1,0)),"")</f>
        <v>2.4900000000000002</v>
      </c>
      <c r="F352" s="2" t="str">
        <f>+IFERROR(INDEX('Restaurant Base (Hidden)'!$A$2:$Z$1048576,MATCH($C352,'Restaurant Base (Hidden)'!$C$2:$C$1048576,0),MATCH(F$6,'Restaurant Base (Hidden)'!$A$1:$Z$1,0)),"")</f>
        <v/>
      </c>
      <c r="G352" s="20" t="str">
        <f>+IFERROR(INDEX('Restaurant Base (Hidden)'!$A$2:$Z$1048576,MATCH($C352,'Restaurant Base (Hidden)'!$C$2:$C$1048576,0),MATCH(G$6,'Restaurant Base (Hidden)'!$A$1:$Z$1,0)),"")</f>
        <v>4,127</v>
      </c>
      <c r="H352" s="50">
        <f>+IFERROR(INDEX('Restaurant Base (Hidden)'!$A$2:$Z$1048576,MATCH($C352,'Restaurant Base (Hidden)'!$C$2:$C$1048576,0),MATCH(H$6,'Restaurant Base (Hidden)'!$A$1:$Z$1,0)),"")</f>
        <v>2</v>
      </c>
      <c r="I352" s="20" t="str">
        <f>+IFERROR(INDEX('Restaurant Base (Hidden)'!$A$2:$Z$1048576,MATCH($C352,'Restaurant Base (Hidden)'!$C$2:$C$1048576,0),MATCH(I$6,'Restaurant Base (Hidden)'!$A$1:$Z$1,0)),"")</f>
        <v>94,40 %</v>
      </c>
      <c r="J352" s="49">
        <f>+IFERROR(INDEX('Restaurant Base (Hidden)'!$A$2:$Z$1048576,MATCH($C352,'Restaurant Base (Hidden)'!$C$2:$C$1048576,0),MATCH(J$6,'Restaurant Base (Hidden)'!$A$1:$Z$1,0)),"")</f>
        <v>5</v>
      </c>
      <c r="K352" s="20" t="str">
        <f>+IFERROR(INDEX('Restaurant Base (Hidden)'!$A$2:$Z$1048576,MATCH($C352,'Restaurant Base (Hidden)'!$C$2:$C$1048576,0),MATCH(K$6,'Restaurant Base (Hidden)'!$A$1:$Z$1,0)),"")</f>
        <v>0,202</v>
      </c>
      <c r="L352" s="51">
        <f>+IFERROR(INDEX('Restaurant Base (Hidden)'!$A$2:$Z$1048576,MATCH($C352,'Restaurant Base (Hidden)'!$C$2:$C$1048576,0),MATCH(L$6,'Restaurant Base (Hidden)'!$A$1:$Z$1,0)),"")</f>
        <v>1</v>
      </c>
      <c r="M352" s="2" t="str">
        <f>+IFERROR(INDEX('Restaurant Base (Hidden)'!$A$2:$Z$1048576,MATCH($C352,'Restaurant Base (Hidden)'!$C$2:$C$1048576,0),MATCH(M$6,'Restaurant Base (Hidden)'!$A$1:$Z$1,0)),"")</f>
        <v/>
      </c>
      <c r="N352" s="234" t="str">
        <f>+IFERROR(INDEX('Restaurant Base (Hidden)'!$A$2:$Z$1048576,MATCH($C352,'Restaurant Base (Hidden)'!$C$2:$C$1048576,0),MATCH(N$6,'Restaurant Base (Hidden)'!$A$1:$Z$1,0)),"")</f>
        <v>75,20 %</v>
      </c>
      <c r="O352" s="1">
        <f>+IFERROR(INDEX('Restaurant Base (Hidden)'!$A$2:$Z$1048576,MATCH($C352,'Restaurant Base (Hidden)'!$C$2:$C$1048576,0),MATCH(O$6,'Restaurant Base (Hidden)'!$A$1:$Z$1,0)),"")</f>
        <v>5</v>
      </c>
      <c r="P352" s="2" t="str">
        <f>+IFERROR(INDEX('Restaurant Base (Hidden)'!$A$2:$Z$1048576,MATCH($C352,'Restaurant Base (Hidden)'!$C$2:$C$1048576,0),MATCH(P$6,'Restaurant Base (Hidden)'!$A$1:$Z$1,0)),"")</f>
        <v/>
      </c>
      <c r="Q352" s="234" t="str">
        <f>+IFERROR(INDEX('Restaurant Base (Hidden)'!$A$2:$Z$1048576,MATCH($C352,'Restaurant Base (Hidden)'!$C$2:$C$1048576,0),MATCH(Q$6,'Restaurant Base (Hidden)'!$A$1:$Z$1,0)),"")</f>
        <v>58,00 %</v>
      </c>
      <c r="R352" s="1">
        <f>+IFERROR(INDEX('Restaurant Base (Hidden)'!$A$2:$Z$1048576,MATCH($C352,'Restaurant Base (Hidden)'!$C$2:$C$1048576,0),MATCH(R$6,'Restaurant Base (Hidden)'!$A$1:$Z$1,0)),"")</f>
        <v>1</v>
      </c>
      <c r="S352" s="2" t="str">
        <f>+IFERROR(INDEX('Restaurant Base (Hidden)'!$A$2:$Z$1048576,MATCH($C352,'Restaurant Base (Hidden)'!$C$2:$C$1048576,0),MATCH(S$6,'Restaurant Base (Hidden)'!$A$1:$Z$1,0)),"")</f>
        <v/>
      </c>
      <c r="T352" s="62">
        <f>+IFERROR(INDEX('Restaurant Base (Hidden)'!$A$2:$Z$1048576,MATCH($C352,'Restaurant Base (Hidden)'!$C$2:$C$1048576,0),MATCH(T$6,'Restaurant Base (Hidden)'!$A$1:$Z$1,0)),"")</f>
        <v>55.5</v>
      </c>
      <c r="U352" s="1">
        <f>+IFERROR(INDEX('Restaurant Base (Hidden)'!$A$2:$Z$1048576,MATCH($C352,'Restaurant Base (Hidden)'!$C$2:$C$1048576,0),MATCH(U$6,'Restaurant Base (Hidden)'!$A$1:$Z$1,0)),"")</f>
        <v>1</v>
      </c>
      <c r="V352" s="2" t="str">
        <f>+IFERROR(INDEX('Restaurant Base (Hidden)'!$A$2:$Z$1048576,MATCH($C352,'Restaurant Base (Hidden)'!$C$2:$C$1048576,0),MATCH(V$6,'Restaurant Base (Hidden)'!$A$1:$Z$1,0)),"")</f>
        <v/>
      </c>
      <c r="W352" s="65" t="str">
        <f>+IFERROR(INDEX('Restaurant Base (Hidden)'!$A$2:$Z$1048576,MATCH($C352,'Restaurant Base (Hidden)'!$C$2:$C$1048576,0),MATCH(W$6,'Restaurant Base (Hidden)'!$A$1:$Z$1,0)),"")</f>
        <v>59,80 %</v>
      </c>
      <c r="X352" s="1">
        <f>+IFERROR(INDEX('Restaurant Base (Hidden)'!$A$2:$Z$1048576,MATCH($C352,'Restaurant Base (Hidden)'!$C$2:$C$1048576,0),MATCH(X$6,'Restaurant Base (Hidden)'!$A$1:$Z$1,0)),"")</f>
        <v>1</v>
      </c>
      <c r="Y352" s="65" t="str">
        <f>+IFERROR(INDEX('Restaurant Base (Hidden)'!$A$2:$Z$1048576,MATCH($C352,'Restaurant Base (Hidden)'!$C$2:$C$1048576,0),MATCH(Y$6,'Restaurant Base (Hidden)'!$A$1:$Z$1,0)),"")</f>
        <v>64,90 %</v>
      </c>
      <c r="Z352" s="106">
        <f>+IFERROR(INDEX('Restaurant Base (Hidden)'!$A$2:$Z$1048576,MATCH($C352,'Restaurant Base (Hidden)'!$C$2:$C$1048576,0),MATCH(Z$6,'Restaurant Base (Hidden)'!$A$1:$Z$1,0)),"")</f>
        <v>2</v>
      </c>
      <c r="AA352" s="65" t="str">
        <f>+IFERROR(INDEX('Restaurant Base (Hidden)'!$A$2:$Z$1048576,MATCH($C352,'Restaurant Base (Hidden)'!$C$2:$C$1048576,0),MATCH(AA$6,'Restaurant Base (Hidden)'!$A$1:$Z$1,0)),"")</f>
        <v>91,10 %</v>
      </c>
      <c r="AB352" s="1">
        <f>+IFERROR(INDEX('Restaurant Base (Hidden)'!$A$2:$Z$1048576,MATCH($C352,'Restaurant Base (Hidden)'!$C$2:$C$1048576,0),MATCH(AB$6,'Restaurant Base (Hidden)'!$A$1:$Z$1,0)),"")</f>
        <v>3</v>
      </c>
      <c r="AC352" s="20" t="str">
        <f>+IFERROR(INDEX('Restaurant Base (Hidden)'!$A$2:$Z$1048576,MATCH($C352,'Restaurant Base (Hidden)'!$C$2:$C$1048576,0),MATCH(AC$6,'Restaurant Base (Hidden)'!$A$1:$Z$1,0)),"")</f>
        <v/>
      </c>
      <c r="AD352" s="65" t="str">
        <f>+IFERROR(INDEX('Restaurant Base (Hidden)'!$A$2:$Z$1048576,MATCH($C352,'Restaurant Base (Hidden)'!$C$2:$C$1048576,0),MATCH(AD$6,'Restaurant Base (Hidden)'!$A$1:$Z$1,0)),"")</f>
        <v>69,80 %</v>
      </c>
      <c r="AE352" s="1">
        <f>+IFERROR(INDEX('Restaurant Base (Hidden)'!$A$2:$Z$1048576,MATCH($C352,'Restaurant Base (Hidden)'!$C$2:$C$1048576,0),MATCH(AE$6,'Restaurant Base (Hidden)'!$A$1:$Z$1,0)),"")</f>
        <v>1</v>
      </c>
      <c r="AF352" s="65" t="str">
        <f>+IFERROR(INDEX('Restaurant Base (Hidden)'!$A$2:$Z$1048576,MATCH($C352,'Restaurant Base (Hidden)'!$C$2:$C$1048576,0),MATCH(AF$6,'Restaurant Base (Hidden)'!$A$1:$Z$1,0)),"")</f>
        <v>91,20 %</v>
      </c>
      <c r="AG352" s="1">
        <f>+IFERROR(INDEX('Restaurant Base (Hidden)'!$A$2:$Z$1048576,MATCH($C352,'Restaurant Base (Hidden)'!$C$2:$C$1048576,0),MATCH(AG$6,'Restaurant Base (Hidden)'!$A$1:$Z$1,0)),"")</f>
        <v>3</v>
      </c>
    </row>
    <row r="353" spans="1:33" ht="16" customHeight="1" x14ac:dyDescent="0.4">
      <c r="A353" s="163" t="str">
        <f>IF('Restaurant Base (Hidden)'!A376=0,"", 'Restaurant Base (Hidden)'!A376)</f>
        <v>Sage Rosemont</v>
      </c>
      <c r="B353" s="163" t="str">
        <f>IF('Restaurant Base (Hidden)'!B376=0,"", 'Restaurant Base (Hidden)'!B376)</f>
        <v>Redwood Food Partners</v>
      </c>
      <c r="C353" s="163" t="str">
        <f>IF('Restaurant Base (Hidden)'!C376=0,"", 'Restaurant Base (Hidden)'!C376)</f>
        <v>Royal Heath</v>
      </c>
      <c r="D353" s="104">
        <f t="shared" si="5"/>
        <v>347</v>
      </c>
      <c r="E353" s="105">
        <f>+IFERROR(INDEX('Restaurant Base (Hidden)'!$A$2:$Z$1048576,MATCH($C353,'Restaurant Base (Hidden)'!$C$2:$C$1048576,0),MATCH(E$6,'Restaurant Base (Hidden)'!$A$1:$Z$1,0)),"")</f>
        <v>2.48</v>
      </c>
      <c r="F353" s="2" t="str">
        <f>+IFERROR(INDEX('Restaurant Base (Hidden)'!$A$2:$Z$1048576,MATCH($C353,'Restaurant Base (Hidden)'!$C$2:$C$1048576,0),MATCH(F$6,'Restaurant Base (Hidden)'!$A$1:$Z$1,0)),"")</f>
        <v/>
      </c>
      <c r="G353" s="20" t="str">
        <f>+IFERROR(INDEX('Restaurant Base (Hidden)'!$A$2:$Z$1048576,MATCH($C353,'Restaurant Base (Hidden)'!$C$2:$C$1048576,0),MATCH(G$6,'Restaurant Base (Hidden)'!$A$1:$Z$1,0)),"")</f>
        <v>4,845</v>
      </c>
      <c r="H353" s="50">
        <f>+IFERROR(INDEX('Restaurant Base (Hidden)'!$A$2:$Z$1048576,MATCH($C353,'Restaurant Base (Hidden)'!$C$2:$C$1048576,0),MATCH(H$6,'Restaurant Base (Hidden)'!$A$1:$Z$1,0)),"")</f>
        <v>5</v>
      </c>
      <c r="I353" s="20" t="str">
        <f>+IFERROR(INDEX('Restaurant Base (Hidden)'!$A$2:$Z$1048576,MATCH($C353,'Restaurant Base (Hidden)'!$C$2:$C$1048576,0),MATCH(I$6,'Restaurant Base (Hidden)'!$A$1:$Z$1,0)),"")</f>
        <v>86,00 %</v>
      </c>
      <c r="J353" s="49">
        <f>+IFERROR(INDEX('Restaurant Base (Hidden)'!$A$2:$Z$1048576,MATCH($C353,'Restaurant Base (Hidden)'!$C$2:$C$1048576,0),MATCH(J$6,'Restaurant Base (Hidden)'!$A$1:$Z$1,0)),"")</f>
        <v>3</v>
      </c>
      <c r="K353" s="20" t="str">
        <f>+IFERROR(INDEX('Restaurant Base (Hidden)'!$A$2:$Z$1048576,MATCH($C353,'Restaurant Base (Hidden)'!$C$2:$C$1048576,0),MATCH(K$6,'Restaurant Base (Hidden)'!$A$1:$Z$1,0)),"")</f>
        <v>0,036</v>
      </c>
      <c r="L353" s="51">
        <f>+IFERROR(INDEX('Restaurant Base (Hidden)'!$A$2:$Z$1048576,MATCH($C353,'Restaurant Base (Hidden)'!$C$2:$C$1048576,0),MATCH(L$6,'Restaurant Base (Hidden)'!$A$1:$Z$1,0)),"")</f>
        <v>5</v>
      </c>
      <c r="M353" s="2" t="str">
        <f>+IFERROR(INDEX('Restaurant Base (Hidden)'!$A$2:$Z$1048576,MATCH($C353,'Restaurant Base (Hidden)'!$C$2:$C$1048576,0),MATCH(M$6,'Restaurant Base (Hidden)'!$A$1:$Z$1,0)),"")</f>
        <v/>
      </c>
      <c r="N353" s="234" t="str">
        <f>+IFERROR(INDEX('Restaurant Base (Hidden)'!$A$2:$Z$1048576,MATCH($C353,'Restaurant Base (Hidden)'!$C$2:$C$1048576,0),MATCH(N$6,'Restaurant Base (Hidden)'!$A$1:$Z$1,0)),"")</f>
        <v>67,00 %</v>
      </c>
      <c r="O353" s="1">
        <f>+IFERROR(INDEX('Restaurant Base (Hidden)'!$A$2:$Z$1048576,MATCH($C353,'Restaurant Base (Hidden)'!$C$2:$C$1048576,0),MATCH(O$6,'Restaurant Base (Hidden)'!$A$1:$Z$1,0)),"")</f>
        <v>3</v>
      </c>
      <c r="P353" s="2" t="str">
        <f>+IFERROR(INDEX('Restaurant Base (Hidden)'!$A$2:$Z$1048576,MATCH($C353,'Restaurant Base (Hidden)'!$C$2:$C$1048576,0),MATCH(P$6,'Restaurant Base (Hidden)'!$A$1:$Z$1,0)),"")</f>
        <v/>
      </c>
      <c r="Q353" s="234" t="str">
        <f>+IFERROR(INDEX('Restaurant Base (Hidden)'!$A$2:$Z$1048576,MATCH($C353,'Restaurant Base (Hidden)'!$C$2:$C$1048576,0),MATCH(Q$6,'Restaurant Base (Hidden)'!$A$1:$Z$1,0)),"")</f>
        <v>63,90 %</v>
      </c>
      <c r="R353" s="1">
        <f>+IFERROR(INDEX('Restaurant Base (Hidden)'!$A$2:$Z$1048576,MATCH($C353,'Restaurant Base (Hidden)'!$C$2:$C$1048576,0),MATCH(R$6,'Restaurant Base (Hidden)'!$A$1:$Z$1,0)),"")</f>
        <v>2</v>
      </c>
      <c r="S353" s="2" t="str">
        <f>+IFERROR(INDEX('Restaurant Base (Hidden)'!$A$2:$Z$1048576,MATCH($C353,'Restaurant Base (Hidden)'!$C$2:$C$1048576,0),MATCH(S$6,'Restaurant Base (Hidden)'!$A$1:$Z$1,0)),"")</f>
        <v/>
      </c>
      <c r="T353" s="62">
        <f>+IFERROR(INDEX('Restaurant Base (Hidden)'!$A$2:$Z$1048576,MATCH($C353,'Restaurant Base (Hidden)'!$C$2:$C$1048576,0),MATCH(T$6,'Restaurant Base (Hidden)'!$A$1:$Z$1,0)),"")</f>
        <v>55.5</v>
      </c>
      <c r="U353" s="1">
        <f>+IFERROR(INDEX('Restaurant Base (Hidden)'!$A$2:$Z$1048576,MATCH($C353,'Restaurant Base (Hidden)'!$C$2:$C$1048576,0),MATCH(U$6,'Restaurant Base (Hidden)'!$A$1:$Z$1,0)),"")</f>
        <v>1</v>
      </c>
      <c r="V353" s="2" t="str">
        <f>+IFERROR(INDEX('Restaurant Base (Hidden)'!$A$2:$Z$1048576,MATCH($C353,'Restaurant Base (Hidden)'!$C$2:$C$1048576,0),MATCH(V$6,'Restaurant Base (Hidden)'!$A$1:$Z$1,0)),"")</f>
        <v/>
      </c>
      <c r="W353" s="65" t="str">
        <f>+IFERROR(INDEX('Restaurant Base (Hidden)'!$A$2:$Z$1048576,MATCH($C353,'Restaurant Base (Hidden)'!$C$2:$C$1048576,0),MATCH(W$6,'Restaurant Base (Hidden)'!$A$1:$Z$1,0)),"")</f>
        <v>74,80 %</v>
      </c>
      <c r="X353" s="1">
        <f>+IFERROR(INDEX('Restaurant Base (Hidden)'!$A$2:$Z$1048576,MATCH($C353,'Restaurant Base (Hidden)'!$C$2:$C$1048576,0),MATCH(X$6,'Restaurant Base (Hidden)'!$A$1:$Z$1,0)),"")</f>
        <v>2</v>
      </c>
      <c r="Y353" s="65" t="str">
        <f>+IFERROR(INDEX('Restaurant Base (Hidden)'!$A$2:$Z$1048576,MATCH($C353,'Restaurant Base (Hidden)'!$C$2:$C$1048576,0),MATCH(Y$6,'Restaurant Base (Hidden)'!$A$1:$Z$1,0)),"")</f>
        <v>94,40 %</v>
      </c>
      <c r="Z353" s="106">
        <f>+IFERROR(INDEX('Restaurant Base (Hidden)'!$A$2:$Z$1048576,MATCH($C353,'Restaurant Base (Hidden)'!$C$2:$C$1048576,0),MATCH(Z$6,'Restaurant Base (Hidden)'!$A$1:$Z$1,0)),"")</f>
        <v>4</v>
      </c>
      <c r="AA353" s="65" t="str">
        <f>+IFERROR(INDEX('Restaurant Base (Hidden)'!$A$2:$Z$1048576,MATCH($C353,'Restaurant Base (Hidden)'!$C$2:$C$1048576,0),MATCH(AA$6,'Restaurant Base (Hidden)'!$A$1:$Z$1,0)),"")</f>
        <v>71,10 %</v>
      </c>
      <c r="AB353" s="1">
        <f>+IFERROR(INDEX('Restaurant Base (Hidden)'!$A$2:$Z$1048576,MATCH($C353,'Restaurant Base (Hidden)'!$C$2:$C$1048576,0),MATCH(AB$6,'Restaurant Base (Hidden)'!$A$1:$Z$1,0)),"")</f>
        <v>2</v>
      </c>
      <c r="AC353" s="20" t="str">
        <f>+IFERROR(INDEX('Restaurant Base (Hidden)'!$A$2:$Z$1048576,MATCH($C353,'Restaurant Base (Hidden)'!$C$2:$C$1048576,0),MATCH(AC$6,'Restaurant Base (Hidden)'!$A$1:$Z$1,0)),"")</f>
        <v/>
      </c>
      <c r="AD353" s="65" t="str">
        <f>+IFERROR(INDEX('Restaurant Base (Hidden)'!$A$2:$Z$1048576,MATCH($C353,'Restaurant Base (Hidden)'!$C$2:$C$1048576,0),MATCH(AD$6,'Restaurant Base (Hidden)'!$A$1:$Z$1,0)),"")</f>
        <v>61,40 %</v>
      </c>
      <c r="AE353" s="1">
        <f>+IFERROR(INDEX('Restaurant Base (Hidden)'!$A$2:$Z$1048576,MATCH($C353,'Restaurant Base (Hidden)'!$C$2:$C$1048576,0),MATCH(AE$6,'Restaurant Base (Hidden)'!$A$1:$Z$1,0)),"")</f>
        <v>1</v>
      </c>
      <c r="AF353" s="65" t="str">
        <f>+IFERROR(INDEX('Restaurant Base (Hidden)'!$A$2:$Z$1048576,MATCH($C353,'Restaurant Base (Hidden)'!$C$2:$C$1048576,0),MATCH(AF$6,'Restaurant Base (Hidden)'!$A$1:$Z$1,0)),"")</f>
        <v>60,00 %</v>
      </c>
      <c r="AG353" s="1">
        <f>+IFERROR(INDEX('Restaurant Base (Hidden)'!$A$2:$Z$1048576,MATCH($C353,'Restaurant Base (Hidden)'!$C$2:$C$1048576,0),MATCH(AG$6,'Restaurant Base (Hidden)'!$A$1:$Z$1,0)),"")</f>
        <v>1</v>
      </c>
    </row>
    <row r="354" spans="1:33" ht="16" customHeight="1" x14ac:dyDescent="0.4">
      <c r="A354" s="163" t="str">
        <f>IF('Restaurant Base (Hidden)'!A196=0,"", 'Restaurant Base (Hidden)'!A196)</f>
        <v>Taylor Hartwell</v>
      </c>
      <c r="B354" s="163" t="str">
        <f>IF('Restaurant Base (Hidden)'!B196=0,"", 'Restaurant Base (Hidden)'!B196)</f>
        <v>Crestwood Dining</v>
      </c>
      <c r="C354" s="163" t="str">
        <f>IF('Restaurant Base (Hidden)'!C196=0,"", 'Restaurant Base (Hidden)'!C196)</f>
        <v>Oakridge Meadows</v>
      </c>
      <c r="D354" s="104">
        <f t="shared" si="5"/>
        <v>348</v>
      </c>
      <c r="E354" s="105">
        <f>+IFERROR(INDEX('Restaurant Base (Hidden)'!$A$2:$Z$1048576,MATCH($C354,'Restaurant Base (Hidden)'!$C$2:$C$1048576,0),MATCH(E$6,'Restaurant Base (Hidden)'!$A$1:$Z$1,0)),"")</f>
        <v>2.4700000000000002</v>
      </c>
      <c r="F354" s="2" t="str">
        <f>+IFERROR(INDEX('Restaurant Base (Hidden)'!$A$2:$Z$1048576,MATCH($C354,'Restaurant Base (Hidden)'!$C$2:$C$1048576,0),MATCH(F$6,'Restaurant Base (Hidden)'!$A$1:$Z$1,0)),"")</f>
        <v/>
      </c>
      <c r="G354" s="20" t="str">
        <f>+IFERROR(INDEX('Restaurant Base (Hidden)'!$A$2:$Z$1048576,MATCH($C354,'Restaurant Base (Hidden)'!$C$2:$C$1048576,0),MATCH(G$6,'Restaurant Base (Hidden)'!$A$1:$Z$1,0)),"")</f>
        <v>4,241</v>
      </c>
      <c r="H354" s="50">
        <f>+IFERROR(INDEX('Restaurant Base (Hidden)'!$A$2:$Z$1048576,MATCH($C354,'Restaurant Base (Hidden)'!$C$2:$C$1048576,0),MATCH(H$6,'Restaurant Base (Hidden)'!$A$1:$Z$1,0)),"")</f>
        <v>3</v>
      </c>
      <c r="I354" s="20" t="str">
        <f>+IFERROR(INDEX('Restaurant Base (Hidden)'!$A$2:$Z$1048576,MATCH($C354,'Restaurant Base (Hidden)'!$C$2:$C$1048576,0),MATCH(I$6,'Restaurant Base (Hidden)'!$A$1:$Z$1,0)),"")</f>
        <v>96,80 %</v>
      </c>
      <c r="J354" s="49">
        <f>+IFERROR(INDEX('Restaurant Base (Hidden)'!$A$2:$Z$1048576,MATCH($C354,'Restaurant Base (Hidden)'!$C$2:$C$1048576,0),MATCH(J$6,'Restaurant Base (Hidden)'!$A$1:$Z$1,0)),"")</f>
        <v>5</v>
      </c>
      <c r="K354" s="20" t="str">
        <f>+IFERROR(INDEX('Restaurant Base (Hidden)'!$A$2:$Z$1048576,MATCH($C354,'Restaurant Base (Hidden)'!$C$2:$C$1048576,0),MATCH(K$6,'Restaurant Base (Hidden)'!$A$1:$Z$1,0)),"")</f>
        <v>0,182</v>
      </c>
      <c r="L354" s="51">
        <f>+IFERROR(INDEX('Restaurant Base (Hidden)'!$A$2:$Z$1048576,MATCH($C354,'Restaurant Base (Hidden)'!$C$2:$C$1048576,0),MATCH(L$6,'Restaurant Base (Hidden)'!$A$1:$Z$1,0)),"")</f>
        <v>1</v>
      </c>
      <c r="M354" s="2" t="str">
        <f>+IFERROR(INDEX('Restaurant Base (Hidden)'!$A$2:$Z$1048576,MATCH($C354,'Restaurant Base (Hidden)'!$C$2:$C$1048576,0),MATCH(M$6,'Restaurant Base (Hidden)'!$A$1:$Z$1,0)),"")</f>
        <v/>
      </c>
      <c r="N354" s="234" t="str">
        <f>+IFERROR(INDEX('Restaurant Base (Hidden)'!$A$2:$Z$1048576,MATCH($C354,'Restaurant Base (Hidden)'!$C$2:$C$1048576,0),MATCH(N$6,'Restaurant Base (Hidden)'!$A$1:$Z$1,0)),"")</f>
        <v>69,30 %</v>
      </c>
      <c r="O354" s="1">
        <f>+IFERROR(INDEX('Restaurant Base (Hidden)'!$A$2:$Z$1048576,MATCH($C354,'Restaurant Base (Hidden)'!$C$2:$C$1048576,0),MATCH(O$6,'Restaurant Base (Hidden)'!$A$1:$Z$1,0)),"")</f>
        <v>4</v>
      </c>
      <c r="P354" s="2" t="str">
        <f>+IFERROR(INDEX('Restaurant Base (Hidden)'!$A$2:$Z$1048576,MATCH($C354,'Restaurant Base (Hidden)'!$C$2:$C$1048576,0),MATCH(P$6,'Restaurant Base (Hidden)'!$A$1:$Z$1,0)),"")</f>
        <v/>
      </c>
      <c r="Q354" s="234" t="str">
        <f>+IFERROR(INDEX('Restaurant Base (Hidden)'!$A$2:$Z$1048576,MATCH($C354,'Restaurant Base (Hidden)'!$C$2:$C$1048576,0),MATCH(Q$6,'Restaurant Base (Hidden)'!$A$1:$Z$1,0)),"")</f>
        <v>58,10 %</v>
      </c>
      <c r="R354" s="1">
        <f>+IFERROR(INDEX('Restaurant Base (Hidden)'!$A$2:$Z$1048576,MATCH($C354,'Restaurant Base (Hidden)'!$C$2:$C$1048576,0),MATCH(R$6,'Restaurant Base (Hidden)'!$A$1:$Z$1,0)),"")</f>
        <v>1</v>
      </c>
      <c r="S354" s="2" t="str">
        <f>+IFERROR(INDEX('Restaurant Base (Hidden)'!$A$2:$Z$1048576,MATCH($C354,'Restaurant Base (Hidden)'!$C$2:$C$1048576,0),MATCH(S$6,'Restaurant Base (Hidden)'!$A$1:$Z$1,0)),"")</f>
        <v/>
      </c>
      <c r="T354" s="62">
        <f>+IFERROR(INDEX('Restaurant Base (Hidden)'!$A$2:$Z$1048576,MATCH($C354,'Restaurant Base (Hidden)'!$C$2:$C$1048576,0),MATCH(T$6,'Restaurant Base (Hidden)'!$A$1:$Z$1,0)),"")</f>
        <v>56.6</v>
      </c>
      <c r="U354" s="1">
        <f>+IFERROR(INDEX('Restaurant Base (Hidden)'!$A$2:$Z$1048576,MATCH($C354,'Restaurant Base (Hidden)'!$C$2:$C$1048576,0),MATCH(U$6,'Restaurant Base (Hidden)'!$A$1:$Z$1,0)),"")</f>
        <v>1</v>
      </c>
      <c r="V354" s="2" t="str">
        <f>+IFERROR(INDEX('Restaurant Base (Hidden)'!$A$2:$Z$1048576,MATCH($C354,'Restaurant Base (Hidden)'!$C$2:$C$1048576,0),MATCH(V$6,'Restaurant Base (Hidden)'!$A$1:$Z$1,0)),"")</f>
        <v/>
      </c>
      <c r="W354" s="65" t="str">
        <f>+IFERROR(INDEX('Restaurant Base (Hidden)'!$A$2:$Z$1048576,MATCH($C354,'Restaurant Base (Hidden)'!$C$2:$C$1048576,0),MATCH(W$6,'Restaurant Base (Hidden)'!$A$1:$Z$1,0)),"")</f>
        <v>57,60 %</v>
      </c>
      <c r="X354" s="1">
        <f>+IFERROR(INDEX('Restaurant Base (Hidden)'!$A$2:$Z$1048576,MATCH($C354,'Restaurant Base (Hidden)'!$C$2:$C$1048576,0),MATCH(X$6,'Restaurant Base (Hidden)'!$A$1:$Z$1,0)),"")</f>
        <v>1</v>
      </c>
      <c r="Y354" s="65" t="str">
        <f>+IFERROR(INDEX('Restaurant Base (Hidden)'!$A$2:$Z$1048576,MATCH($C354,'Restaurant Base (Hidden)'!$C$2:$C$1048576,0),MATCH(Y$6,'Restaurant Base (Hidden)'!$A$1:$Z$1,0)),"")</f>
        <v>67,90 %</v>
      </c>
      <c r="Z354" s="106">
        <f>+IFERROR(INDEX('Restaurant Base (Hidden)'!$A$2:$Z$1048576,MATCH($C354,'Restaurant Base (Hidden)'!$C$2:$C$1048576,0),MATCH(Z$6,'Restaurant Base (Hidden)'!$A$1:$Z$1,0)),"")</f>
        <v>2</v>
      </c>
      <c r="AA354" s="65" t="str">
        <f>+IFERROR(INDEX('Restaurant Base (Hidden)'!$A$2:$Z$1048576,MATCH($C354,'Restaurant Base (Hidden)'!$C$2:$C$1048576,0),MATCH(AA$6,'Restaurant Base (Hidden)'!$A$1:$Z$1,0)),"")</f>
        <v>56,40 %</v>
      </c>
      <c r="AB354" s="1">
        <f>+IFERROR(INDEX('Restaurant Base (Hidden)'!$A$2:$Z$1048576,MATCH($C354,'Restaurant Base (Hidden)'!$C$2:$C$1048576,0),MATCH(AB$6,'Restaurant Base (Hidden)'!$A$1:$Z$1,0)),"")</f>
        <v>1</v>
      </c>
      <c r="AC354" s="20" t="str">
        <f>+IFERROR(INDEX('Restaurant Base (Hidden)'!$A$2:$Z$1048576,MATCH($C354,'Restaurant Base (Hidden)'!$C$2:$C$1048576,0),MATCH(AC$6,'Restaurant Base (Hidden)'!$A$1:$Z$1,0)),"")</f>
        <v/>
      </c>
      <c r="AD354" s="65" t="str">
        <f>+IFERROR(INDEX('Restaurant Base (Hidden)'!$A$2:$Z$1048576,MATCH($C354,'Restaurant Base (Hidden)'!$C$2:$C$1048576,0),MATCH(AD$6,'Restaurant Base (Hidden)'!$A$1:$Z$1,0)),"")</f>
        <v>97,80 %</v>
      </c>
      <c r="AE354" s="1">
        <f>+IFERROR(INDEX('Restaurant Base (Hidden)'!$A$2:$Z$1048576,MATCH($C354,'Restaurant Base (Hidden)'!$C$2:$C$1048576,0),MATCH(AE$6,'Restaurant Base (Hidden)'!$A$1:$Z$1,0)),"")</f>
        <v>5</v>
      </c>
      <c r="AF354" s="65" t="str">
        <f>+IFERROR(INDEX('Restaurant Base (Hidden)'!$A$2:$Z$1048576,MATCH($C354,'Restaurant Base (Hidden)'!$C$2:$C$1048576,0),MATCH(AF$6,'Restaurant Base (Hidden)'!$A$1:$Z$1,0)),"")</f>
        <v>58,50 %</v>
      </c>
      <c r="AG354" s="1">
        <f>+IFERROR(INDEX('Restaurant Base (Hidden)'!$A$2:$Z$1048576,MATCH($C354,'Restaurant Base (Hidden)'!$C$2:$C$1048576,0),MATCH(AG$6,'Restaurant Base (Hidden)'!$A$1:$Z$1,0)),"")</f>
        <v>1</v>
      </c>
    </row>
    <row r="355" spans="1:33" ht="16" customHeight="1" x14ac:dyDescent="0.4">
      <c r="A355" s="163" t="str">
        <f>IF('Restaurant Base (Hidden)'!A285=0,"", 'Restaurant Base (Hidden)'!A285)</f>
        <v>Emerson Greenleigh</v>
      </c>
      <c r="B355" s="163" t="str">
        <f>IF('Restaurant Base (Hidden)'!B285=0,"", 'Restaurant Base (Hidden)'!B285)</f>
        <v>Oakbridge Restaurant Group</v>
      </c>
      <c r="C355" s="163" t="str">
        <f>IF('Restaurant Base (Hidden)'!C285=0,"", 'Restaurant Base (Hidden)'!C285)</f>
        <v>Clearwater Ridge</v>
      </c>
      <c r="D355" s="104">
        <f t="shared" si="5"/>
        <v>348</v>
      </c>
      <c r="E355" s="105">
        <f>+IFERROR(INDEX('Restaurant Base (Hidden)'!$A$2:$Z$1048576,MATCH($C355,'Restaurant Base (Hidden)'!$C$2:$C$1048576,0),MATCH(E$6,'Restaurant Base (Hidden)'!$A$1:$Z$1,0)),"")</f>
        <v>2.4700000000000002</v>
      </c>
      <c r="F355" s="2" t="str">
        <f>+IFERROR(INDEX('Restaurant Base (Hidden)'!$A$2:$Z$1048576,MATCH($C355,'Restaurant Base (Hidden)'!$C$2:$C$1048576,0),MATCH(F$6,'Restaurant Base (Hidden)'!$A$1:$Z$1,0)),"")</f>
        <v/>
      </c>
      <c r="G355" s="20" t="str">
        <f>+IFERROR(INDEX('Restaurant Base (Hidden)'!$A$2:$Z$1048576,MATCH($C355,'Restaurant Base (Hidden)'!$C$2:$C$1048576,0),MATCH(G$6,'Restaurant Base (Hidden)'!$A$1:$Z$1,0)),"")</f>
        <v>4,337</v>
      </c>
      <c r="H355" s="50">
        <f>+IFERROR(INDEX('Restaurant Base (Hidden)'!$A$2:$Z$1048576,MATCH($C355,'Restaurant Base (Hidden)'!$C$2:$C$1048576,0),MATCH(H$6,'Restaurant Base (Hidden)'!$A$1:$Z$1,0)),"")</f>
        <v>3</v>
      </c>
      <c r="I355" s="20" t="str">
        <f>+IFERROR(INDEX('Restaurant Base (Hidden)'!$A$2:$Z$1048576,MATCH($C355,'Restaurant Base (Hidden)'!$C$2:$C$1048576,0),MATCH(I$6,'Restaurant Base (Hidden)'!$A$1:$Z$1,0)),"")</f>
        <v>85,20 %</v>
      </c>
      <c r="J355" s="49">
        <f>+IFERROR(INDEX('Restaurant Base (Hidden)'!$A$2:$Z$1048576,MATCH($C355,'Restaurant Base (Hidden)'!$C$2:$C$1048576,0),MATCH(J$6,'Restaurant Base (Hidden)'!$A$1:$Z$1,0)),"")</f>
        <v>3</v>
      </c>
      <c r="K355" s="20" t="str">
        <f>+IFERROR(INDEX('Restaurant Base (Hidden)'!$A$2:$Z$1048576,MATCH($C355,'Restaurant Base (Hidden)'!$C$2:$C$1048576,0),MATCH(K$6,'Restaurant Base (Hidden)'!$A$1:$Z$1,0)),"")</f>
        <v>0,149</v>
      </c>
      <c r="L355" s="51">
        <f>+IFERROR(INDEX('Restaurant Base (Hidden)'!$A$2:$Z$1048576,MATCH($C355,'Restaurant Base (Hidden)'!$C$2:$C$1048576,0),MATCH(L$6,'Restaurant Base (Hidden)'!$A$1:$Z$1,0)),"")</f>
        <v>2</v>
      </c>
      <c r="M355" s="2" t="str">
        <f>+IFERROR(INDEX('Restaurant Base (Hidden)'!$A$2:$Z$1048576,MATCH($C355,'Restaurant Base (Hidden)'!$C$2:$C$1048576,0),MATCH(M$6,'Restaurant Base (Hidden)'!$A$1:$Z$1,0)),"")</f>
        <v/>
      </c>
      <c r="N355" s="234" t="str">
        <f>+IFERROR(INDEX('Restaurant Base (Hidden)'!$A$2:$Z$1048576,MATCH($C355,'Restaurant Base (Hidden)'!$C$2:$C$1048576,0),MATCH(N$6,'Restaurant Base (Hidden)'!$A$1:$Z$1,0)),"")</f>
        <v>59,40 %</v>
      </c>
      <c r="O355" s="1">
        <f>+IFERROR(INDEX('Restaurant Base (Hidden)'!$A$2:$Z$1048576,MATCH($C355,'Restaurant Base (Hidden)'!$C$2:$C$1048576,0),MATCH(O$6,'Restaurant Base (Hidden)'!$A$1:$Z$1,0)),"")</f>
        <v>1</v>
      </c>
      <c r="P355" s="2" t="str">
        <f>+IFERROR(INDEX('Restaurant Base (Hidden)'!$A$2:$Z$1048576,MATCH($C355,'Restaurant Base (Hidden)'!$C$2:$C$1048576,0),MATCH(P$6,'Restaurant Base (Hidden)'!$A$1:$Z$1,0)),"")</f>
        <v/>
      </c>
      <c r="Q355" s="234" t="str">
        <f>+IFERROR(INDEX('Restaurant Base (Hidden)'!$A$2:$Z$1048576,MATCH($C355,'Restaurant Base (Hidden)'!$C$2:$C$1048576,0),MATCH(Q$6,'Restaurant Base (Hidden)'!$A$1:$Z$1,0)),"")</f>
        <v>70,70 %</v>
      </c>
      <c r="R355" s="1">
        <f>+IFERROR(INDEX('Restaurant Base (Hidden)'!$A$2:$Z$1048576,MATCH($C355,'Restaurant Base (Hidden)'!$C$2:$C$1048576,0),MATCH(R$6,'Restaurant Base (Hidden)'!$A$1:$Z$1,0)),"")</f>
        <v>4</v>
      </c>
      <c r="S355" s="2" t="str">
        <f>+IFERROR(INDEX('Restaurant Base (Hidden)'!$A$2:$Z$1048576,MATCH($C355,'Restaurant Base (Hidden)'!$C$2:$C$1048576,0),MATCH(S$6,'Restaurant Base (Hidden)'!$A$1:$Z$1,0)),"")</f>
        <v/>
      </c>
      <c r="T355" s="62">
        <f>+IFERROR(INDEX('Restaurant Base (Hidden)'!$A$2:$Z$1048576,MATCH($C355,'Restaurant Base (Hidden)'!$C$2:$C$1048576,0),MATCH(T$6,'Restaurant Base (Hidden)'!$A$1:$Z$1,0)),"")</f>
        <v>57.9</v>
      </c>
      <c r="U355" s="1">
        <f>+IFERROR(INDEX('Restaurant Base (Hidden)'!$A$2:$Z$1048576,MATCH($C355,'Restaurant Base (Hidden)'!$C$2:$C$1048576,0),MATCH(U$6,'Restaurant Base (Hidden)'!$A$1:$Z$1,0)),"")</f>
        <v>2</v>
      </c>
      <c r="V355" s="2" t="str">
        <f>+IFERROR(INDEX('Restaurant Base (Hidden)'!$A$2:$Z$1048576,MATCH($C355,'Restaurant Base (Hidden)'!$C$2:$C$1048576,0),MATCH(V$6,'Restaurant Base (Hidden)'!$A$1:$Z$1,0)),"")</f>
        <v/>
      </c>
      <c r="W355" s="65" t="str">
        <f>+IFERROR(INDEX('Restaurant Base (Hidden)'!$A$2:$Z$1048576,MATCH($C355,'Restaurant Base (Hidden)'!$C$2:$C$1048576,0),MATCH(W$6,'Restaurant Base (Hidden)'!$A$1:$Z$1,0)),"")</f>
        <v>72,90 %</v>
      </c>
      <c r="X355" s="1">
        <f>+IFERROR(INDEX('Restaurant Base (Hidden)'!$A$2:$Z$1048576,MATCH($C355,'Restaurant Base (Hidden)'!$C$2:$C$1048576,0),MATCH(X$6,'Restaurant Base (Hidden)'!$A$1:$Z$1,0)),"")</f>
        <v>2</v>
      </c>
      <c r="Y355" s="65" t="str">
        <f>+IFERROR(INDEX('Restaurant Base (Hidden)'!$A$2:$Z$1048576,MATCH($C355,'Restaurant Base (Hidden)'!$C$2:$C$1048576,0),MATCH(Y$6,'Restaurant Base (Hidden)'!$A$1:$Z$1,0)),"")</f>
        <v>90,40 %</v>
      </c>
      <c r="Z355" s="106">
        <f>+IFERROR(INDEX('Restaurant Base (Hidden)'!$A$2:$Z$1048576,MATCH($C355,'Restaurant Base (Hidden)'!$C$2:$C$1048576,0),MATCH(Z$6,'Restaurant Base (Hidden)'!$A$1:$Z$1,0)),"")</f>
        <v>3</v>
      </c>
      <c r="AA355" s="65" t="str">
        <f>+IFERROR(INDEX('Restaurant Base (Hidden)'!$A$2:$Z$1048576,MATCH($C355,'Restaurant Base (Hidden)'!$C$2:$C$1048576,0),MATCH(AA$6,'Restaurant Base (Hidden)'!$A$1:$Z$1,0)),"")</f>
        <v>76,20 %</v>
      </c>
      <c r="AB355" s="1">
        <f>+IFERROR(INDEX('Restaurant Base (Hidden)'!$A$2:$Z$1048576,MATCH($C355,'Restaurant Base (Hidden)'!$C$2:$C$1048576,0),MATCH(AB$6,'Restaurant Base (Hidden)'!$A$1:$Z$1,0)),"")</f>
        <v>2</v>
      </c>
      <c r="AC355" s="20" t="str">
        <f>+IFERROR(INDEX('Restaurant Base (Hidden)'!$A$2:$Z$1048576,MATCH($C355,'Restaurant Base (Hidden)'!$C$2:$C$1048576,0),MATCH(AC$6,'Restaurant Base (Hidden)'!$A$1:$Z$1,0)),"")</f>
        <v/>
      </c>
      <c r="AD355" s="65" t="str">
        <f>+IFERROR(INDEX('Restaurant Base (Hidden)'!$A$2:$Z$1048576,MATCH($C355,'Restaurant Base (Hidden)'!$C$2:$C$1048576,0),MATCH(AD$6,'Restaurant Base (Hidden)'!$A$1:$Z$1,0)),"")</f>
        <v>94,70 %</v>
      </c>
      <c r="AE355" s="1">
        <f>+IFERROR(INDEX('Restaurant Base (Hidden)'!$A$2:$Z$1048576,MATCH($C355,'Restaurant Base (Hidden)'!$C$2:$C$1048576,0),MATCH(AE$6,'Restaurant Base (Hidden)'!$A$1:$Z$1,0)),"")</f>
        <v>4</v>
      </c>
      <c r="AF355" s="65" t="str">
        <f>+IFERROR(INDEX('Restaurant Base (Hidden)'!$A$2:$Z$1048576,MATCH($C355,'Restaurant Base (Hidden)'!$C$2:$C$1048576,0),MATCH(AF$6,'Restaurant Base (Hidden)'!$A$1:$Z$1,0)),"")</f>
        <v>58,10 %</v>
      </c>
      <c r="AG355" s="1">
        <f>+IFERROR(INDEX('Restaurant Base (Hidden)'!$A$2:$Z$1048576,MATCH($C355,'Restaurant Base (Hidden)'!$C$2:$C$1048576,0),MATCH(AG$6,'Restaurant Base (Hidden)'!$A$1:$Z$1,0)),"")</f>
        <v>1</v>
      </c>
    </row>
    <row r="356" spans="1:33" ht="16" customHeight="1" x14ac:dyDescent="0.4">
      <c r="A356" s="163" t="str">
        <f>IF('Restaurant Base (Hidden)'!A289=0,"", 'Restaurant Base (Hidden)'!A289)</f>
        <v>Sage Rosemont</v>
      </c>
      <c r="B356" s="163" t="str">
        <f>IF('Restaurant Base (Hidden)'!B289=0,"", 'Restaurant Base (Hidden)'!B289)</f>
        <v>Rivermark Food Group</v>
      </c>
      <c r="C356" s="163" t="str">
        <f>IF('Restaurant Base (Hidden)'!C289=0,"", 'Restaurant Base (Hidden)'!C289)</f>
        <v>Bright Station</v>
      </c>
      <c r="D356" s="104">
        <f t="shared" si="5"/>
        <v>348</v>
      </c>
      <c r="E356" s="105">
        <f>+IFERROR(INDEX('Restaurant Base (Hidden)'!$A$2:$Z$1048576,MATCH($C356,'Restaurant Base (Hidden)'!$C$2:$C$1048576,0),MATCH(E$6,'Restaurant Base (Hidden)'!$A$1:$Z$1,0)),"")</f>
        <v>2.4700000000000002</v>
      </c>
      <c r="F356" s="2" t="str">
        <f>+IFERROR(INDEX('Restaurant Base (Hidden)'!$A$2:$Z$1048576,MATCH($C356,'Restaurant Base (Hidden)'!$C$2:$C$1048576,0),MATCH(F$6,'Restaurant Base (Hidden)'!$A$1:$Z$1,0)),"")</f>
        <v/>
      </c>
      <c r="G356" s="20" t="str">
        <f>+IFERROR(INDEX('Restaurant Base (Hidden)'!$A$2:$Z$1048576,MATCH($C356,'Restaurant Base (Hidden)'!$C$2:$C$1048576,0),MATCH(G$6,'Restaurant Base (Hidden)'!$A$1:$Z$1,0)),"")</f>
        <v>4,534</v>
      </c>
      <c r="H356" s="50">
        <f>+IFERROR(INDEX('Restaurant Base (Hidden)'!$A$2:$Z$1048576,MATCH($C356,'Restaurant Base (Hidden)'!$C$2:$C$1048576,0),MATCH(H$6,'Restaurant Base (Hidden)'!$A$1:$Z$1,0)),"")</f>
        <v>5</v>
      </c>
      <c r="I356" s="20" t="str">
        <f>+IFERROR(INDEX('Restaurant Base (Hidden)'!$A$2:$Z$1048576,MATCH($C356,'Restaurant Base (Hidden)'!$C$2:$C$1048576,0),MATCH(I$6,'Restaurant Base (Hidden)'!$A$1:$Z$1,0)),"")</f>
        <v>75,50 %</v>
      </c>
      <c r="J356" s="49">
        <f>+IFERROR(INDEX('Restaurant Base (Hidden)'!$A$2:$Z$1048576,MATCH($C356,'Restaurant Base (Hidden)'!$C$2:$C$1048576,0),MATCH(J$6,'Restaurant Base (Hidden)'!$A$1:$Z$1,0)),"")</f>
        <v>1</v>
      </c>
      <c r="K356" s="20" t="str">
        <f>+IFERROR(INDEX('Restaurant Base (Hidden)'!$A$2:$Z$1048576,MATCH($C356,'Restaurant Base (Hidden)'!$C$2:$C$1048576,0),MATCH(K$6,'Restaurant Base (Hidden)'!$A$1:$Z$1,0)),"")</f>
        <v>0,210</v>
      </c>
      <c r="L356" s="51">
        <f>+IFERROR(INDEX('Restaurant Base (Hidden)'!$A$2:$Z$1048576,MATCH($C356,'Restaurant Base (Hidden)'!$C$2:$C$1048576,0),MATCH(L$6,'Restaurant Base (Hidden)'!$A$1:$Z$1,0)),"")</f>
        <v>1</v>
      </c>
      <c r="M356" s="2" t="str">
        <f>+IFERROR(INDEX('Restaurant Base (Hidden)'!$A$2:$Z$1048576,MATCH($C356,'Restaurant Base (Hidden)'!$C$2:$C$1048576,0),MATCH(M$6,'Restaurant Base (Hidden)'!$A$1:$Z$1,0)),"")</f>
        <v/>
      </c>
      <c r="N356" s="234" t="str">
        <f>+IFERROR(INDEX('Restaurant Base (Hidden)'!$A$2:$Z$1048576,MATCH($C356,'Restaurant Base (Hidden)'!$C$2:$C$1048576,0),MATCH(N$6,'Restaurant Base (Hidden)'!$A$1:$Z$1,0)),"")</f>
        <v>82,30 %</v>
      </c>
      <c r="O356" s="1">
        <f>+IFERROR(INDEX('Restaurant Base (Hidden)'!$A$2:$Z$1048576,MATCH($C356,'Restaurant Base (Hidden)'!$C$2:$C$1048576,0),MATCH(O$6,'Restaurant Base (Hidden)'!$A$1:$Z$1,0)),"")</f>
        <v>5</v>
      </c>
      <c r="P356" s="2" t="str">
        <f>+IFERROR(INDEX('Restaurant Base (Hidden)'!$A$2:$Z$1048576,MATCH($C356,'Restaurant Base (Hidden)'!$C$2:$C$1048576,0),MATCH(P$6,'Restaurant Base (Hidden)'!$A$1:$Z$1,0)),"")</f>
        <v/>
      </c>
      <c r="Q356" s="234" t="str">
        <f>+IFERROR(INDEX('Restaurant Base (Hidden)'!$A$2:$Z$1048576,MATCH($C356,'Restaurant Base (Hidden)'!$C$2:$C$1048576,0),MATCH(Q$6,'Restaurant Base (Hidden)'!$A$1:$Z$1,0)),"")</f>
        <v>62,80 %</v>
      </c>
      <c r="R356" s="1">
        <f>+IFERROR(INDEX('Restaurant Base (Hidden)'!$A$2:$Z$1048576,MATCH($C356,'Restaurant Base (Hidden)'!$C$2:$C$1048576,0),MATCH(R$6,'Restaurant Base (Hidden)'!$A$1:$Z$1,0)),"")</f>
        <v>2</v>
      </c>
      <c r="S356" s="2" t="str">
        <f>+IFERROR(INDEX('Restaurant Base (Hidden)'!$A$2:$Z$1048576,MATCH($C356,'Restaurant Base (Hidden)'!$C$2:$C$1048576,0),MATCH(S$6,'Restaurant Base (Hidden)'!$A$1:$Z$1,0)),"")</f>
        <v/>
      </c>
      <c r="T356" s="62">
        <f>+IFERROR(INDEX('Restaurant Base (Hidden)'!$A$2:$Z$1048576,MATCH($C356,'Restaurant Base (Hidden)'!$C$2:$C$1048576,0),MATCH(T$6,'Restaurant Base (Hidden)'!$A$1:$Z$1,0)),"")</f>
        <v>54.1</v>
      </c>
      <c r="U356" s="1">
        <f>+IFERROR(INDEX('Restaurant Base (Hidden)'!$A$2:$Z$1048576,MATCH($C356,'Restaurant Base (Hidden)'!$C$2:$C$1048576,0),MATCH(U$6,'Restaurant Base (Hidden)'!$A$1:$Z$1,0)),"")</f>
        <v>1</v>
      </c>
      <c r="V356" s="2" t="str">
        <f>+IFERROR(INDEX('Restaurant Base (Hidden)'!$A$2:$Z$1048576,MATCH($C356,'Restaurant Base (Hidden)'!$C$2:$C$1048576,0),MATCH(V$6,'Restaurant Base (Hidden)'!$A$1:$Z$1,0)),"")</f>
        <v/>
      </c>
      <c r="W356" s="65" t="str">
        <f>+IFERROR(INDEX('Restaurant Base (Hidden)'!$A$2:$Z$1048576,MATCH($C356,'Restaurant Base (Hidden)'!$C$2:$C$1048576,0),MATCH(W$6,'Restaurant Base (Hidden)'!$A$1:$Z$1,0)),"")</f>
        <v>96,60 %</v>
      </c>
      <c r="X356" s="1">
        <f>+IFERROR(INDEX('Restaurant Base (Hidden)'!$A$2:$Z$1048576,MATCH($C356,'Restaurant Base (Hidden)'!$C$2:$C$1048576,0),MATCH(X$6,'Restaurant Base (Hidden)'!$A$1:$Z$1,0)),"")</f>
        <v>4</v>
      </c>
      <c r="Y356" s="65" t="str">
        <f>+IFERROR(INDEX('Restaurant Base (Hidden)'!$A$2:$Z$1048576,MATCH($C356,'Restaurant Base (Hidden)'!$C$2:$C$1048576,0),MATCH(Y$6,'Restaurant Base (Hidden)'!$A$1:$Z$1,0)),"")</f>
        <v>66,60 %</v>
      </c>
      <c r="Z356" s="106">
        <f>+IFERROR(INDEX('Restaurant Base (Hidden)'!$A$2:$Z$1048576,MATCH($C356,'Restaurant Base (Hidden)'!$C$2:$C$1048576,0),MATCH(Z$6,'Restaurant Base (Hidden)'!$A$1:$Z$1,0)),"")</f>
        <v>2</v>
      </c>
      <c r="AA356" s="65" t="str">
        <f>+IFERROR(INDEX('Restaurant Base (Hidden)'!$A$2:$Z$1048576,MATCH($C356,'Restaurant Base (Hidden)'!$C$2:$C$1048576,0),MATCH(AA$6,'Restaurant Base (Hidden)'!$A$1:$Z$1,0)),"")</f>
        <v>81,40 %</v>
      </c>
      <c r="AB356" s="1">
        <f>+IFERROR(INDEX('Restaurant Base (Hidden)'!$A$2:$Z$1048576,MATCH($C356,'Restaurant Base (Hidden)'!$C$2:$C$1048576,0),MATCH(AB$6,'Restaurant Base (Hidden)'!$A$1:$Z$1,0)),"")</f>
        <v>2</v>
      </c>
      <c r="AC356" s="20" t="str">
        <f>+IFERROR(INDEX('Restaurant Base (Hidden)'!$A$2:$Z$1048576,MATCH($C356,'Restaurant Base (Hidden)'!$C$2:$C$1048576,0),MATCH(AC$6,'Restaurant Base (Hidden)'!$A$1:$Z$1,0)),"")</f>
        <v/>
      </c>
      <c r="AD356" s="65" t="str">
        <f>+IFERROR(INDEX('Restaurant Base (Hidden)'!$A$2:$Z$1048576,MATCH($C356,'Restaurant Base (Hidden)'!$C$2:$C$1048576,0),MATCH(AD$6,'Restaurant Base (Hidden)'!$A$1:$Z$1,0)),"")</f>
        <v>79,40 %</v>
      </c>
      <c r="AE356" s="1">
        <f>+IFERROR(INDEX('Restaurant Base (Hidden)'!$A$2:$Z$1048576,MATCH($C356,'Restaurant Base (Hidden)'!$C$2:$C$1048576,0),MATCH(AE$6,'Restaurant Base (Hidden)'!$A$1:$Z$1,0)),"")</f>
        <v>2</v>
      </c>
      <c r="AF356" s="65" t="str">
        <f>+IFERROR(INDEX('Restaurant Base (Hidden)'!$A$2:$Z$1048576,MATCH($C356,'Restaurant Base (Hidden)'!$C$2:$C$1048576,0),MATCH(AF$6,'Restaurant Base (Hidden)'!$A$1:$Z$1,0)),"")</f>
        <v>75,00 %</v>
      </c>
      <c r="AG356" s="1">
        <f>+IFERROR(INDEX('Restaurant Base (Hidden)'!$A$2:$Z$1048576,MATCH($C356,'Restaurant Base (Hidden)'!$C$2:$C$1048576,0),MATCH(AG$6,'Restaurant Base (Hidden)'!$A$1:$Z$1,0)),"")</f>
        <v>2</v>
      </c>
    </row>
    <row r="357" spans="1:33" ht="16" customHeight="1" x14ac:dyDescent="0.4">
      <c r="A357" s="163" t="str">
        <f>IF('Restaurant Base (Hidden)'!A49=0,"", 'Restaurant Base (Hidden)'!A49)</f>
        <v>Rowan Kingsley</v>
      </c>
      <c r="B357" s="163" t="str">
        <f>IF('Restaurant Base (Hidden)'!B49=0,"", 'Restaurant Base (Hidden)'!B49)</f>
        <v>Rivermark Food Group</v>
      </c>
      <c r="C357" s="163" t="str">
        <f>IF('Restaurant Base (Hidden)'!C49=0,"", 'Restaurant Base (Hidden)'!C49)</f>
        <v>Oakridge Valley</v>
      </c>
      <c r="D357" s="104">
        <f t="shared" si="5"/>
        <v>351</v>
      </c>
      <c r="E357" s="105">
        <f>+IFERROR(INDEX('Restaurant Base (Hidden)'!$A$2:$Z$1048576,MATCH($C357,'Restaurant Base (Hidden)'!$C$2:$C$1048576,0),MATCH(E$6,'Restaurant Base (Hidden)'!$A$1:$Z$1,0)),"")</f>
        <v>2.4500000000000002</v>
      </c>
      <c r="F357" s="64" t="str">
        <f>+IFERROR(INDEX('Restaurant Base (Hidden)'!$A$2:$Z$1048576,MATCH($C357,'Restaurant Base (Hidden)'!$C$2:$C$1048576,0),MATCH(F$6,'Restaurant Base (Hidden)'!$A$1:$Z$1,0)),"")</f>
        <v/>
      </c>
      <c r="G357" s="20" t="str">
        <f>+IFERROR(INDEX('Restaurant Base (Hidden)'!$A$2:$Z$1048576,MATCH($C357,'Restaurant Base (Hidden)'!$C$2:$C$1048576,0),MATCH(G$6,'Restaurant Base (Hidden)'!$A$1:$Z$1,0)),"")</f>
        <v>4,122</v>
      </c>
      <c r="H357" s="50">
        <f>+IFERROR(INDEX('Restaurant Base (Hidden)'!$A$2:$Z$1048576,MATCH($C357,'Restaurant Base (Hidden)'!$C$2:$C$1048576,0),MATCH(H$6,'Restaurant Base (Hidden)'!$A$1:$Z$1,0)),"")</f>
        <v>2</v>
      </c>
      <c r="I357" s="20" t="str">
        <f>+IFERROR(INDEX('Restaurant Base (Hidden)'!$A$2:$Z$1048576,MATCH($C357,'Restaurant Base (Hidden)'!$C$2:$C$1048576,0),MATCH(I$6,'Restaurant Base (Hidden)'!$A$1:$Z$1,0)),"")</f>
        <v>57,10 %</v>
      </c>
      <c r="J357" s="49">
        <f>+IFERROR(INDEX('Restaurant Base (Hidden)'!$A$2:$Z$1048576,MATCH($C357,'Restaurant Base (Hidden)'!$C$2:$C$1048576,0),MATCH(J$6,'Restaurant Base (Hidden)'!$A$1:$Z$1,0)),"")</f>
        <v>1</v>
      </c>
      <c r="K357" s="20" t="str">
        <f>+IFERROR(INDEX('Restaurant Base (Hidden)'!$A$2:$Z$1048576,MATCH($C357,'Restaurant Base (Hidden)'!$C$2:$C$1048576,0),MATCH(K$6,'Restaurant Base (Hidden)'!$A$1:$Z$1,0)),"")</f>
        <v>0,173</v>
      </c>
      <c r="L357" s="51">
        <f>+IFERROR(INDEX('Restaurant Base (Hidden)'!$A$2:$Z$1048576,MATCH($C357,'Restaurant Base (Hidden)'!$C$2:$C$1048576,0),MATCH(L$6,'Restaurant Base (Hidden)'!$A$1:$Z$1,0)),"")</f>
        <v>2</v>
      </c>
      <c r="M357" s="2" t="str">
        <f>+IFERROR(INDEX('Restaurant Base (Hidden)'!$A$2:$Z$1048576,MATCH($C357,'Restaurant Base (Hidden)'!$C$2:$C$1048576,0),MATCH(M$6,'Restaurant Base (Hidden)'!$A$1:$Z$1,0)),"")</f>
        <v/>
      </c>
      <c r="N357" s="234" t="str">
        <f>+IFERROR(INDEX('Restaurant Base (Hidden)'!$A$2:$Z$1048576,MATCH($C357,'Restaurant Base (Hidden)'!$C$2:$C$1048576,0),MATCH(N$6,'Restaurant Base (Hidden)'!$A$1:$Z$1,0)),"")</f>
        <v>57,40 %</v>
      </c>
      <c r="O357" s="1">
        <f>+IFERROR(INDEX('Restaurant Base (Hidden)'!$A$2:$Z$1048576,MATCH($C357,'Restaurant Base (Hidden)'!$C$2:$C$1048576,0),MATCH(O$6,'Restaurant Base (Hidden)'!$A$1:$Z$1,0)),"")</f>
        <v>1</v>
      </c>
      <c r="P357" s="2" t="str">
        <f>+IFERROR(INDEX('Restaurant Base (Hidden)'!$A$2:$Z$1048576,MATCH($C357,'Restaurant Base (Hidden)'!$C$2:$C$1048576,0),MATCH(P$6,'Restaurant Base (Hidden)'!$A$1:$Z$1,0)),"")</f>
        <v/>
      </c>
      <c r="Q357" s="234" t="str">
        <f>+IFERROR(INDEX('Restaurant Base (Hidden)'!$A$2:$Z$1048576,MATCH($C357,'Restaurant Base (Hidden)'!$C$2:$C$1048576,0),MATCH(Q$6,'Restaurant Base (Hidden)'!$A$1:$Z$1,0)),"")</f>
        <v>94,10 %</v>
      </c>
      <c r="R357" s="1">
        <f>+IFERROR(INDEX('Restaurant Base (Hidden)'!$A$2:$Z$1048576,MATCH($C357,'Restaurant Base (Hidden)'!$C$2:$C$1048576,0),MATCH(R$6,'Restaurant Base (Hidden)'!$A$1:$Z$1,0)),"")</f>
        <v>5</v>
      </c>
      <c r="S357" s="2" t="str">
        <f>+IFERROR(INDEX('Restaurant Base (Hidden)'!$A$2:$Z$1048576,MATCH($C357,'Restaurant Base (Hidden)'!$C$2:$C$1048576,0),MATCH(S$6,'Restaurant Base (Hidden)'!$A$1:$Z$1,0)),"")</f>
        <v/>
      </c>
      <c r="T357" s="62">
        <f>+IFERROR(INDEX('Restaurant Base (Hidden)'!$A$2:$Z$1048576,MATCH($C357,'Restaurant Base (Hidden)'!$C$2:$C$1048576,0),MATCH(T$6,'Restaurant Base (Hidden)'!$A$1:$Z$1,0)),"")</f>
        <v>71</v>
      </c>
      <c r="U357" s="1">
        <f>+IFERROR(INDEX('Restaurant Base (Hidden)'!$A$2:$Z$1048576,MATCH($C357,'Restaurant Base (Hidden)'!$C$2:$C$1048576,0),MATCH(U$6,'Restaurant Base (Hidden)'!$A$1:$Z$1,0)),"")</f>
        <v>5</v>
      </c>
      <c r="V357" s="2" t="str">
        <f>+IFERROR(INDEX('Restaurant Base (Hidden)'!$A$2:$Z$1048576,MATCH($C357,'Restaurant Base (Hidden)'!$C$2:$C$1048576,0),MATCH(V$6,'Restaurant Base (Hidden)'!$A$1:$Z$1,0)),"")</f>
        <v/>
      </c>
      <c r="W357" s="65" t="str">
        <f>+IFERROR(INDEX('Restaurant Base (Hidden)'!$A$2:$Z$1048576,MATCH($C357,'Restaurant Base (Hidden)'!$C$2:$C$1048576,0),MATCH(W$6,'Restaurant Base (Hidden)'!$A$1:$Z$1,0)),"")</f>
        <v>68,80 %</v>
      </c>
      <c r="X357" s="1">
        <f>+IFERROR(INDEX('Restaurant Base (Hidden)'!$A$2:$Z$1048576,MATCH($C357,'Restaurant Base (Hidden)'!$C$2:$C$1048576,0),MATCH(X$6,'Restaurant Base (Hidden)'!$A$1:$Z$1,0)),"")</f>
        <v>2</v>
      </c>
      <c r="Y357" s="65" t="str">
        <f>+IFERROR(INDEX('Restaurant Base (Hidden)'!$A$2:$Z$1048576,MATCH($C357,'Restaurant Base (Hidden)'!$C$2:$C$1048576,0),MATCH(Y$6,'Restaurant Base (Hidden)'!$A$1:$Z$1,0)),"")</f>
        <v>72,60 %</v>
      </c>
      <c r="Z357" s="106">
        <f>+IFERROR(INDEX('Restaurant Base (Hidden)'!$A$2:$Z$1048576,MATCH($C357,'Restaurant Base (Hidden)'!$C$2:$C$1048576,0),MATCH(Z$6,'Restaurant Base (Hidden)'!$A$1:$Z$1,0)),"")</f>
        <v>2</v>
      </c>
      <c r="AA357" s="65" t="str">
        <f>+IFERROR(INDEX('Restaurant Base (Hidden)'!$A$2:$Z$1048576,MATCH($C357,'Restaurant Base (Hidden)'!$C$2:$C$1048576,0),MATCH(AA$6,'Restaurant Base (Hidden)'!$A$1:$Z$1,0)),"")</f>
        <v>95,20 %</v>
      </c>
      <c r="AB357" s="1">
        <f>+IFERROR(INDEX('Restaurant Base (Hidden)'!$A$2:$Z$1048576,MATCH($C357,'Restaurant Base (Hidden)'!$C$2:$C$1048576,0),MATCH(AB$6,'Restaurant Base (Hidden)'!$A$1:$Z$1,0)),"")</f>
        <v>3</v>
      </c>
      <c r="AC357" s="20" t="str">
        <f>+IFERROR(INDEX('Restaurant Base (Hidden)'!$A$2:$Z$1048576,MATCH($C357,'Restaurant Base (Hidden)'!$C$2:$C$1048576,0),MATCH(AC$6,'Restaurant Base (Hidden)'!$A$1:$Z$1,0)),"")</f>
        <v/>
      </c>
      <c r="AD357" s="65" t="str">
        <f>+IFERROR(INDEX('Restaurant Base (Hidden)'!$A$2:$Z$1048576,MATCH($C357,'Restaurant Base (Hidden)'!$C$2:$C$1048576,0),MATCH(AD$6,'Restaurant Base (Hidden)'!$A$1:$Z$1,0)),"")</f>
        <v>79,20 %</v>
      </c>
      <c r="AE357" s="1">
        <f>+IFERROR(INDEX('Restaurant Base (Hidden)'!$A$2:$Z$1048576,MATCH($C357,'Restaurant Base (Hidden)'!$C$2:$C$1048576,0),MATCH(AE$6,'Restaurant Base (Hidden)'!$A$1:$Z$1,0)),"")</f>
        <v>2</v>
      </c>
      <c r="AF357" s="65" t="str">
        <f>+IFERROR(INDEX('Restaurant Base (Hidden)'!$A$2:$Z$1048576,MATCH($C357,'Restaurant Base (Hidden)'!$C$2:$C$1048576,0),MATCH(AF$6,'Restaurant Base (Hidden)'!$A$1:$Z$1,0)),"")</f>
        <v>63,40 %</v>
      </c>
      <c r="AG357" s="1">
        <f>+IFERROR(INDEX('Restaurant Base (Hidden)'!$A$2:$Z$1048576,MATCH($C357,'Restaurant Base (Hidden)'!$C$2:$C$1048576,0),MATCH(AG$6,'Restaurant Base (Hidden)'!$A$1:$Z$1,0)),"")</f>
        <v>1</v>
      </c>
    </row>
    <row r="358" spans="1:33" ht="16" customHeight="1" x14ac:dyDescent="0.4">
      <c r="A358" s="163" t="str">
        <f>IF('Restaurant Base (Hidden)'!A60=0,"", 'Restaurant Base (Hidden)'!A60)</f>
        <v>Avery Ashford</v>
      </c>
      <c r="B358" s="163" t="str">
        <f>IF('Restaurant Base (Hidden)'!B60=0,"", 'Restaurant Base (Hidden)'!B60)</f>
        <v>Willowcrest Dining</v>
      </c>
      <c r="C358" s="163" t="str">
        <f>IF('Restaurant Base (Hidden)'!C60=0,"", 'Restaurant Base (Hidden)'!C60)</f>
        <v>Brook Plaza</v>
      </c>
      <c r="D358" s="104">
        <f t="shared" si="5"/>
        <v>351</v>
      </c>
      <c r="E358" s="105">
        <f>+IFERROR(INDEX('Restaurant Base (Hidden)'!$A$2:$Z$1048576,MATCH($C358,'Restaurant Base (Hidden)'!$C$2:$C$1048576,0),MATCH(E$6,'Restaurant Base (Hidden)'!$A$1:$Z$1,0)),"")</f>
        <v>2.4500000000000002</v>
      </c>
      <c r="F358" s="64" t="str">
        <f>+IFERROR(INDEX('Restaurant Base (Hidden)'!$A$2:$Z$1048576,MATCH($C358,'Restaurant Base (Hidden)'!$C$2:$C$1048576,0),MATCH(F$6,'Restaurant Base (Hidden)'!$A$1:$Z$1,0)),"")</f>
        <v/>
      </c>
      <c r="G358" s="20" t="str">
        <f>+IFERROR(INDEX('Restaurant Base (Hidden)'!$A$2:$Z$1048576,MATCH($C358,'Restaurant Base (Hidden)'!$C$2:$C$1048576,0),MATCH(G$6,'Restaurant Base (Hidden)'!$A$1:$Z$1,0)),"")</f>
        <v>4,378</v>
      </c>
      <c r="H358" s="50">
        <f>+IFERROR(INDEX('Restaurant Base (Hidden)'!$A$2:$Z$1048576,MATCH($C358,'Restaurant Base (Hidden)'!$C$2:$C$1048576,0),MATCH(H$6,'Restaurant Base (Hidden)'!$A$1:$Z$1,0)),"")</f>
        <v>4</v>
      </c>
      <c r="I358" s="20" t="str">
        <f>+IFERROR(INDEX('Restaurant Base (Hidden)'!$A$2:$Z$1048576,MATCH($C358,'Restaurant Base (Hidden)'!$C$2:$C$1048576,0),MATCH(I$6,'Restaurant Base (Hidden)'!$A$1:$Z$1,0)),"")</f>
        <v>94,60 %</v>
      </c>
      <c r="J358" s="49">
        <f>+IFERROR(INDEX('Restaurant Base (Hidden)'!$A$2:$Z$1048576,MATCH($C358,'Restaurant Base (Hidden)'!$C$2:$C$1048576,0),MATCH(J$6,'Restaurant Base (Hidden)'!$A$1:$Z$1,0)),"")</f>
        <v>5</v>
      </c>
      <c r="K358" s="20" t="str">
        <f>+IFERROR(INDEX('Restaurant Base (Hidden)'!$A$2:$Z$1048576,MATCH($C358,'Restaurant Base (Hidden)'!$C$2:$C$1048576,0),MATCH(K$6,'Restaurant Base (Hidden)'!$A$1:$Z$1,0)),"")</f>
        <v>0,136</v>
      </c>
      <c r="L358" s="51">
        <f>+IFERROR(INDEX('Restaurant Base (Hidden)'!$A$2:$Z$1048576,MATCH($C358,'Restaurant Base (Hidden)'!$C$2:$C$1048576,0),MATCH(L$6,'Restaurant Base (Hidden)'!$A$1:$Z$1,0)),"")</f>
        <v>2</v>
      </c>
      <c r="M358" s="2" t="str">
        <f>+IFERROR(INDEX('Restaurant Base (Hidden)'!$A$2:$Z$1048576,MATCH($C358,'Restaurant Base (Hidden)'!$C$2:$C$1048576,0),MATCH(M$6,'Restaurant Base (Hidden)'!$A$1:$Z$1,0)),"")</f>
        <v/>
      </c>
      <c r="N358" s="234" t="str">
        <f>+IFERROR(INDEX('Restaurant Base (Hidden)'!$A$2:$Z$1048576,MATCH($C358,'Restaurant Base (Hidden)'!$C$2:$C$1048576,0),MATCH(N$6,'Restaurant Base (Hidden)'!$A$1:$Z$1,0)),"")</f>
        <v>59,30 %</v>
      </c>
      <c r="O358" s="1">
        <f>+IFERROR(INDEX('Restaurant Base (Hidden)'!$A$2:$Z$1048576,MATCH($C358,'Restaurant Base (Hidden)'!$C$2:$C$1048576,0),MATCH(O$6,'Restaurant Base (Hidden)'!$A$1:$Z$1,0)),"")</f>
        <v>1</v>
      </c>
      <c r="P358" s="2" t="str">
        <f>+IFERROR(INDEX('Restaurant Base (Hidden)'!$A$2:$Z$1048576,MATCH($C358,'Restaurant Base (Hidden)'!$C$2:$C$1048576,0),MATCH(P$6,'Restaurant Base (Hidden)'!$A$1:$Z$1,0)),"")</f>
        <v/>
      </c>
      <c r="Q358" s="234" t="str">
        <f>+IFERROR(INDEX('Restaurant Base (Hidden)'!$A$2:$Z$1048576,MATCH($C358,'Restaurant Base (Hidden)'!$C$2:$C$1048576,0),MATCH(Q$6,'Restaurant Base (Hidden)'!$A$1:$Z$1,0)),"")</f>
        <v>55,30 %</v>
      </c>
      <c r="R358" s="1">
        <f>+IFERROR(INDEX('Restaurant Base (Hidden)'!$A$2:$Z$1048576,MATCH($C358,'Restaurant Base (Hidden)'!$C$2:$C$1048576,0),MATCH(R$6,'Restaurant Base (Hidden)'!$A$1:$Z$1,0)),"")</f>
        <v>1</v>
      </c>
      <c r="S358" s="2" t="str">
        <f>+IFERROR(INDEX('Restaurant Base (Hidden)'!$A$2:$Z$1048576,MATCH($C358,'Restaurant Base (Hidden)'!$C$2:$C$1048576,0),MATCH(S$6,'Restaurant Base (Hidden)'!$A$1:$Z$1,0)),"")</f>
        <v/>
      </c>
      <c r="T358" s="62">
        <f>+IFERROR(INDEX('Restaurant Base (Hidden)'!$A$2:$Z$1048576,MATCH($C358,'Restaurant Base (Hidden)'!$C$2:$C$1048576,0),MATCH(T$6,'Restaurant Base (Hidden)'!$A$1:$Z$1,0)),"")</f>
        <v>62.8</v>
      </c>
      <c r="U358" s="1">
        <f>+IFERROR(INDEX('Restaurant Base (Hidden)'!$A$2:$Z$1048576,MATCH($C358,'Restaurant Base (Hidden)'!$C$2:$C$1048576,0),MATCH(U$6,'Restaurant Base (Hidden)'!$A$1:$Z$1,0)),"")</f>
        <v>3</v>
      </c>
      <c r="V358" s="2" t="str">
        <f>+IFERROR(INDEX('Restaurant Base (Hidden)'!$A$2:$Z$1048576,MATCH($C358,'Restaurant Base (Hidden)'!$C$2:$C$1048576,0),MATCH(V$6,'Restaurant Base (Hidden)'!$A$1:$Z$1,0)),"")</f>
        <v/>
      </c>
      <c r="W358" s="65" t="str">
        <f>+IFERROR(INDEX('Restaurant Base (Hidden)'!$A$2:$Z$1048576,MATCH($C358,'Restaurant Base (Hidden)'!$C$2:$C$1048576,0),MATCH(W$6,'Restaurant Base (Hidden)'!$A$1:$Z$1,0)),"")</f>
        <v>84,30 %</v>
      </c>
      <c r="X358" s="1">
        <f>+IFERROR(INDEX('Restaurant Base (Hidden)'!$A$2:$Z$1048576,MATCH($C358,'Restaurant Base (Hidden)'!$C$2:$C$1048576,0),MATCH(X$6,'Restaurant Base (Hidden)'!$A$1:$Z$1,0)),"")</f>
        <v>3</v>
      </c>
      <c r="Y358" s="65" t="str">
        <f>+IFERROR(INDEX('Restaurant Base (Hidden)'!$A$2:$Z$1048576,MATCH($C358,'Restaurant Base (Hidden)'!$C$2:$C$1048576,0),MATCH(Y$6,'Restaurant Base (Hidden)'!$A$1:$Z$1,0)),"")</f>
        <v>91,60 %</v>
      </c>
      <c r="Z358" s="106">
        <f>+IFERROR(INDEX('Restaurant Base (Hidden)'!$A$2:$Z$1048576,MATCH($C358,'Restaurant Base (Hidden)'!$C$2:$C$1048576,0),MATCH(Z$6,'Restaurant Base (Hidden)'!$A$1:$Z$1,0)),"")</f>
        <v>3</v>
      </c>
      <c r="AA358" s="65" t="str">
        <f>+IFERROR(INDEX('Restaurant Base (Hidden)'!$A$2:$Z$1048576,MATCH($C358,'Restaurant Base (Hidden)'!$C$2:$C$1048576,0),MATCH(AA$6,'Restaurant Base (Hidden)'!$A$1:$Z$1,0)),"")</f>
        <v>72,70 %</v>
      </c>
      <c r="AB358" s="1">
        <f>+IFERROR(INDEX('Restaurant Base (Hidden)'!$A$2:$Z$1048576,MATCH($C358,'Restaurant Base (Hidden)'!$C$2:$C$1048576,0),MATCH(AB$6,'Restaurant Base (Hidden)'!$A$1:$Z$1,0)),"")</f>
        <v>2</v>
      </c>
      <c r="AC358" s="20" t="str">
        <f>+IFERROR(INDEX('Restaurant Base (Hidden)'!$A$2:$Z$1048576,MATCH($C358,'Restaurant Base (Hidden)'!$C$2:$C$1048576,0),MATCH(AC$6,'Restaurant Base (Hidden)'!$A$1:$Z$1,0)),"")</f>
        <v/>
      </c>
      <c r="AD358" s="65" t="str">
        <f>+IFERROR(INDEX('Restaurant Base (Hidden)'!$A$2:$Z$1048576,MATCH($C358,'Restaurant Base (Hidden)'!$C$2:$C$1048576,0),MATCH(AD$6,'Restaurant Base (Hidden)'!$A$1:$Z$1,0)),"")</f>
        <v>75,80 %</v>
      </c>
      <c r="AE358" s="1">
        <f>+IFERROR(INDEX('Restaurant Base (Hidden)'!$A$2:$Z$1048576,MATCH($C358,'Restaurant Base (Hidden)'!$C$2:$C$1048576,0),MATCH(AE$6,'Restaurant Base (Hidden)'!$A$1:$Z$1,0)),"")</f>
        <v>2</v>
      </c>
      <c r="AF358" s="65" t="str">
        <f>+IFERROR(INDEX('Restaurant Base (Hidden)'!$A$2:$Z$1048576,MATCH($C358,'Restaurant Base (Hidden)'!$C$2:$C$1048576,0),MATCH(AF$6,'Restaurant Base (Hidden)'!$A$1:$Z$1,0)),"")</f>
        <v>82,20 %</v>
      </c>
      <c r="AG358" s="1">
        <f>+IFERROR(INDEX('Restaurant Base (Hidden)'!$A$2:$Z$1048576,MATCH($C358,'Restaurant Base (Hidden)'!$C$2:$C$1048576,0),MATCH(AG$6,'Restaurant Base (Hidden)'!$A$1:$Z$1,0)),"")</f>
        <v>2</v>
      </c>
    </row>
    <row r="359" spans="1:33" ht="16" customHeight="1" x14ac:dyDescent="0.4">
      <c r="A359" s="163" t="str">
        <f>IF('Restaurant Base (Hidden)'!A295=0,"", 'Restaurant Base (Hidden)'!A295)</f>
        <v>Cameron Creston</v>
      </c>
      <c r="B359" s="163" t="str">
        <f>IF('Restaurant Base (Hidden)'!B295=0,"", 'Restaurant Base (Hidden)'!B295)</f>
        <v>Clearview Dining Group</v>
      </c>
      <c r="C359" s="163" t="str">
        <f>IF('Restaurant Base (Hidden)'!C295=0,"", 'Restaurant Base (Hidden)'!C295)</f>
        <v>Harbor Park</v>
      </c>
      <c r="D359" s="104">
        <f t="shared" si="5"/>
        <v>351</v>
      </c>
      <c r="E359" s="105">
        <f>+IFERROR(INDEX('Restaurant Base (Hidden)'!$A$2:$Z$1048576,MATCH($C359,'Restaurant Base (Hidden)'!$C$2:$C$1048576,0),MATCH(E$6,'Restaurant Base (Hidden)'!$A$1:$Z$1,0)),"")</f>
        <v>2.4500000000000002</v>
      </c>
      <c r="F359" s="2" t="str">
        <f>+IFERROR(INDEX('Restaurant Base (Hidden)'!$A$2:$Z$1048576,MATCH($C359,'Restaurant Base (Hidden)'!$C$2:$C$1048576,0),MATCH(F$6,'Restaurant Base (Hidden)'!$A$1:$Z$1,0)),"")</f>
        <v/>
      </c>
      <c r="G359" s="20" t="str">
        <f>+IFERROR(INDEX('Restaurant Base (Hidden)'!$A$2:$Z$1048576,MATCH($C359,'Restaurant Base (Hidden)'!$C$2:$C$1048576,0),MATCH(G$6,'Restaurant Base (Hidden)'!$A$1:$Z$1,0)),"")</f>
        <v>4,382</v>
      </c>
      <c r="H359" s="50">
        <f>+IFERROR(INDEX('Restaurant Base (Hidden)'!$A$2:$Z$1048576,MATCH($C359,'Restaurant Base (Hidden)'!$C$2:$C$1048576,0),MATCH(H$6,'Restaurant Base (Hidden)'!$A$1:$Z$1,0)),"")</f>
        <v>4</v>
      </c>
      <c r="I359" s="20" t="str">
        <f>+IFERROR(INDEX('Restaurant Base (Hidden)'!$A$2:$Z$1048576,MATCH($C359,'Restaurant Base (Hidden)'!$C$2:$C$1048576,0),MATCH(I$6,'Restaurant Base (Hidden)'!$A$1:$Z$1,0)),"")</f>
        <v>55,20 %</v>
      </c>
      <c r="J359" s="49">
        <f>+IFERROR(INDEX('Restaurant Base (Hidden)'!$A$2:$Z$1048576,MATCH($C359,'Restaurant Base (Hidden)'!$C$2:$C$1048576,0),MATCH(J$6,'Restaurant Base (Hidden)'!$A$1:$Z$1,0)),"")</f>
        <v>1</v>
      </c>
      <c r="K359" s="20" t="str">
        <f>+IFERROR(INDEX('Restaurant Base (Hidden)'!$A$2:$Z$1048576,MATCH($C359,'Restaurant Base (Hidden)'!$C$2:$C$1048576,0),MATCH(K$6,'Restaurant Base (Hidden)'!$A$1:$Z$1,0)),"")</f>
        <v>0,203</v>
      </c>
      <c r="L359" s="51">
        <f>+IFERROR(INDEX('Restaurant Base (Hidden)'!$A$2:$Z$1048576,MATCH($C359,'Restaurant Base (Hidden)'!$C$2:$C$1048576,0),MATCH(L$6,'Restaurant Base (Hidden)'!$A$1:$Z$1,0)),"")</f>
        <v>1</v>
      </c>
      <c r="M359" s="2" t="str">
        <f>+IFERROR(INDEX('Restaurant Base (Hidden)'!$A$2:$Z$1048576,MATCH($C359,'Restaurant Base (Hidden)'!$C$2:$C$1048576,0),MATCH(M$6,'Restaurant Base (Hidden)'!$A$1:$Z$1,0)),"")</f>
        <v/>
      </c>
      <c r="N359" s="234" t="str">
        <f>+IFERROR(INDEX('Restaurant Base (Hidden)'!$A$2:$Z$1048576,MATCH($C359,'Restaurant Base (Hidden)'!$C$2:$C$1048576,0),MATCH(N$6,'Restaurant Base (Hidden)'!$A$1:$Z$1,0)),"")</f>
        <v>57,30 %</v>
      </c>
      <c r="O359" s="1">
        <f>+IFERROR(INDEX('Restaurant Base (Hidden)'!$A$2:$Z$1048576,MATCH($C359,'Restaurant Base (Hidden)'!$C$2:$C$1048576,0),MATCH(O$6,'Restaurant Base (Hidden)'!$A$1:$Z$1,0)),"")</f>
        <v>1</v>
      </c>
      <c r="P359" s="2" t="str">
        <f>+IFERROR(INDEX('Restaurant Base (Hidden)'!$A$2:$Z$1048576,MATCH($C359,'Restaurant Base (Hidden)'!$C$2:$C$1048576,0),MATCH(P$6,'Restaurant Base (Hidden)'!$A$1:$Z$1,0)),"")</f>
        <v/>
      </c>
      <c r="Q359" s="234" t="str">
        <f>+IFERROR(INDEX('Restaurant Base (Hidden)'!$A$2:$Z$1048576,MATCH($C359,'Restaurant Base (Hidden)'!$C$2:$C$1048576,0),MATCH(Q$6,'Restaurant Base (Hidden)'!$A$1:$Z$1,0)),"")</f>
        <v>97,10 %</v>
      </c>
      <c r="R359" s="1">
        <f>+IFERROR(INDEX('Restaurant Base (Hidden)'!$A$2:$Z$1048576,MATCH($C359,'Restaurant Base (Hidden)'!$C$2:$C$1048576,0),MATCH(R$6,'Restaurant Base (Hidden)'!$A$1:$Z$1,0)),"")</f>
        <v>5</v>
      </c>
      <c r="S359" s="2" t="str">
        <f>+IFERROR(INDEX('Restaurant Base (Hidden)'!$A$2:$Z$1048576,MATCH($C359,'Restaurant Base (Hidden)'!$C$2:$C$1048576,0),MATCH(S$6,'Restaurant Base (Hidden)'!$A$1:$Z$1,0)),"")</f>
        <v/>
      </c>
      <c r="T359" s="62">
        <f>+IFERROR(INDEX('Restaurant Base (Hidden)'!$A$2:$Z$1048576,MATCH($C359,'Restaurant Base (Hidden)'!$C$2:$C$1048576,0),MATCH(T$6,'Restaurant Base (Hidden)'!$A$1:$Z$1,0)),"")</f>
        <v>63.4</v>
      </c>
      <c r="U359" s="1">
        <f>+IFERROR(INDEX('Restaurant Base (Hidden)'!$A$2:$Z$1048576,MATCH($C359,'Restaurant Base (Hidden)'!$C$2:$C$1048576,0),MATCH(U$6,'Restaurant Base (Hidden)'!$A$1:$Z$1,0)),"")</f>
        <v>3</v>
      </c>
      <c r="V359" s="2" t="str">
        <f>+IFERROR(INDEX('Restaurant Base (Hidden)'!$A$2:$Z$1048576,MATCH($C359,'Restaurant Base (Hidden)'!$C$2:$C$1048576,0),MATCH(V$6,'Restaurant Base (Hidden)'!$A$1:$Z$1,0)),"")</f>
        <v/>
      </c>
      <c r="W359" s="65" t="str">
        <f>+IFERROR(INDEX('Restaurant Base (Hidden)'!$A$2:$Z$1048576,MATCH($C359,'Restaurant Base (Hidden)'!$C$2:$C$1048576,0),MATCH(W$6,'Restaurant Base (Hidden)'!$A$1:$Z$1,0)),"")</f>
        <v>83,10 %</v>
      </c>
      <c r="X359" s="1">
        <f>+IFERROR(INDEX('Restaurant Base (Hidden)'!$A$2:$Z$1048576,MATCH($C359,'Restaurant Base (Hidden)'!$C$2:$C$1048576,0),MATCH(X$6,'Restaurant Base (Hidden)'!$A$1:$Z$1,0)),"")</f>
        <v>3</v>
      </c>
      <c r="Y359" s="65" t="str">
        <f>+IFERROR(INDEX('Restaurant Base (Hidden)'!$A$2:$Z$1048576,MATCH($C359,'Restaurant Base (Hidden)'!$C$2:$C$1048576,0),MATCH(Y$6,'Restaurant Base (Hidden)'!$A$1:$Z$1,0)),"")</f>
        <v>58,70 %</v>
      </c>
      <c r="Z359" s="106">
        <f>+IFERROR(INDEX('Restaurant Base (Hidden)'!$A$2:$Z$1048576,MATCH($C359,'Restaurant Base (Hidden)'!$C$2:$C$1048576,0),MATCH(Z$6,'Restaurant Base (Hidden)'!$A$1:$Z$1,0)),"")</f>
        <v>1</v>
      </c>
      <c r="AA359" s="65" t="str">
        <f>+IFERROR(INDEX('Restaurant Base (Hidden)'!$A$2:$Z$1048576,MATCH($C359,'Restaurant Base (Hidden)'!$C$2:$C$1048576,0),MATCH(AA$6,'Restaurant Base (Hidden)'!$A$1:$Z$1,0)),"")</f>
        <v>74,90 %</v>
      </c>
      <c r="AB359" s="1">
        <f>+IFERROR(INDEX('Restaurant Base (Hidden)'!$A$2:$Z$1048576,MATCH($C359,'Restaurant Base (Hidden)'!$C$2:$C$1048576,0),MATCH(AB$6,'Restaurant Base (Hidden)'!$A$1:$Z$1,0)),"")</f>
        <v>2</v>
      </c>
      <c r="AC359" s="20" t="str">
        <f>+IFERROR(INDEX('Restaurant Base (Hidden)'!$A$2:$Z$1048576,MATCH($C359,'Restaurant Base (Hidden)'!$C$2:$C$1048576,0),MATCH(AC$6,'Restaurant Base (Hidden)'!$A$1:$Z$1,0)),"")</f>
        <v/>
      </c>
      <c r="AD359" s="65" t="str">
        <f>+IFERROR(INDEX('Restaurant Base (Hidden)'!$A$2:$Z$1048576,MATCH($C359,'Restaurant Base (Hidden)'!$C$2:$C$1048576,0),MATCH(AD$6,'Restaurant Base (Hidden)'!$A$1:$Z$1,0)),"")</f>
        <v>92,40 %</v>
      </c>
      <c r="AE359" s="1">
        <f>+IFERROR(INDEX('Restaurant Base (Hidden)'!$A$2:$Z$1048576,MATCH($C359,'Restaurant Base (Hidden)'!$C$2:$C$1048576,0),MATCH(AE$6,'Restaurant Base (Hidden)'!$A$1:$Z$1,0)),"")</f>
        <v>4</v>
      </c>
      <c r="AF359" s="65" t="str">
        <f>+IFERROR(INDEX('Restaurant Base (Hidden)'!$A$2:$Z$1048576,MATCH($C359,'Restaurant Base (Hidden)'!$C$2:$C$1048576,0),MATCH(AF$6,'Restaurant Base (Hidden)'!$A$1:$Z$1,0)),"")</f>
        <v>63,10 %</v>
      </c>
      <c r="AG359" s="1">
        <f>+IFERROR(INDEX('Restaurant Base (Hidden)'!$A$2:$Z$1048576,MATCH($C359,'Restaurant Base (Hidden)'!$C$2:$C$1048576,0),MATCH(AG$6,'Restaurant Base (Hidden)'!$A$1:$Z$1,0)),"")</f>
        <v>1</v>
      </c>
    </row>
    <row r="360" spans="1:33" ht="16" customHeight="1" x14ac:dyDescent="0.4">
      <c r="A360" s="163" t="str">
        <f>IF('Restaurant Base (Hidden)'!A66=0,"", 'Restaurant Base (Hidden)'!A66)</f>
        <v>Finley Kensington</v>
      </c>
      <c r="B360" s="163" t="str">
        <f>IF('Restaurant Base (Hidden)'!B66=0,"", 'Restaurant Base (Hidden)'!B66)</f>
        <v>Highland Crest Restaurants</v>
      </c>
      <c r="C360" s="163" t="str">
        <f>IF('Restaurant Base (Hidden)'!C66=0,"", 'Restaurant Base (Hidden)'!C66)</f>
        <v>Greenfield Way</v>
      </c>
      <c r="D360" s="104">
        <f t="shared" si="5"/>
        <v>354</v>
      </c>
      <c r="E360" s="105">
        <f>+IFERROR(INDEX('Restaurant Base (Hidden)'!$A$2:$Z$1048576,MATCH($C360,'Restaurant Base (Hidden)'!$C$2:$C$1048576,0),MATCH(E$6,'Restaurant Base (Hidden)'!$A$1:$Z$1,0)),"")</f>
        <v>2.44</v>
      </c>
      <c r="F360" s="64" t="str">
        <f>+IFERROR(INDEX('Restaurant Base (Hidden)'!$A$2:$Z$1048576,MATCH($C360,'Restaurant Base (Hidden)'!$C$2:$C$1048576,0),MATCH(F$6,'Restaurant Base (Hidden)'!$A$1:$Z$1,0)),"")</f>
        <v/>
      </c>
      <c r="G360" s="20" t="str">
        <f>+IFERROR(INDEX('Restaurant Base (Hidden)'!$A$2:$Z$1048576,MATCH($C360,'Restaurant Base (Hidden)'!$C$2:$C$1048576,0),MATCH(G$6,'Restaurant Base (Hidden)'!$A$1:$Z$1,0)),"")</f>
        <v>4,086</v>
      </c>
      <c r="H360" s="50">
        <f>+IFERROR(INDEX('Restaurant Base (Hidden)'!$A$2:$Z$1048576,MATCH($C360,'Restaurant Base (Hidden)'!$C$2:$C$1048576,0),MATCH(H$6,'Restaurant Base (Hidden)'!$A$1:$Z$1,0)),"")</f>
        <v>2</v>
      </c>
      <c r="I360" s="20" t="str">
        <f>+IFERROR(INDEX('Restaurant Base (Hidden)'!$A$2:$Z$1048576,MATCH($C360,'Restaurant Base (Hidden)'!$C$2:$C$1048576,0),MATCH(I$6,'Restaurant Base (Hidden)'!$A$1:$Z$1,0)),"")</f>
        <v>65,40 %</v>
      </c>
      <c r="J360" s="49">
        <f>+IFERROR(INDEX('Restaurant Base (Hidden)'!$A$2:$Z$1048576,MATCH($C360,'Restaurant Base (Hidden)'!$C$2:$C$1048576,0),MATCH(J$6,'Restaurant Base (Hidden)'!$A$1:$Z$1,0)),"")</f>
        <v>1</v>
      </c>
      <c r="K360" s="20" t="str">
        <f>+IFERROR(INDEX('Restaurant Base (Hidden)'!$A$2:$Z$1048576,MATCH($C360,'Restaurant Base (Hidden)'!$C$2:$C$1048576,0),MATCH(K$6,'Restaurant Base (Hidden)'!$A$1:$Z$1,0)),"")</f>
        <v>0,166</v>
      </c>
      <c r="L360" s="51">
        <f>+IFERROR(INDEX('Restaurant Base (Hidden)'!$A$2:$Z$1048576,MATCH($C360,'Restaurant Base (Hidden)'!$C$2:$C$1048576,0),MATCH(L$6,'Restaurant Base (Hidden)'!$A$1:$Z$1,0)),"")</f>
        <v>2</v>
      </c>
      <c r="M360" s="2" t="str">
        <f>+IFERROR(INDEX('Restaurant Base (Hidden)'!$A$2:$Z$1048576,MATCH($C360,'Restaurant Base (Hidden)'!$C$2:$C$1048576,0),MATCH(M$6,'Restaurant Base (Hidden)'!$A$1:$Z$1,0)),"")</f>
        <v/>
      </c>
      <c r="N360" s="234" t="str">
        <f>+IFERROR(INDEX('Restaurant Base (Hidden)'!$A$2:$Z$1048576,MATCH($C360,'Restaurant Base (Hidden)'!$C$2:$C$1048576,0),MATCH(N$6,'Restaurant Base (Hidden)'!$A$1:$Z$1,0)),"")</f>
        <v>63,00 %</v>
      </c>
      <c r="O360" s="1">
        <f>+IFERROR(INDEX('Restaurant Base (Hidden)'!$A$2:$Z$1048576,MATCH($C360,'Restaurant Base (Hidden)'!$C$2:$C$1048576,0),MATCH(O$6,'Restaurant Base (Hidden)'!$A$1:$Z$1,0)),"")</f>
        <v>2</v>
      </c>
      <c r="P360" s="2" t="str">
        <f>+IFERROR(INDEX('Restaurant Base (Hidden)'!$A$2:$Z$1048576,MATCH($C360,'Restaurant Base (Hidden)'!$C$2:$C$1048576,0),MATCH(P$6,'Restaurant Base (Hidden)'!$A$1:$Z$1,0)),"")</f>
        <v/>
      </c>
      <c r="Q360" s="234" t="str">
        <f>+IFERROR(INDEX('Restaurant Base (Hidden)'!$A$2:$Z$1048576,MATCH($C360,'Restaurant Base (Hidden)'!$C$2:$C$1048576,0),MATCH(Q$6,'Restaurant Base (Hidden)'!$A$1:$Z$1,0)),"")</f>
        <v>71,90 %</v>
      </c>
      <c r="R360" s="1">
        <f>+IFERROR(INDEX('Restaurant Base (Hidden)'!$A$2:$Z$1048576,MATCH($C360,'Restaurant Base (Hidden)'!$C$2:$C$1048576,0),MATCH(R$6,'Restaurant Base (Hidden)'!$A$1:$Z$1,0)),"")</f>
        <v>4</v>
      </c>
      <c r="S360" s="2" t="str">
        <f>+IFERROR(INDEX('Restaurant Base (Hidden)'!$A$2:$Z$1048576,MATCH($C360,'Restaurant Base (Hidden)'!$C$2:$C$1048576,0),MATCH(S$6,'Restaurant Base (Hidden)'!$A$1:$Z$1,0)),"")</f>
        <v/>
      </c>
      <c r="T360" s="62">
        <f>+IFERROR(INDEX('Restaurant Base (Hidden)'!$A$2:$Z$1048576,MATCH($C360,'Restaurant Base (Hidden)'!$C$2:$C$1048576,0),MATCH(T$6,'Restaurant Base (Hidden)'!$A$1:$Z$1,0)),"")</f>
        <v>66.2</v>
      </c>
      <c r="U360" s="1">
        <f>+IFERROR(INDEX('Restaurant Base (Hidden)'!$A$2:$Z$1048576,MATCH($C360,'Restaurant Base (Hidden)'!$C$2:$C$1048576,0),MATCH(U$6,'Restaurant Base (Hidden)'!$A$1:$Z$1,0)),"")</f>
        <v>4</v>
      </c>
      <c r="V360" s="2" t="str">
        <f>+IFERROR(INDEX('Restaurant Base (Hidden)'!$A$2:$Z$1048576,MATCH($C360,'Restaurant Base (Hidden)'!$C$2:$C$1048576,0),MATCH(V$6,'Restaurant Base (Hidden)'!$A$1:$Z$1,0)),"")</f>
        <v/>
      </c>
      <c r="W360" s="65" t="str">
        <f>+IFERROR(INDEX('Restaurant Base (Hidden)'!$A$2:$Z$1048576,MATCH($C360,'Restaurant Base (Hidden)'!$C$2:$C$1048576,0),MATCH(W$6,'Restaurant Base (Hidden)'!$A$1:$Z$1,0)),"")</f>
        <v>77,40 %</v>
      </c>
      <c r="X360" s="1">
        <f>+IFERROR(INDEX('Restaurant Base (Hidden)'!$A$2:$Z$1048576,MATCH($C360,'Restaurant Base (Hidden)'!$C$2:$C$1048576,0),MATCH(X$6,'Restaurant Base (Hidden)'!$A$1:$Z$1,0)),"")</f>
        <v>2</v>
      </c>
      <c r="Y360" s="65" t="str">
        <f>+IFERROR(INDEX('Restaurant Base (Hidden)'!$A$2:$Z$1048576,MATCH($C360,'Restaurant Base (Hidden)'!$C$2:$C$1048576,0),MATCH(Y$6,'Restaurant Base (Hidden)'!$A$1:$Z$1,0)),"")</f>
        <v>87,40 %</v>
      </c>
      <c r="Z360" s="106">
        <f>+IFERROR(INDEX('Restaurant Base (Hidden)'!$A$2:$Z$1048576,MATCH($C360,'Restaurant Base (Hidden)'!$C$2:$C$1048576,0),MATCH(Z$6,'Restaurant Base (Hidden)'!$A$1:$Z$1,0)),"")</f>
        <v>3</v>
      </c>
      <c r="AA360" s="65" t="str">
        <f>+IFERROR(INDEX('Restaurant Base (Hidden)'!$A$2:$Z$1048576,MATCH($C360,'Restaurant Base (Hidden)'!$C$2:$C$1048576,0),MATCH(AA$6,'Restaurant Base (Hidden)'!$A$1:$Z$1,0)),"")</f>
        <v>68,10 %</v>
      </c>
      <c r="AB360" s="1">
        <f>+IFERROR(INDEX('Restaurant Base (Hidden)'!$A$2:$Z$1048576,MATCH($C360,'Restaurant Base (Hidden)'!$C$2:$C$1048576,0),MATCH(AB$6,'Restaurant Base (Hidden)'!$A$1:$Z$1,0)),"")</f>
        <v>2</v>
      </c>
      <c r="AC360" s="20" t="str">
        <f>+IFERROR(INDEX('Restaurant Base (Hidden)'!$A$2:$Z$1048576,MATCH($C360,'Restaurant Base (Hidden)'!$C$2:$C$1048576,0),MATCH(AC$6,'Restaurant Base (Hidden)'!$A$1:$Z$1,0)),"")</f>
        <v/>
      </c>
      <c r="AD360" s="65" t="str">
        <f>+IFERROR(INDEX('Restaurant Base (Hidden)'!$A$2:$Z$1048576,MATCH($C360,'Restaurant Base (Hidden)'!$C$2:$C$1048576,0),MATCH(AD$6,'Restaurant Base (Hidden)'!$A$1:$Z$1,0)),"")</f>
        <v>63,30 %</v>
      </c>
      <c r="AE360" s="1">
        <f>+IFERROR(INDEX('Restaurant Base (Hidden)'!$A$2:$Z$1048576,MATCH($C360,'Restaurant Base (Hidden)'!$C$2:$C$1048576,0),MATCH(AE$6,'Restaurant Base (Hidden)'!$A$1:$Z$1,0)),"")</f>
        <v>1</v>
      </c>
      <c r="AF360" s="65" t="str">
        <f>+IFERROR(INDEX('Restaurant Base (Hidden)'!$A$2:$Z$1048576,MATCH($C360,'Restaurant Base (Hidden)'!$C$2:$C$1048576,0),MATCH(AF$6,'Restaurant Base (Hidden)'!$A$1:$Z$1,0)),"")</f>
        <v>92,00 %</v>
      </c>
      <c r="AG360" s="1">
        <f>+IFERROR(INDEX('Restaurant Base (Hidden)'!$A$2:$Z$1048576,MATCH($C360,'Restaurant Base (Hidden)'!$C$2:$C$1048576,0),MATCH(AG$6,'Restaurant Base (Hidden)'!$A$1:$Z$1,0)),"")</f>
        <v>3</v>
      </c>
    </row>
    <row r="361" spans="1:33" ht="16" customHeight="1" x14ac:dyDescent="0.4">
      <c r="A361" s="163" t="str">
        <f>IF('Restaurant Base (Hidden)'!A70=0,"", 'Restaurant Base (Hidden)'!A70)</f>
        <v>Jordan Oakley</v>
      </c>
      <c r="B361" s="163" t="str">
        <f>IF('Restaurant Base (Hidden)'!B70=0,"", 'Restaurant Base (Hidden)'!B70)</f>
        <v>Northvale Restaurants</v>
      </c>
      <c r="C361" s="163" t="str">
        <f>IF('Restaurant Base (Hidden)'!C70=0,"", 'Restaurant Base (Hidden)'!C70)</f>
        <v>Lake Landing</v>
      </c>
      <c r="D361" s="104">
        <f t="shared" si="5"/>
        <v>354</v>
      </c>
      <c r="E361" s="105">
        <f>+IFERROR(INDEX('Restaurant Base (Hidden)'!$A$2:$Z$1048576,MATCH($C361,'Restaurant Base (Hidden)'!$C$2:$C$1048576,0),MATCH(E$6,'Restaurant Base (Hidden)'!$A$1:$Z$1,0)),"")</f>
        <v>2.44</v>
      </c>
      <c r="F361" s="64" t="str">
        <f>+IFERROR(INDEX('Restaurant Base (Hidden)'!$A$2:$Z$1048576,MATCH($C361,'Restaurant Base (Hidden)'!$C$2:$C$1048576,0),MATCH(F$6,'Restaurant Base (Hidden)'!$A$1:$Z$1,0)),"")</f>
        <v/>
      </c>
      <c r="G361" s="20" t="str">
        <f>+IFERROR(INDEX('Restaurant Base (Hidden)'!$A$2:$Z$1048576,MATCH($C361,'Restaurant Base (Hidden)'!$C$2:$C$1048576,0),MATCH(G$6,'Restaurant Base (Hidden)'!$A$1:$Z$1,0)),"")</f>
        <v>4,044</v>
      </c>
      <c r="H361" s="50">
        <f>+IFERROR(INDEX('Restaurant Base (Hidden)'!$A$2:$Z$1048576,MATCH($C361,'Restaurant Base (Hidden)'!$C$2:$C$1048576,0),MATCH(H$6,'Restaurant Base (Hidden)'!$A$1:$Z$1,0)),"")</f>
        <v>1</v>
      </c>
      <c r="I361" s="20" t="str">
        <f>+IFERROR(INDEX('Restaurant Base (Hidden)'!$A$2:$Z$1048576,MATCH($C361,'Restaurant Base (Hidden)'!$C$2:$C$1048576,0),MATCH(I$6,'Restaurant Base (Hidden)'!$A$1:$Z$1,0)),"")</f>
        <v>76,40 %</v>
      </c>
      <c r="J361" s="49">
        <f>+IFERROR(INDEX('Restaurant Base (Hidden)'!$A$2:$Z$1048576,MATCH($C361,'Restaurant Base (Hidden)'!$C$2:$C$1048576,0),MATCH(J$6,'Restaurant Base (Hidden)'!$A$1:$Z$1,0)),"")</f>
        <v>1</v>
      </c>
      <c r="K361" s="20" t="str">
        <f>+IFERROR(INDEX('Restaurant Base (Hidden)'!$A$2:$Z$1048576,MATCH($C361,'Restaurant Base (Hidden)'!$C$2:$C$1048576,0),MATCH(K$6,'Restaurant Base (Hidden)'!$A$1:$Z$1,0)),"")</f>
        <v>0,036</v>
      </c>
      <c r="L361" s="51">
        <f>+IFERROR(INDEX('Restaurant Base (Hidden)'!$A$2:$Z$1048576,MATCH($C361,'Restaurant Base (Hidden)'!$C$2:$C$1048576,0),MATCH(L$6,'Restaurant Base (Hidden)'!$A$1:$Z$1,0)),"")</f>
        <v>5</v>
      </c>
      <c r="M361" s="2" t="str">
        <f>+IFERROR(INDEX('Restaurant Base (Hidden)'!$A$2:$Z$1048576,MATCH($C361,'Restaurant Base (Hidden)'!$C$2:$C$1048576,0),MATCH(M$6,'Restaurant Base (Hidden)'!$A$1:$Z$1,0)),"")</f>
        <v/>
      </c>
      <c r="N361" s="234" t="str">
        <f>+IFERROR(INDEX('Restaurant Base (Hidden)'!$A$2:$Z$1048576,MATCH($C361,'Restaurant Base (Hidden)'!$C$2:$C$1048576,0),MATCH(N$6,'Restaurant Base (Hidden)'!$A$1:$Z$1,0)),"")</f>
        <v>67,60 %</v>
      </c>
      <c r="O361" s="1">
        <f>+IFERROR(INDEX('Restaurant Base (Hidden)'!$A$2:$Z$1048576,MATCH($C361,'Restaurant Base (Hidden)'!$C$2:$C$1048576,0),MATCH(O$6,'Restaurant Base (Hidden)'!$A$1:$Z$1,0)),"")</f>
        <v>3</v>
      </c>
      <c r="P361" s="2" t="str">
        <f>+IFERROR(INDEX('Restaurant Base (Hidden)'!$A$2:$Z$1048576,MATCH($C361,'Restaurant Base (Hidden)'!$C$2:$C$1048576,0),MATCH(P$6,'Restaurant Base (Hidden)'!$A$1:$Z$1,0)),"")</f>
        <v/>
      </c>
      <c r="Q361" s="234" t="str">
        <f>+IFERROR(INDEX('Restaurant Base (Hidden)'!$A$2:$Z$1048576,MATCH($C361,'Restaurant Base (Hidden)'!$C$2:$C$1048576,0),MATCH(Q$6,'Restaurant Base (Hidden)'!$A$1:$Z$1,0)),"")</f>
        <v>96,40 %</v>
      </c>
      <c r="R361" s="1">
        <f>+IFERROR(INDEX('Restaurant Base (Hidden)'!$A$2:$Z$1048576,MATCH($C361,'Restaurant Base (Hidden)'!$C$2:$C$1048576,0),MATCH(R$6,'Restaurant Base (Hidden)'!$A$1:$Z$1,0)),"")</f>
        <v>5</v>
      </c>
      <c r="S361" s="2" t="str">
        <f>+IFERROR(INDEX('Restaurant Base (Hidden)'!$A$2:$Z$1048576,MATCH($C361,'Restaurant Base (Hidden)'!$C$2:$C$1048576,0),MATCH(S$6,'Restaurant Base (Hidden)'!$A$1:$Z$1,0)),"")</f>
        <v/>
      </c>
      <c r="T361" s="62">
        <f>+IFERROR(INDEX('Restaurant Base (Hidden)'!$A$2:$Z$1048576,MATCH($C361,'Restaurant Base (Hidden)'!$C$2:$C$1048576,0),MATCH(T$6,'Restaurant Base (Hidden)'!$A$1:$Z$1,0)),"")</f>
        <v>56.6</v>
      </c>
      <c r="U361" s="1">
        <f>+IFERROR(INDEX('Restaurant Base (Hidden)'!$A$2:$Z$1048576,MATCH($C361,'Restaurant Base (Hidden)'!$C$2:$C$1048576,0),MATCH(U$6,'Restaurant Base (Hidden)'!$A$1:$Z$1,0)),"")</f>
        <v>1</v>
      </c>
      <c r="V361" s="2" t="str">
        <f>+IFERROR(INDEX('Restaurant Base (Hidden)'!$A$2:$Z$1048576,MATCH($C361,'Restaurant Base (Hidden)'!$C$2:$C$1048576,0),MATCH(V$6,'Restaurant Base (Hidden)'!$A$1:$Z$1,0)),"")</f>
        <v/>
      </c>
      <c r="W361" s="65" t="str">
        <f>+IFERROR(INDEX('Restaurant Base (Hidden)'!$A$2:$Z$1048576,MATCH($C361,'Restaurant Base (Hidden)'!$C$2:$C$1048576,0),MATCH(W$6,'Restaurant Base (Hidden)'!$A$1:$Z$1,0)),"")</f>
        <v>95,00 %</v>
      </c>
      <c r="X361" s="1">
        <f>+IFERROR(INDEX('Restaurant Base (Hidden)'!$A$2:$Z$1048576,MATCH($C361,'Restaurant Base (Hidden)'!$C$2:$C$1048576,0),MATCH(X$6,'Restaurant Base (Hidden)'!$A$1:$Z$1,0)),"")</f>
        <v>4</v>
      </c>
      <c r="Y361" s="65" t="str">
        <f>+IFERROR(INDEX('Restaurant Base (Hidden)'!$A$2:$Z$1048576,MATCH($C361,'Restaurant Base (Hidden)'!$C$2:$C$1048576,0),MATCH(Y$6,'Restaurant Base (Hidden)'!$A$1:$Z$1,0)),"")</f>
        <v>71,00 %</v>
      </c>
      <c r="Z361" s="106">
        <f>+IFERROR(INDEX('Restaurant Base (Hidden)'!$A$2:$Z$1048576,MATCH($C361,'Restaurant Base (Hidden)'!$C$2:$C$1048576,0),MATCH(Z$6,'Restaurant Base (Hidden)'!$A$1:$Z$1,0)),"")</f>
        <v>2</v>
      </c>
      <c r="AA361" s="65" t="str">
        <f>+IFERROR(INDEX('Restaurant Base (Hidden)'!$A$2:$Z$1048576,MATCH($C361,'Restaurant Base (Hidden)'!$C$2:$C$1048576,0),MATCH(AA$6,'Restaurant Base (Hidden)'!$A$1:$Z$1,0)),"")</f>
        <v>75,70 %</v>
      </c>
      <c r="AB361" s="1">
        <f>+IFERROR(INDEX('Restaurant Base (Hidden)'!$A$2:$Z$1048576,MATCH($C361,'Restaurant Base (Hidden)'!$C$2:$C$1048576,0),MATCH(AB$6,'Restaurant Base (Hidden)'!$A$1:$Z$1,0)),"")</f>
        <v>2</v>
      </c>
      <c r="AC361" s="20" t="str">
        <f>+IFERROR(INDEX('Restaurant Base (Hidden)'!$A$2:$Z$1048576,MATCH($C361,'Restaurant Base (Hidden)'!$C$2:$C$1048576,0),MATCH(AC$6,'Restaurant Base (Hidden)'!$A$1:$Z$1,0)),"")</f>
        <v/>
      </c>
      <c r="AD361" s="65" t="str">
        <f>+IFERROR(INDEX('Restaurant Base (Hidden)'!$A$2:$Z$1048576,MATCH($C361,'Restaurant Base (Hidden)'!$C$2:$C$1048576,0),MATCH(AD$6,'Restaurant Base (Hidden)'!$A$1:$Z$1,0)),"")</f>
        <v>68,00 %</v>
      </c>
      <c r="AE361" s="1">
        <f>+IFERROR(INDEX('Restaurant Base (Hidden)'!$A$2:$Z$1048576,MATCH($C361,'Restaurant Base (Hidden)'!$C$2:$C$1048576,0),MATCH(AE$6,'Restaurant Base (Hidden)'!$A$1:$Z$1,0)),"")</f>
        <v>1</v>
      </c>
      <c r="AF361" s="65" t="str">
        <f>+IFERROR(INDEX('Restaurant Base (Hidden)'!$A$2:$Z$1048576,MATCH($C361,'Restaurant Base (Hidden)'!$C$2:$C$1048576,0),MATCH(AF$6,'Restaurant Base (Hidden)'!$A$1:$Z$1,0)),"")</f>
        <v>80,10 %</v>
      </c>
      <c r="AG361" s="1">
        <f>+IFERROR(INDEX('Restaurant Base (Hidden)'!$A$2:$Z$1048576,MATCH($C361,'Restaurant Base (Hidden)'!$C$2:$C$1048576,0),MATCH(AG$6,'Restaurant Base (Hidden)'!$A$1:$Z$1,0)),"")</f>
        <v>2</v>
      </c>
    </row>
    <row r="362" spans="1:33" ht="16" customHeight="1" x14ac:dyDescent="0.4">
      <c r="A362" s="163" t="str">
        <f>IF('Restaurant Base (Hidden)'!A324=0,"", 'Restaurant Base (Hidden)'!A324)</f>
        <v>Cameron Creston</v>
      </c>
      <c r="B362" s="163" t="str">
        <f>IF('Restaurant Base (Hidden)'!B324=0,"", 'Restaurant Base (Hidden)'!B324)</f>
        <v>Silverline Hospitality</v>
      </c>
      <c r="C362" s="163" t="str">
        <f>IF('Restaurant Base (Hidden)'!C324=0,"", 'Restaurant Base (Hidden)'!C324)</f>
        <v>Bluebell Mews</v>
      </c>
      <c r="D362" s="104">
        <f t="shared" si="5"/>
        <v>354</v>
      </c>
      <c r="E362" s="105">
        <f>+IFERROR(INDEX('Restaurant Base (Hidden)'!$A$2:$Z$1048576,MATCH($C362,'Restaurant Base (Hidden)'!$C$2:$C$1048576,0),MATCH(E$6,'Restaurant Base (Hidden)'!$A$1:$Z$1,0)),"")</f>
        <v>2.44</v>
      </c>
      <c r="F362" s="2" t="str">
        <f>+IFERROR(INDEX('Restaurant Base (Hidden)'!$A$2:$Z$1048576,MATCH($C362,'Restaurant Base (Hidden)'!$C$2:$C$1048576,0),MATCH(F$6,'Restaurant Base (Hidden)'!$A$1:$Z$1,0)),"")</f>
        <v/>
      </c>
      <c r="G362" s="20" t="str">
        <f>+IFERROR(INDEX('Restaurant Base (Hidden)'!$A$2:$Z$1048576,MATCH($C362,'Restaurant Base (Hidden)'!$C$2:$C$1048576,0),MATCH(G$6,'Restaurant Base (Hidden)'!$A$1:$Z$1,0)),"")</f>
        <v>4,081</v>
      </c>
      <c r="H362" s="50">
        <f>+IFERROR(INDEX('Restaurant Base (Hidden)'!$A$2:$Z$1048576,MATCH($C362,'Restaurant Base (Hidden)'!$C$2:$C$1048576,0),MATCH(H$6,'Restaurant Base (Hidden)'!$A$1:$Z$1,0)),"")</f>
        <v>2</v>
      </c>
      <c r="I362" s="20" t="str">
        <f>+IFERROR(INDEX('Restaurant Base (Hidden)'!$A$2:$Z$1048576,MATCH($C362,'Restaurant Base (Hidden)'!$C$2:$C$1048576,0),MATCH(I$6,'Restaurant Base (Hidden)'!$A$1:$Z$1,0)),"")</f>
        <v>70,60 %</v>
      </c>
      <c r="J362" s="49">
        <f>+IFERROR(INDEX('Restaurant Base (Hidden)'!$A$2:$Z$1048576,MATCH($C362,'Restaurant Base (Hidden)'!$C$2:$C$1048576,0),MATCH(J$6,'Restaurant Base (Hidden)'!$A$1:$Z$1,0)),"")</f>
        <v>1</v>
      </c>
      <c r="K362" s="20" t="str">
        <f>+IFERROR(INDEX('Restaurant Base (Hidden)'!$A$2:$Z$1048576,MATCH($C362,'Restaurant Base (Hidden)'!$C$2:$C$1048576,0),MATCH(K$6,'Restaurant Base (Hidden)'!$A$1:$Z$1,0)),"")</f>
        <v>0,061</v>
      </c>
      <c r="L362" s="51">
        <f>+IFERROR(INDEX('Restaurant Base (Hidden)'!$A$2:$Z$1048576,MATCH($C362,'Restaurant Base (Hidden)'!$C$2:$C$1048576,0),MATCH(L$6,'Restaurant Base (Hidden)'!$A$1:$Z$1,0)),"")</f>
        <v>4</v>
      </c>
      <c r="M362" s="2" t="str">
        <f>+IFERROR(INDEX('Restaurant Base (Hidden)'!$A$2:$Z$1048576,MATCH($C362,'Restaurant Base (Hidden)'!$C$2:$C$1048576,0),MATCH(M$6,'Restaurant Base (Hidden)'!$A$1:$Z$1,0)),"")</f>
        <v/>
      </c>
      <c r="N362" s="234" t="str">
        <f>+IFERROR(INDEX('Restaurant Base (Hidden)'!$A$2:$Z$1048576,MATCH($C362,'Restaurant Base (Hidden)'!$C$2:$C$1048576,0),MATCH(N$6,'Restaurant Base (Hidden)'!$A$1:$Z$1,0)),"")</f>
        <v>79,40 %</v>
      </c>
      <c r="O362" s="1">
        <f>+IFERROR(INDEX('Restaurant Base (Hidden)'!$A$2:$Z$1048576,MATCH($C362,'Restaurant Base (Hidden)'!$C$2:$C$1048576,0),MATCH(O$6,'Restaurant Base (Hidden)'!$A$1:$Z$1,0)),"")</f>
        <v>5</v>
      </c>
      <c r="P362" s="2" t="str">
        <f>+IFERROR(INDEX('Restaurant Base (Hidden)'!$A$2:$Z$1048576,MATCH($C362,'Restaurant Base (Hidden)'!$C$2:$C$1048576,0),MATCH(P$6,'Restaurant Base (Hidden)'!$A$1:$Z$1,0)),"")</f>
        <v/>
      </c>
      <c r="Q362" s="234" t="str">
        <f>+IFERROR(INDEX('Restaurant Base (Hidden)'!$A$2:$Z$1048576,MATCH($C362,'Restaurant Base (Hidden)'!$C$2:$C$1048576,0),MATCH(Q$6,'Restaurant Base (Hidden)'!$A$1:$Z$1,0)),"")</f>
        <v>58,50 %</v>
      </c>
      <c r="R362" s="1">
        <f>+IFERROR(INDEX('Restaurant Base (Hidden)'!$A$2:$Z$1048576,MATCH($C362,'Restaurant Base (Hidden)'!$C$2:$C$1048576,0),MATCH(R$6,'Restaurant Base (Hidden)'!$A$1:$Z$1,0)),"")</f>
        <v>1</v>
      </c>
      <c r="S362" s="2" t="str">
        <f>+IFERROR(INDEX('Restaurant Base (Hidden)'!$A$2:$Z$1048576,MATCH($C362,'Restaurant Base (Hidden)'!$C$2:$C$1048576,0),MATCH(S$6,'Restaurant Base (Hidden)'!$A$1:$Z$1,0)),"")</f>
        <v/>
      </c>
      <c r="T362" s="62">
        <f>+IFERROR(INDEX('Restaurant Base (Hidden)'!$A$2:$Z$1048576,MATCH($C362,'Restaurant Base (Hidden)'!$C$2:$C$1048576,0),MATCH(T$6,'Restaurant Base (Hidden)'!$A$1:$Z$1,0)),"")</f>
        <v>55.5</v>
      </c>
      <c r="U362" s="1">
        <f>+IFERROR(INDEX('Restaurant Base (Hidden)'!$A$2:$Z$1048576,MATCH($C362,'Restaurant Base (Hidden)'!$C$2:$C$1048576,0),MATCH(U$6,'Restaurant Base (Hidden)'!$A$1:$Z$1,0)),"")</f>
        <v>1</v>
      </c>
      <c r="V362" s="2" t="str">
        <f>+IFERROR(INDEX('Restaurant Base (Hidden)'!$A$2:$Z$1048576,MATCH($C362,'Restaurant Base (Hidden)'!$C$2:$C$1048576,0),MATCH(V$6,'Restaurant Base (Hidden)'!$A$1:$Z$1,0)),"")</f>
        <v/>
      </c>
      <c r="W362" s="65" t="str">
        <f>+IFERROR(INDEX('Restaurant Base (Hidden)'!$A$2:$Z$1048576,MATCH($C362,'Restaurant Base (Hidden)'!$C$2:$C$1048576,0),MATCH(W$6,'Restaurant Base (Hidden)'!$A$1:$Z$1,0)),"")</f>
        <v>56,90 %</v>
      </c>
      <c r="X362" s="1">
        <f>+IFERROR(INDEX('Restaurant Base (Hidden)'!$A$2:$Z$1048576,MATCH($C362,'Restaurant Base (Hidden)'!$C$2:$C$1048576,0),MATCH(X$6,'Restaurant Base (Hidden)'!$A$1:$Z$1,0)),"")</f>
        <v>1</v>
      </c>
      <c r="Y362" s="65" t="str">
        <f>+IFERROR(INDEX('Restaurant Base (Hidden)'!$A$2:$Z$1048576,MATCH($C362,'Restaurant Base (Hidden)'!$C$2:$C$1048576,0),MATCH(Y$6,'Restaurant Base (Hidden)'!$A$1:$Z$1,0)),"")</f>
        <v>83,10 %</v>
      </c>
      <c r="Z362" s="106">
        <f>+IFERROR(INDEX('Restaurant Base (Hidden)'!$A$2:$Z$1048576,MATCH($C362,'Restaurant Base (Hidden)'!$C$2:$C$1048576,0),MATCH(Z$6,'Restaurant Base (Hidden)'!$A$1:$Z$1,0)),"")</f>
        <v>3</v>
      </c>
      <c r="AA362" s="65" t="str">
        <f>+IFERROR(INDEX('Restaurant Base (Hidden)'!$A$2:$Z$1048576,MATCH($C362,'Restaurant Base (Hidden)'!$C$2:$C$1048576,0),MATCH(AA$6,'Restaurant Base (Hidden)'!$A$1:$Z$1,0)),"")</f>
        <v>99,10 %</v>
      </c>
      <c r="AB362" s="1">
        <f>+IFERROR(INDEX('Restaurant Base (Hidden)'!$A$2:$Z$1048576,MATCH($C362,'Restaurant Base (Hidden)'!$C$2:$C$1048576,0),MATCH(AB$6,'Restaurant Base (Hidden)'!$A$1:$Z$1,0)),"")</f>
        <v>5</v>
      </c>
      <c r="AC362" s="20" t="str">
        <f>+IFERROR(INDEX('Restaurant Base (Hidden)'!$A$2:$Z$1048576,MATCH($C362,'Restaurant Base (Hidden)'!$C$2:$C$1048576,0),MATCH(AC$6,'Restaurant Base (Hidden)'!$A$1:$Z$1,0)),"")</f>
        <v/>
      </c>
      <c r="AD362" s="65" t="str">
        <f>+IFERROR(INDEX('Restaurant Base (Hidden)'!$A$2:$Z$1048576,MATCH($C362,'Restaurant Base (Hidden)'!$C$2:$C$1048576,0),MATCH(AD$6,'Restaurant Base (Hidden)'!$A$1:$Z$1,0)),"")</f>
        <v>86,70 %</v>
      </c>
      <c r="AE362" s="1">
        <f>+IFERROR(INDEX('Restaurant Base (Hidden)'!$A$2:$Z$1048576,MATCH($C362,'Restaurant Base (Hidden)'!$C$2:$C$1048576,0),MATCH(AE$6,'Restaurant Base (Hidden)'!$A$1:$Z$1,0)),"")</f>
        <v>3</v>
      </c>
      <c r="AF362" s="65" t="str">
        <f>+IFERROR(INDEX('Restaurant Base (Hidden)'!$A$2:$Z$1048576,MATCH($C362,'Restaurant Base (Hidden)'!$C$2:$C$1048576,0),MATCH(AF$6,'Restaurant Base (Hidden)'!$A$1:$Z$1,0)),"")</f>
        <v>83,00 %</v>
      </c>
      <c r="AG362" s="1">
        <f>+IFERROR(INDEX('Restaurant Base (Hidden)'!$A$2:$Z$1048576,MATCH($C362,'Restaurant Base (Hidden)'!$C$2:$C$1048576,0),MATCH(AG$6,'Restaurant Base (Hidden)'!$A$1:$Z$1,0)),"")</f>
        <v>2</v>
      </c>
    </row>
    <row r="363" spans="1:33" ht="16" customHeight="1" x14ac:dyDescent="0.4">
      <c r="A363" s="163" t="str">
        <f>IF('Restaurant Base (Hidden)'!A393=0,"", 'Restaurant Base (Hidden)'!A393)</f>
        <v>Parker Sterling</v>
      </c>
      <c r="B363" s="163" t="str">
        <f>IF('Restaurant Base (Hidden)'!B393=0,"", 'Restaurant Base (Hidden)'!B393)</f>
        <v>Brightstone Food Group</v>
      </c>
      <c r="C363" s="163" t="str">
        <f>IF('Restaurant Base (Hidden)'!C393=0,"", 'Restaurant Base (Hidden)'!C393)</f>
        <v>Maple Fields</v>
      </c>
      <c r="D363" s="104">
        <f t="shared" si="5"/>
        <v>354</v>
      </c>
      <c r="E363" s="105">
        <f>+IFERROR(INDEX('Restaurant Base (Hidden)'!$A$2:$Z$1048576,MATCH($C363,'Restaurant Base (Hidden)'!$C$2:$C$1048576,0),MATCH(E$6,'Restaurant Base (Hidden)'!$A$1:$Z$1,0)),"")</f>
        <v>2.44</v>
      </c>
      <c r="F363" s="2" t="str">
        <f>+IFERROR(INDEX('Restaurant Base (Hidden)'!$A$2:$Z$1048576,MATCH($C363,'Restaurant Base (Hidden)'!$C$2:$C$1048576,0),MATCH(F$6,'Restaurant Base (Hidden)'!$A$1:$Z$1,0)),"")</f>
        <v/>
      </c>
      <c r="G363" s="20" t="str">
        <f>+IFERROR(INDEX('Restaurant Base (Hidden)'!$A$2:$Z$1048576,MATCH($C363,'Restaurant Base (Hidden)'!$C$2:$C$1048576,0),MATCH(G$6,'Restaurant Base (Hidden)'!$A$1:$Z$1,0)),"")</f>
        <v>4,764</v>
      </c>
      <c r="H363" s="50">
        <f>+IFERROR(INDEX('Restaurant Base (Hidden)'!$A$2:$Z$1048576,MATCH($C363,'Restaurant Base (Hidden)'!$C$2:$C$1048576,0),MATCH(H$6,'Restaurant Base (Hidden)'!$A$1:$Z$1,0)),"")</f>
        <v>5</v>
      </c>
      <c r="I363" s="20" t="str">
        <f>+IFERROR(INDEX('Restaurant Base (Hidden)'!$A$2:$Z$1048576,MATCH($C363,'Restaurant Base (Hidden)'!$C$2:$C$1048576,0),MATCH(I$6,'Restaurant Base (Hidden)'!$A$1:$Z$1,0)),"")</f>
        <v>75,20 %</v>
      </c>
      <c r="J363" s="49">
        <f>+IFERROR(INDEX('Restaurant Base (Hidden)'!$A$2:$Z$1048576,MATCH($C363,'Restaurant Base (Hidden)'!$C$2:$C$1048576,0),MATCH(J$6,'Restaurant Base (Hidden)'!$A$1:$Z$1,0)),"")</f>
        <v>1</v>
      </c>
      <c r="K363" s="20" t="str">
        <f>+IFERROR(INDEX('Restaurant Base (Hidden)'!$A$2:$Z$1048576,MATCH($C363,'Restaurant Base (Hidden)'!$C$2:$C$1048576,0),MATCH(K$6,'Restaurant Base (Hidden)'!$A$1:$Z$1,0)),"")</f>
        <v>0,071</v>
      </c>
      <c r="L363" s="51">
        <f>+IFERROR(INDEX('Restaurant Base (Hidden)'!$A$2:$Z$1048576,MATCH($C363,'Restaurant Base (Hidden)'!$C$2:$C$1048576,0),MATCH(L$6,'Restaurant Base (Hidden)'!$A$1:$Z$1,0)),"")</f>
        <v>4</v>
      </c>
      <c r="M363" s="2" t="str">
        <f>+IFERROR(INDEX('Restaurant Base (Hidden)'!$A$2:$Z$1048576,MATCH($C363,'Restaurant Base (Hidden)'!$C$2:$C$1048576,0),MATCH(M$6,'Restaurant Base (Hidden)'!$A$1:$Z$1,0)),"")</f>
        <v/>
      </c>
      <c r="N363" s="234" t="str">
        <f>+IFERROR(INDEX('Restaurant Base (Hidden)'!$A$2:$Z$1048576,MATCH($C363,'Restaurant Base (Hidden)'!$C$2:$C$1048576,0),MATCH(N$6,'Restaurant Base (Hidden)'!$A$1:$Z$1,0)),"")</f>
        <v>62,40 %</v>
      </c>
      <c r="O363" s="1">
        <f>+IFERROR(INDEX('Restaurant Base (Hidden)'!$A$2:$Z$1048576,MATCH($C363,'Restaurant Base (Hidden)'!$C$2:$C$1048576,0),MATCH(O$6,'Restaurant Base (Hidden)'!$A$1:$Z$1,0)),"")</f>
        <v>2</v>
      </c>
      <c r="P363" s="2" t="str">
        <f>+IFERROR(INDEX('Restaurant Base (Hidden)'!$A$2:$Z$1048576,MATCH($C363,'Restaurant Base (Hidden)'!$C$2:$C$1048576,0),MATCH(P$6,'Restaurant Base (Hidden)'!$A$1:$Z$1,0)),"")</f>
        <v/>
      </c>
      <c r="Q363" s="234" t="str">
        <f>+IFERROR(INDEX('Restaurant Base (Hidden)'!$A$2:$Z$1048576,MATCH($C363,'Restaurant Base (Hidden)'!$C$2:$C$1048576,0),MATCH(Q$6,'Restaurant Base (Hidden)'!$A$1:$Z$1,0)),"")</f>
        <v>61,30 %</v>
      </c>
      <c r="R363" s="1">
        <f>+IFERROR(INDEX('Restaurant Base (Hidden)'!$A$2:$Z$1048576,MATCH($C363,'Restaurant Base (Hidden)'!$C$2:$C$1048576,0),MATCH(R$6,'Restaurant Base (Hidden)'!$A$1:$Z$1,0)),"")</f>
        <v>2</v>
      </c>
      <c r="S363" s="2" t="str">
        <f>+IFERROR(INDEX('Restaurant Base (Hidden)'!$A$2:$Z$1048576,MATCH($C363,'Restaurant Base (Hidden)'!$C$2:$C$1048576,0),MATCH(S$6,'Restaurant Base (Hidden)'!$A$1:$Z$1,0)),"")</f>
        <v/>
      </c>
      <c r="T363" s="62">
        <f>+IFERROR(INDEX('Restaurant Base (Hidden)'!$A$2:$Z$1048576,MATCH($C363,'Restaurant Base (Hidden)'!$C$2:$C$1048576,0),MATCH(T$6,'Restaurant Base (Hidden)'!$A$1:$Z$1,0)),"")</f>
        <v>62.5</v>
      </c>
      <c r="U363" s="1">
        <f>+IFERROR(INDEX('Restaurant Base (Hidden)'!$A$2:$Z$1048576,MATCH($C363,'Restaurant Base (Hidden)'!$C$2:$C$1048576,0),MATCH(U$6,'Restaurant Base (Hidden)'!$A$1:$Z$1,0)),"")</f>
        <v>3</v>
      </c>
      <c r="V363" s="2" t="str">
        <f>+IFERROR(INDEX('Restaurant Base (Hidden)'!$A$2:$Z$1048576,MATCH($C363,'Restaurant Base (Hidden)'!$C$2:$C$1048576,0),MATCH(V$6,'Restaurant Base (Hidden)'!$A$1:$Z$1,0)),"")</f>
        <v/>
      </c>
      <c r="W363" s="65" t="str">
        <f>+IFERROR(INDEX('Restaurant Base (Hidden)'!$A$2:$Z$1048576,MATCH($C363,'Restaurant Base (Hidden)'!$C$2:$C$1048576,0),MATCH(W$6,'Restaurant Base (Hidden)'!$A$1:$Z$1,0)),"")</f>
        <v>62,80 %</v>
      </c>
      <c r="X363" s="1">
        <f>+IFERROR(INDEX('Restaurant Base (Hidden)'!$A$2:$Z$1048576,MATCH($C363,'Restaurant Base (Hidden)'!$C$2:$C$1048576,0),MATCH(X$6,'Restaurant Base (Hidden)'!$A$1:$Z$1,0)),"")</f>
        <v>2</v>
      </c>
      <c r="Y363" s="65" t="str">
        <f>+IFERROR(INDEX('Restaurant Base (Hidden)'!$A$2:$Z$1048576,MATCH($C363,'Restaurant Base (Hidden)'!$C$2:$C$1048576,0),MATCH(Y$6,'Restaurant Base (Hidden)'!$A$1:$Z$1,0)),"")</f>
        <v>68,70 %</v>
      </c>
      <c r="Z363" s="106">
        <f>+IFERROR(INDEX('Restaurant Base (Hidden)'!$A$2:$Z$1048576,MATCH($C363,'Restaurant Base (Hidden)'!$C$2:$C$1048576,0),MATCH(Z$6,'Restaurant Base (Hidden)'!$A$1:$Z$1,0)),"")</f>
        <v>2</v>
      </c>
      <c r="AA363" s="65" t="str">
        <f>+IFERROR(INDEX('Restaurant Base (Hidden)'!$A$2:$Z$1048576,MATCH($C363,'Restaurant Base (Hidden)'!$C$2:$C$1048576,0),MATCH(AA$6,'Restaurant Base (Hidden)'!$A$1:$Z$1,0)),"")</f>
        <v>82,80 %</v>
      </c>
      <c r="AB363" s="1">
        <f>+IFERROR(INDEX('Restaurant Base (Hidden)'!$A$2:$Z$1048576,MATCH($C363,'Restaurant Base (Hidden)'!$C$2:$C$1048576,0),MATCH(AB$6,'Restaurant Base (Hidden)'!$A$1:$Z$1,0)),"")</f>
        <v>2</v>
      </c>
      <c r="AC363" s="20" t="str">
        <f>+IFERROR(INDEX('Restaurant Base (Hidden)'!$A$2:$Z$1048576,MATCH($C363,'Restaurant Base (Hidden)'!$C$2:$C$1048576,0),MATCH(AC$6,'Restaurant Base (Hidden)'!$A$1:$Z$1,0)),"")</f>
        <v/>
      </c>
      <c r="AD363" s="65" t="str">
        <f>+IFERROR(INDEX('Restaurant Base (Hidden)'!$A$2:$Z$1048576,MATCH($C363,'Restaurant Base (Hidden)'!$C$2:$C$1048576,0),MATCH(AD$6,'Restaurant Base (Hidden)'!$A$1:$Z$1,0)),"")</f>
        <v>84,10 %</v>
      </c>
      <c r="AE363" s="1">
        <f>+IFERROR(INDEX('Restaurant Base (Hidden)'!$A$2:$Z$1048576,MATCH($C363,'Restaurant Base (Hidden)'!$C$2:$C$1048576,0),MATCH(AE$6,'Restaurant Base (Hidden)'!$A$1:$Z$1,0)),"")</f>
        <v>3</v>
      </c>
      <c r="AF363" s="65" t="str">
        <f>+IFERROR(INDEX('Restaurant Base (Hidden)'!$A$2:$Z$1048576,MATCH($C363,'Restaurant Base (Hidden)'!$C$2:$C$1048576,0),MATCH(AF$6,'Restaurant Base (Hidden)'!$A$1:$Z$1,0)),"")</f>
        <v>75,80 %</v>
      </c>
      <c r="AG363" s="1">
        <f>+IFERROR(INDEX('Restaurant Base (Hidden)'!$A$2:$Z$1048576,MATCH($C363,'Restaurant Base (Hidden)'!$C$2:$C$1048576,0),MATCH(AG$6,'Restaurant Base (Hidden)'!$A$1:$Z$1,0)),"")</f>
        <v>2</v>
      </c>
    </row>
    <row r="364" spans="1:33" ht="16" customHeight="1" x14ac:dyDescent="0.4">
      <c r="A364" s="163" t="str">
        <f>IF('Restaurant Base (Hidden)'!A64=0,"", 'Restaurant Base (Hidden)'!A64)</f>
        <v>Drew Fairbourne</v>
      </c>
      <c r="B364" s="163" t="str">
        <f>IF('Restaurant Base (Hidden)'!B64=0,"", 'Restaurant Base (Hidden)'!B64)</f>
        <v>Brookvale Dining</v>
      </c>
      <c r="C364" s="163" t="str">
        <f>IF('Restaurant Base (Hidden)'!C64=0,"", 'Restaurant Base (Hidden)'!C64)</f>
        <v>Lake Harbor</v>
      </c>
      <c r="D364" s="104">
        <f t="shared" si="5"/>
        <v>358</v>
      </c>
      <c r="E364" s="105">
        <f>+IFERROR(INDEX('Restaurant Base (Hidden)'!$A$2:$Z$1048576,MATCH($C364,'Restaurant Base (Hidden)'!$C$2:$C$1048576,0),MATCH(E$6,'Restaurant Base (Hidden)'!$A$1:$Z$1,0)),"")</f>
        <v>2.4300000000000002</v>
      </c>
      <c r="F364" s="64" t="str">
        <f>+IFERROR(INDEX('Restaurant Base (Hidden)'!$A$2:$Z$1048576,MATCH($C364,'Restaurant Base (Hidden)'!$C$2:$C$1048576,0),MATCH(F$6,'Restaurant Base (Hidden)'!$A$1:$Z$1,0)),"")</f>
        <v/>
      </c>
      <c r="G364" s="20" t="str">
        <f>+IFERROR(INDEX('Restaurant Base (Hidden)'!$A$2:$Z$1048576,MATCH($C364,'Restaurant Base (Hidden)'!$C$2:$C$1048576,0),MATCH(G$6,'Restaurant Base (Hidden)'!$A$1:$Z$1,0)),"")</f>
        <v>4,559</v>
      </c>
      <c r="H364" s="50">
        <f>+IFERROR(INDEX('Restaurant Base (Hidden)'!$A$2:$Z$1048576,MATCH($C364,'Restaurant Base (Hidden)'!$C$2:$C$1048576,0),MATCH(H$6,'Restaurant Base (Hidden)'!$A$1:$Z$1,0)),"")</f>
        <v>5</v>
      </c>
      <c r="I364" s="20" t="str">
        <f>+IFERROR(INDEX('Restaurant Base (Hidden)'!$A$2:$Z$1048576,MATCH($C364,'Restaurant Base (Hidden)'!$C$2:$C$1048576,0),MATCH(I$6,'Restaurant Base (Hidden)'!$A$1:$Z$1,0)),"")</f>
        <v>66,90 %</v>
      </c>
      <c r="J364" s="49">
        <f>+IFERROR(INDEX('Restaurant Base (Hidden)'!$A$2:$Z$1048576,MATCH($C364,'Restaurant Base (Hidden)'!$C$2:$C$1048576,0),MATCH(J$6,'Restaurant Base (Hidden)'!$A$1:$Z$1,0)),"")</f>
        <v>1</v>
      </c>
      <c r="K364" s="20" t="str">
        <f>+IFERROR(INDEX('Restaurant Base (Hidden)'!$A$2:$Z$1048576,MATCH($C364,'Restaurant Base (Hidden)'!$C$2:$C$1048576,0),MATCH(K$6,'Restaurant Base (Hidden)'!$A$1:$Z$1,0)),"")</f>
        <v>0,077</v>
      </c>
      <c r="L364" s="51">
        <f>+IFERROR(INDEX('Restaurant Base (Hidden)'!$A$2:$Z$1048576,MATCH($C364,'Restaurant Base (Hidden)'!$C$2:$C$1048576,0),MATCH(L$6,'Restaurant Base (Hidden)'!$A$1:$Z$1,0)),"")</f>
        <v>4</v>
      </c>
      <c r="M364" s="2" t="str">
        <f>+IFERROR(INDEX('Restaurant Base (Hidden)'!$A$2:$Z$1048576,MATCH($C364,'Restaurant Base (Hidden)'!$C$2:$C$1048576,0),MATCH(M$6,'Restaurant Base (Hidden)'!$A$1:$Z$1,0)),"")</f>
        <v/>
      </c>
      <c r="N364" s="234" t="str">
        <f>+IFERROR(INDEX('Restaurant Base (Hidden)'!$A$2:$Z$1048576,MATCH($C364,'Restaurant Base (Hidden)'!$C$2:$C$1048576,0),MATCH(N$6,'Restaurant Base (Hidden)'!$A$1:$Z$1,0)),"")</f>
        <v>97,90 %</v>
      </c>
      <c r="O364" s="1">
        <f>+IFERROR(INDEX('Restaurant Base (Hidden)'!$A$2:$Z$1048576,MATCH($C364,'Restaurant Base (Hidden)'!$C$2:$C$1048576,0),MATCH(O$6,'Restaurant Base (Hidden)'!$A$1:$Z$1,0)),"")</f>
        <v>5</v>
      </c>
      <c r="P364" s="2" t="str">
        <f>+IFERROR(INDEX('Restaurant Base (Hidden)'!$A$2:$Z$1048576,MATCH($C364,'Restaurant Base (Hidden)'!$C$2:$C$1048576,0),MATCH(P$6,'Restaurant Base (Hidden)'!$A$1:$Z$1,0)),"")</f>
        <v/>
      </c>
      <c r="Q364" s="234" t="str">
        <f>+IFERROR(INDEX('Restaurant Base (Hidden)'!$A$2:$Z$1048576,MATCH($C364,'Restaurant Base (Hidden)'!$C$2:$C$1048576,0),MATCH(Q$6,'Restaurant Base (Hidden)'!$A$1:$Z$1,0)),"")</f>
        <v>60,60 %</v>
      </c>
      <c r="R364" s="1">
        <f>+IFERROR(INDEX('Restaurant Base (Hidden)'!$A$2:$Z$1048576,MATCH($C364,'Restaurant Base (Hidden)'!$C$2:$C$1048576,0),MATCH(R$6,'Restaurant Base (Hidden)'!$A$1:$Z$1,0)),"")</f>
        <v>1</v>
      </c>
      <c r="S364" s="2" t="str">
        <f>+IFERROR(INDEX('Restaurant Base (Hidden)'!$A$2:$Z$1048576,MATCH($C364,'Restaurant Base (Hidden)'!$C$2:$C$1048576,0),MATCH(S$6,'Restaurant Base (Hidden)'!$A$1:$Z$1,0)),"")</f>
        <v/>
      </c>
      <c r="T364" s="62">
        <f>+IFERROR(INDEX('Restaurant Base (Hidden)'!$A$2:$Z$1048576,MATCH($C364,'Restaurant Base (Hidden)'!$C$2:$C$1048576,0),MATCH(T$6,'Restaurant Base (Hidden)'!$A$1:$Z$1,0)),"")</f>
        <v>57.9</v>
      </c>
      <c r="U364" s="1">
        <f>+IFERROR(INDEX('Restaurant Base (Hidden)'!$A$2:$Z$1048576,MATCH($C364,'Restaurant Base (Hidden)'!$C$2:$C$1048576,0),MATCH(U$6,'Restaurant Base (Hidden)'!$A$1:$Z$1,0)),"")</f>
        <v>2</v>
      </c>
      <c r="V364" s="2" t="str">
        <f>+IFERROR(INDEX('Restaurant Base (Hidden)'!$A$2:$Z$1048576,MATCH($C364,'Restaurant Base (Hidden)'!$C$2:$C$1048576,0),MATCH(V$6,'Restaurant Base (Hidden)'!$A$1:$Z$1,0)),"")</f>
        <v/>
      </c>
      <c r="W364" s="65" t="str">
        <f>+IFERROR(INDEX('Restaurant Base (Hidden)'!$A$2:$Z$1048576,MATCH($C364,'Restaurant Base (Hidden)'!$C$2:$C$1048576,0),MATCH(W$6,'Restaurant Base (Hidden)'!$A$1:$Z$1,0)),"")</f>
        <v>81,90 %</v>
      </c>
      <c r="X364" s="1">
        <f>+IFERROR(INDEX('Restaurant Base (Hidden)'!$A$2:$Z$1048576,MATCH($C364,'Restaurant Base (Hidden)'!$C$2:$C$1048576,0),MATCH(X$6,'Restaurant Base (Hidden)'!$A$1:$Z$1,0)),"")</f>
        <v>3</v>
      </c>
      <c r="Y364" s="65" t="str">
        <f>+IFERROR(INDEX('Restaurant Base (Hidden)'!$A$2:$Z$1048576,MATCH($C364,'Restaurant Base (Hidden)'!$C$2:$C$1048576,0),MATCH(Y$6,'Restaurant Base (Hidden)'!$A$1:$Z$1,0)),"")</f>
        <v>59,70 %</v>
      </c>
      <c r="Z364" s="106">
        <f>+IFERROR(INDEX('Restaurant Base (Hidden)'!$A$2:$Z$1048576,MATCH($C364,'Restaurant Base (Hidden)'!$C$2:$C$1048576,0),MATCH(Z$6,'Restaurant Base (Hidden)'!$A$1:$Z$1,0)),"")</f>
        <v>1</v>
      </c>
      <c r="AA364" s="65" t="str">
        <f>+IFERROR(INDEX('Restaurant Base (Hidden)'!$A$2:$Z$1048576,MATCH($C364,'Restaurant Base (Hidden)'!$C$2:$C$1048576,0),MATCH(AA$6,'Restaurant Base (Hidden)'!$A$1:$Z$1,0)),"")</f>
        <v>70,80 %</v>
      </c>
      <c r="AB364" s="1">
        <f>+IFERROR(INDEX('Restaurant Base (Hidden)'!$A$2:$Z$1048576,MATCH($C364,'Restaurant Base (Hidden)'!$C$2:$C$1048576,0),MATCH(AB$6,'Restaurant Base (Hidden)'!$A$1:$Z$1,0)),"")</f>
        <v>2</v>
      </c>
      <c r="AC364" s="20" t="str">
        <f>+IFERROR(INDEX('Restaurant Base (Hidden)'!$A$2:$Z$1048576,MATCH($C364,'Restaurant Base (Hidden)'!$C$2:$C$1048576,0),MATCH(AC$6,'Restaurant Base (Hidden)'!$A$1:$Z$1,0)),"")</f>
        <v/>
      </c>
      <c r="AD364" s="65" t="str">
        <f>+IFERROR(INDEX('Restaurant Base (Hidden)'!$A$2:$Z$1048576,MATCH($C364,'Restaurant Base (Hidden)'!$C$2:$C$1048576,0),MATCH(AD$6,'Restaurant Base (Hidden)'!$A$1:$Z$1,0)),"")</f>
        <v>66,10 %</v>
      </c>
      <c r="AE364" s="1">
        <f>+IFERROR(INDEX('Restaurant Base (Hidden)'!$A$2:$Z$1048576,MATCH($C364,'Restaurant Base (Hidden)'!$C$2:$C$1048576,0),MATCH(AE$6,'Restaurant Base (Hidden)'!$A$1:$Z$1,0)),"")</f>
        <v>1</v>
      </c>
      <c r="AF364" s="65" t="str">
        <f>+IFERROR(INDEX('Restaurant Base (Hidden)'!$A$2:$Z$1048576,MATCH($C364,'Restaurant Base (Hidden)'!$C$2:$C$1048576,0),MATCH(AF$6,'Restaurant Base (Hidden)'!$A$1:$Z$1,0)),"")</f>
        <v>81,10 %</v>
      </c>
      <c r="AG364" s="1">
        <f>+IFERROR(INDEX('Restaurant Base (Hidden)'!$A$2:$Z$1048576,MATCH($C364,'Restaurant Base (Hidden)'!$C$2:$C$1048576,0),MATCH(AG$6,'Restaurant Base (Hidden)'!$A$1:$Z$1,0)),"")</f>
        <v>2</v>
      </c>
    </row>
    <row r="365" spans="1:33" ht="16" customHeight="1" x14ac:dyDescent="0.4">
      <c r="A365" s="163" t="str">
        <f>IF('Restaurant Base (Hidden)'!A189=0,"", 'Restaurant Base (Hidden)'!A189)</f>
        <v>Morgan Rivington</v>
      </c>
      <c r="B365" s="163" t="str">
        <f>IF('Restaurant Base (Hidden)'!B189=0,"", 'Restaurant Base (Hidden)'!B189)</f>
        <v>Westfield Food Group</v>
      </c>
      <c r="C365" s="163" t="str">
        <f>IF('Restaurant Base (Hidden)'!C189=0,"", 'Restaurant Base (Hidden)'!C189)</f>
        <v>Parkside Plaza</v>
      </c>
      <c r="D365" s="104">
        <f t="shared" si="5"/>
        <v>358</v>
      </c>
      <c r="E365" s="105">
        <f>+IFERROR(INDEX('Restaurant Base (Hidden)'!$A$2:$Z$1048576,MATCH($C365,'Restaurant Base (Hidden)'!$C$2:$C$1048576,0),MATCH(E$6,'Restaurant Base (Hidden)'!$A$1:$Z$1,0)),"")</f>
        <v>2.4300000000000002</v>
      </c>
      <c r="F365" s="2" t="str">
        <f>+IFERROR(INDEX('Restaurant Base (Hidden)'!$A$2:$Z$1048576,MATCH($C365,'Restaurant Base (Hidden)'!$C$2:$C$1048576,0),MATCH(F$6,'Restaurant Base (Hidden)'!$A$1:$Z$1,0)),"")</f>
        <v/>
      </c>
      <c r="G365" s="20" t="str">
        <f>+IFERROR(INDEX('Restaurant Base (Hidden)'!$A$2:$Z$1048576,MATCH($C365,'Restaurant Base (Hidden)'!$C$2:$C$1048576,0),MATCH(G$6,'Restaurant Base (Hidden)'!$A$1:$Z$1,0)),"")</f>
        <v>4,299</v>
      </c>
      <c r="H365" s="50">
        <f>+IFERROR(INDEX('Restaurant Base (Hidden)'!$A$2:$Z$1048576,MATCH($C365,'Restaurant Base (Hidden)'!$C$2:$C$1048576,0),MATCH(H$6,'Restaurant Base (Hidden)'!$A$1:$Z$1,0)),"")</f>
        <v>3</v>
      </c>
      <c r="I365" s="20" t="str">
        <f>+IFERROR(INDEX('Restaurant Base (Hidden)'!$A$2:$Z$1048576,MATCH($C365,'Restaurant Base (Hidden)'!$C$2:$C$1048576,0),MATCH(I$6,'Restaurant Base (Hidden)'!$A$1:$Z$1,0)),"")</f>
        <v>80,80 %</v>
      </c>
      <c r="J365" s="49">
        <f>+IFERROR(INDEX('Restaurant Base (Hidden)'!$A$2:$Z$1048576,MATCH($C365,'Restaurant Base (Hidden)'!$C$2:$C$1048576,0),MATCH(J$6,'Restaurant Base (Hidden)'!$A$1:$Z$1,0)),"")</f>
        <v>2</v>
      </c>
      <c r="K365" s="20" t="str">
        <f>+IFERROR(INDEX('Restaurant Base (Hidden)'!$A$2:$Z$1048576,MATCH($C365,'Restaurant Base (Hidden)'!$C$2:$C$1048576,0),MATCH(K$6,'Restaurant Base (Hidden)'!$A$1:$Z$1,0)),"")</f>
        <v>0,135</v>
      </c>
      <c r="L365" s="51">
        <f>+IFERROR(INDEX('Restaurant Base (Hidden)'!$A$2:$Z$1048576,MATCH($C365,'Restaurant Base (Hidden)'!$C$2:$C$1048576,0),MATCH(L$6,'Restaurant Base (Hidden)'!$A$1:$Z$1,0)),"")</f>
        <v>2</v>
      </c>
      <c r="M365" s="2" t="str">
        <f>+IFERROR(INDEX('Restaurant Base (Hidden)'!$A$2:$Z$1048576,MATCH($C365,'Restaurant Base (Hidden)'!$C$2:$C$1048576,0),MATCH(M$6,'Restaurant Base (Hidden)'!$A$1:$Z$1,0)),"")</f>
        <v/>
      </c>
      <c r="N365" s="234" t="str">
        <f>+IFERROR(INDEX('Restaurant Base (Hidden)'!$A$2:$Z$1048576,MATCH($C365,'Restaurant Base (Hidden)'!$C$2:$C$1048576,0),MATCH(N$6,'Restaurant Base (Hidden)'!$A$1:$Z$1,0)),"")</f>
        <v>65,00 %</v>
      </c>
      <c r="O365" s="1">
        <f>+IFERROR(INDEX('Restaurant Base (Hidden)'!$A$2:$Z$1048576,MATCH($C365,'Restaurant Base (Hidden)'!$C$2:$C$1048576,0),MATCH(O$6,'Restaurant Base (Hidden)'!$A$1:$Z$1,0)),"")</f>
        <v>3</v>
      </c>
      <c r="P365" s="2" t="str">
        <f>+IFERROR(INDEX('Restaurant Base (Hidden)'!$A$2:$Z$1048576,MATCH($C365,'Restaurant Base (Hidden)'!$C$2:$C$1048576,0),MATCH(P$6,'Restaurant Base (Hidden)'!$A$1:$Z$1,0)),"")</f>
        <v/>
      </c>
      <c r="Q365" s="234" t="str">
        <f>+IFERROR(INDEX('Restaurant Base (Hidden)'!$A$2:$Z$1048576,MATCH($C365,'Restaurant Base (Hidden)'!$C$2:$C$1048576,0),MATCH(Q$6,'Restaurant Base (Hidden)'!$A$1:$Z$1,0)),"")</f>
        <v>80,50 %</v>
      </c>
      <c r="R365" s="1">
        <f>+IFERROR(INDEX('Restaurant Base (Hidden)'!$A$2:$Z$1048576,MATCH($C365,'Restaurant Base (Hidden)'!$C$2:$C$1048576,0),MATCH(R$6,'Restaurant Base (Hidden)'!$A$1:$Z$1,0)),"")</f>
        <v>5</v>
      </c>
      <c r="S365" s="2" t="str">
        <f>+IFERROR(INDEX('Restaurant Base (Hidden)'!$A$2:$Z$1048576,MATCH($C365,'Restaurant Base (Hidden)'!$C$2:$C$1048576,0),MATCH(S$6,'Restaurant Base (Hidden)'!$A$1:$Z$1,0)),"")</f>
        <v/>
      </c>
      <c r="T365" s="62">
        <f>+IFERROR(INDEX('Restaurant Base (Hidden)'!$A$2:$Z$1048576,MATCH($C365,'Restaurant Base (Hidden)'!$C$2:$C$1048576,0),MATCH(T$6,'Restaurant Base (Hidden)'!$A$1:$Z$1,0)),"")</f>
        <v>53.2</v>
      </c>
      <c r="U365" s="1">
        <f>+IFERROR(INDEX('Restaurant Base (Hidden)'!$A$2:$Z$1048576,MATCH($C365,'Restaurant Base (Hidden)'!$C$2:$C$1048576,0),MATCH(U$6,'Restaurant Base (Hidden)'!$A$1:$Z$1,0)),"")</f>
        <v>1</v>
      </c>
      <c r="V365" s="2" t="str">
        <f>+IFERROR(INDEX('Restaurant Base (Hidden)'!$A$2:$Z$1048576,MATCH($C365,'Restaurant Base (Hidden)'!$C$2:$C$1048576,0),MATCH(V$6,'Restaurant Base (Hidden)'!$A$1:$Z$1,0)),"")</f>
        <v/>
      </c>
      <c r="W365" s="65" t="str">
        <f>+IFERROR(INDEX('Restaurant Base (Hidden)'!$A$2:$Z$1048576,MATCH($C365,'Restaurant Base (Hidden)'!$C$2:$C$1048576,0),MATCH(W$6,'Restaurant Base (Hidden)'!$A$1:$Z$1,0)),"")</f>
        <v>62,80 %</v>
      </c>
      <c r="X365" s="1">
        <f>+IFERROR(INDEX('Restaurant Base (Hidden)'!$A$2:$Z$1048576,MATCH($C365,'Restaurant Base (Hidden)'!$C$2:$C$1048576,0),MATCH(X$6,'Restaurant Base (Hidden)'!$A$1:$Z$1,0)),"")</f>
        <v>2</v>
      </c>
      <c r="Y365" s="65" t="str">
        <f>+IFERROR(INDEX('Restaurant Base (Hidden)'!$A$2:$Z$1048576,MATCH($C365,'Restaurant Base (Hidden)'!$C$2:$C$1048576,0),MATCH(Y$6,'Restaurant Base (Hidden)'!$A$1:$Z$1,0)),"")</f>
        <v>78,10 %</v>
      </c>
      <c r="Z365" s="106">
        <f>+IFERROR(INDEX('Restaurant Base (Hidden)'!$A$2:$Z$1048576,MATCH($C365,'Restaurant Base (Hidden)'!$C$2:$C$1048576,0),MATCH(Z$6,'Restaurant Base (Hidden)'!$A$1:$Z$1,0)),"")</f>
        <v>2</v>
      </c>
      <c r="AA365" s="65" t="str">
        <f>+IFERROR(INDEX('Restaurant Base (Hidden)'!$A$2:$Z$1048576,MATCH($C365,'Restaurant Base (Hidden)'!$C$2:$C$1048576,0),MATCH(AA$6,'Restaurant Base (Hidden)'!$A$1:$Z$1,0)),"")</f>
        <v>77,70 %</v>
      </c>
      <c r="AB365" s="1">
        <f>+IFERROR(INDEX('Restaurant Base (Hidden)'!$A$2:$Z$1048576,MATCH($C365,'Restaurant Base (Hidden)'!$C$2:$C$1048576,0),MATCH(AB$6,'Restaurant Base (Hidden)'!$A$1:$Z$1,0)),"")</f>
        <v>2</v>
      </c>
      <c r="AC365" s="20" t="str">
        <f>+IFERROR(INDEX('Restaurant Base (Hidden)'!$A$2:$Z$1048576,MATCH($C365,'Restaurant Base (Hidden)'!$C$2:$C$1048576,0),MATCH(AC$6,'Restaurant Base (Hidden)'!$A$1:$Z$1,0)),"")</f>
        <v/>
      </c>
      <c r="AD365" s="65" t="str">
        <f>+IFERROR(INDEX('Restaurant Base (Hidden)'!$A$2:$Z$1048576,MATCH($C365,'Restaurant Base (Hidden)'!$C$2:$C$1048576,0),MATCH(AD$6,'Restaurant Base (Hidden)'!$A$1:$Z$1,0)),"")</f>
        <v>80,40 %</v>
      </c>
      <c r="AE365" s="1">
        <f>+IFERROR(INDEX('Restaurant Base (Hidden)'!$A$2:$Z$1048576,MATCH($C365,'Restaurant Base (Hidden)'!$C$2:$C$1048576,0),MATCH(AE$6,'Restaurant Base (Hidden)'!$A$1:$Z$1,0)),"")</f>
        <v>2</v>
      </c>
      <c r="AF365" s="65" t="str">
        <f>+IFERROR(INDEX('Restaurant Base (Hidden)'!$A$2:$Z$1048576,MATCH($C365,'Restaurant Base (Hidden)'!$C$2:$C$1048576,0),MATCH(AF$6,'Restaurant Base (Hidden)'!$A$1:$Z$1,0)),"")</f>
        <v>62,40 %</v>
      </c>
      <c r="AG365" s="1">
        <f>+IFERROR(INDEX('Restaurant Base (Hidden)'!$A$2:$Z$1048576,MATCH($C365,'Restaurant Base (Hidden)'!$C$2:$C$1048576,0),MATCH(AG$6,'Restaurant Base (Hidden)'!$A$1:$Z$1,0)),"")</f>
        <v>1</v>
      </c>
    </row>
    <row r="366" spans="1:33" ht="16" customHeight="1" x14ac:dyDescent="0.4">
      <c r="A366" s="163" t="str">
        <f>IF('Restaurant Base (Hidden)'!A246=0,"", 'Restaurant Base (Hidden)'!A246)</f>
        <v>Logan Redford</v>
      </c>
      <c r="B366" s="163" t="str">
        <f>IF('Restaurant Base (Hidden)'!B246=0,"", 'Restaurant Base (Hidden)'!B246)</f>
        <v>Westhaven Foods</v>
      </c>
      <c r="C366" s="163" t="str">
        <f>IF('Restaurant Base (Hidden)'!C246=0,"", 'Restaurant Base (Hidden)'!C246)</f>
        <v>Northvale Meadows</v>
      </c>
      <c r="D366" s="104">
        <f t="shared" si="5"/>
        <v>358</v>
      </c>
      <c r="E366" s="105">
        <f>+IFERROR(INDEX('Restaurant Base (Hidden)'!$A$2:$Z$1048576,MATCH($C366,'Restaurant Base (Hidden)'!$C$2:$C$1048576,0),MATCH(E$6,'Restaurant Base (Hidden)'!$A$1:$Z$1,0)),"")</f>
        <v>2.4300000000000002</v>
      </c>
      <c r="F366" s="2" t="str">
        <f>+IFERROR(INDEX('Restaurant Base (Hidden)'!$A$2:$Z$1048576,MATCH($C366,'Restaurant Base (Hidden)'!$C$2:$C$1048576,0),MATCH(F$6,'Restaurant Base (Hidden)'!$A$1:$Z$1,0)),"")</f>
        <v/>
      </c>
      <c r="G366" s="20" t="str">
        <f>+IFERROR(INDEX('Restaurant Base (Hidden)'!$A$2:$Z$1048576,MATCH($C366,'Restaurant Base (Hidden)'!$C$2:$C$1048576,0),MATCH(G$6,'Restaurant Base (Hidden)'!$A$1:$Z$1,0)),"")</f>
        <v>4,282</v>
      </c>
      <c r="H366" s="50">
        <f>+IFERROR(INDEX('Restaurant Base (Hidden)'!$A$2:$Z$1048576,MATCH($C366,'Restaurant Base (Hidden)'!$C$2:$C$1048576,0),MATCH(H$6,'Restaurant Base (Hidden)'!$A$1:$Z$1,0)),"")</f>
        <v>3</v>
      </c>
      <c r="I366" s="20" t="str">
        <f>+IFERROR(INDEX('Restaurant Base (Hidden)'!$A$2:$Z$1048576,MATCH($C366,'Restaurant Base (Hidden)'!$C$2:$C$1048576,0),MATCH(I$6,'Restaurant Base (Hidden)'!$A$1:$Z$1,0)),"")</f>
        <v>55,40 %</v>
      </c>
      <c r="J366" s="49">
        <f>+IFERROR(INDEX('Restaurant Base (Hidden)'!$A$2:$Z$1048576,MATCH($C366,'Restaurant Base (Hidden)'!$C$2:$C$1048576,0),MATCH(J$6,'Restaurant Base (Hidden)'!$A$1:$Z$1,0)),"")</f>
        <v>1</v>
      </c>
      <c r="K366" s="20" t="str">
        <f>+IFERROR(INDEX('Restaurant Base (Hidden)'!$A$2:$Z$1048576,MATCH($C366,'Restaurant Base (Hidden)'!$C$2:$C$1048576,0),MATCH(K$6,'Restaurant Base (Hidden)'!$A$1:$Z$1,0)),"")</f>
        <v>0,184</v>
      </c>
      <c r="L366" s="51">
        <f>+IFERROR(INDEX('Restaurant Base (Hidden)'!$A$2:$Z$1048576,MATCH($C366,'Restaurant Base (Hidden)'!$C$2:$C$1048576,0),MATCH(L$6,'Restaurant Base (Hidden)'!$A$1:$Z$1,0)),"")</f>
        <v>1</v>
      </c>
      <c r="M366" s="2" t="str">
        <f>+IFERROR(INDEX('Restaurant Base (Hidden)'!$A$2:$Z$1048576,MATCH($C366,'Restaurant Base (Hidden)'!$C$2:$C$1048576,0),MATCH(M$6,'Restaurant Base (Hidden)'!$A$1:$Z$1,0)),"")</f>
        <v/>
      </c>
      <c r="N366" s="234" t="str">
        <f>+IFERROR(INDEX('Restaurant Base (Hidden)'!$A$2:$Z$1048576,MATCH($C366,'Restaurant Base (Hidden)'!$C$2:$C$1048576,0),MATCH(N$6,'Restaurant Base (Hidden)'!$A$1:$Z$1,0)),"")</f>
        <v>87,60 %</v>
      </c>
      <c r="O366" s="1">
        <f>+IFERROR(INDEX('Restaurant Base (Hidden)'!$A$2:$Z$1048576,MATCH($C366,'Restaurant Base (Hidden)'!$C$2:$C$1048576,0),MATCH(O$6,'Restaurant Base (Hidden)'!$A$1:$Z$1,0)),"")</f>
        <v>5</v>
      </c>
      <c r="P366" s="2" t="str">
        <f>+IFERROR(INDEX('Restaurant Base (Hidden)'!$A$2:$Z$1048576,MATCH($C366,'Restaurant Base (Hidden)'!$C$2:$C$1048576,0),MATCH(P$6,'Restaurant Base (Hidden)'!$A$1:$Z$1,0)),"")</f>
        <v/>
      </c>
      <c r="Q366" s="234" t="str">
        <f>+IFERROR(INDEX('Restaurant Base (Hidden)'!$A$2:$Z$1048576,MATCH($C366,'Restaurant Base (Hidden)'!$C$2:$C$1048576,0),MATCH(Q$6,'Restaurant Base (Hidden)'!$A$1:$Z$1,0)),"")</f>
        <v>65,80 %</v>
      </c>
      <c r="R366" s="1">
        <f>+IFERROR(INDEX('Restaurant Base (Hidden)'!$A$2:$Z$1048576,MATCH($C366,'Restaurant Base (Hidden)'!$C$2:$C$1048576,0),MATCH(R$6,'Restaurant Base (Hidden)'!$A$1:$Z$1,0)),"")</f>
        <v>3</v>
      </c>
      <c r="S366" s="2" t="str">
        <f>+IFERROR(INDEX('Restaurant Base (Hidden)'!$A$2:$Z$1048576,MATCH($C366,'Restaurant Base (Hidden)'!$C$2:$C$1048576,0),MATCH(S$6,'Restaurant Base (Hidden)'!$A$1:$Z$1,0)),"")</f>
        <v/>
      </c>
      <c r="T366" s="62">
        <f>+IFERROR(INDEX('Restaurant Base (Hidden)'!$A$2:$Z$1048576,MATCH($C366,'Restaurant Base (Hidden)'!$C$2:$C$1048576,0),MATCH(T$6,'Restaurant Base (Hidden)'!$A$1:$Z$1,0)),"")</f>
        <v>55.7</v>
      </c>
      <c r="U366" s="1">
        <f>+IFERROR(INDEX('Restaurant Base (Hidden)'!$A$2:$Z$1048576,MATCH($C366,'Restaurant Base (Hidden)'!$C$2:$C$1048576,0),MATCH(U$6,'Restaurant Base (Hidden)'!$A$1:$Z$1,0)),"")</f>
        <v>1</v>
      </c>
      <c r="V366" s="2" t="str">
        <f>+IFERROR(INDEX('Restaurant Base (Hidden)'!$A$2:$Z$1048576,MATCH($C366,'Restaurant Base (Hidden)'!$C$2:$C$1048576,0),MATCH(V$6,'Restaurant Base (Hidden)'!$A$1:$Z$1,0)),"")</f>
        <v/>
      </c>
      <c r="W366" s="65" t="str">
        <f>+IFERROR(INDEX('Restaurant Base (Hidden)'!$A$2:$Z$1048576,MATCH($C366,'Restaurant Base (Hidden)'!$C$2:$C$1048576,0),MATCH(W$6,'Restaurant Base (Hidden)'!$A$1:$Z$1,0)),"")</f>
        <v>68,80 %</v>
      </c>
      <c r="X366" s="1">
        <f>+IFERROR(INDEX('Restaurant Base (Hidden)'!$A$2:$Z$1048576,MATCH($C366,'Restaurant Base (Hidden)'!$C$2:$C$1048576,0),MATCH(X$6,'Restaurant Base (Hidden)'!$A$1:$Z$1,0)),"")</f>
        <v>2</v>
      </c>
      <c r="Y366" s="65" t="str">
        <f>+IFERROR(INDEX('Restaurant Base (Hidden)'!$A$2:$Z$1048576,MATCH($C366,'Restaurant Base (Hidden)'!$C$2:$C$1048576,0),MATCH(Y$6,'Restaurant Base (Hidden)'!$A$1:$Z$1,0)),"")</f>
        <v>61,90 %</v>
      </c>
      <c r="Z366" s="106">
        <f>+IFERROR(INDEX('Restaurant Base (Hidden)'!$A$2:$Z$1048576,MATCH($C366,'Restaurant Base (Hidden)'!$C$2:$C$1048576,0),MATCH(Z$6,'Restaurant Base (Hidden)'!$A$1:$Z$1,0)),"")</f>
        <v>2</v>
      </c>
      <c r="AA366" s="65" t="str">
        <f>+IFERROR(INDEX('Restaurant Base (Hidden)'!$A$2:$Z$1048576,MATCH($C366,'Restaurant Base (Hidden)'!$C$2:$C$1048576,0),MATCH(AA$6,'Restaurant Base (Hidden)'!$A$1:$Z$1,0)),"")</f>
        <v>70,50 %</v>
      </c>
      <c r="AB366" s="1">
        <f>+IFERROR(INDEX('Restaurant Base (Hidden)'!$A$2:$Z$1048576,MATCH($C366,'Restaurant Base (Hidden)'!$C$2:$C$1048576,0),MATCH(AB$6,'Restaurant Base (Hidden)'!$A$1:$Z$1,0)),"")</f>
        <v>2</v>
      </c>
      <c r="AC366" s="20" t="str">
        <f>+IFERROR(INDEX('Restaurant Base (Hidden)'!$A$2:$Z$1048576,MATCH($C366,'Restaurant Base (Hidden)'!$C$2:$C$1048576,0),MATCH(AC$6,'Restaurant Base (Hidden)'!$A$1:$Z$1,0)),"")</f>
        <v/>
      </c>
      <c r="AD366" s="65" t="str">
        <f>+IFERROR(INDEX('Restaurant Base (Hidden)'!$A$2:$Z$1048576,MATCH($C366,'Restaurant Base (Hidden)'!$C$2:$C$1048576,0),MATCH(AD$6,'Restaurant Base (Hidden)'!$A$1:$Z$1,0)),"")</f>
        <v>92,90 %</v>
      </c>
      <c r="AE366" s="1">
        <f>+IFERROR(INDEX('Restaurant Base (Hidden)'!$A$2:$Z$1048576,MATCH($C366,'Restaurant Base (Hidden)'!$C$2:$C$1048576,0),MATCH(AE$6,'Restaurant Base (Hidden)'!$A$1:$Z$1,0)),"")</f>
        <v>4</v>
      </c>
      <c r="AF366" s="65" t="str">
        <f>+IFERROR(INDEX('Restaurant Base (Hidden)'!$A$2:$Z$1048576,MATCH($C366,'Restaurant Base (Hidden)'!$C$2:$C$1048576,0),MATCH(AF$6,'Restaurant Base (Hidden)'!$A$1:$Z$1,0)),"")</f>
        <v>66,20 %</v>
      </c>
      <c r="AG366" s="1">
        <f>+IFERROR(INDEX('Restaurant Base (Hidden)'!$A$2:$Z$1048576,MATCH($C366,'Restaurant Base (Hidden)'!$C$2:$C$1048576,0),MATCH(AG$6,'Restaurant Base (Hidden)'!$A$1:$Z$1,0)),"")</f>
        <v>1</v>
      </c>
    </row>
    <row r="367" spans="1:33" ht="16" customHeight="1" x14ac:dyDescent="0.4">
      <c r="A367" s="163" t="str">
        <f>IF('Restaurant Base (Hidden)'!A82=0,"", 'Restaurant Base (Hidden)'!A82)</f>
        <v>Emerson Greenleigh</v>
      </c>
      <c r="B367" s="163" t="str">
        <f>IF('Restaurant Base (Hidden)'!B82=0,"", 'Restaurant Base (Hidden)'!B82)</f>
        <v>Northstar Dining Group</v>
      </c>
      <c r="C367" s="163" t="str">
        <f>IF('Restaurant Base (Hidden)'!C82=0,"", 'Restaurant Base (Hidden)'!C82)</f>
        <v>Sunny Junction</v>
      </c>
      <c r="D367" s="104">
        <f t="shared" si="5"/>
        <v>361</v>
      </c>
      <c r="E367" s="105">
        <f>+IFERROR(INDEX('Restaurant Base (Hidden)'!$A$2:$Z$1048576,MATCH($C367,'Restaurant Base (Hidden)'!$C$2:$C$1048576,0),MATCH(E$6,'Restaurant Base (Hidden)'!$A$1:$Z$1,0)),"")</f>
        <v>2.42</v>
      </c>
      <c r="F367" s="2" t="str">
        <f>+IFERROR(INDEX('Restaurant Base (Hidden)'!$A$2:$Z$1048576,MATCH($C367,'Restaurant Base (Hidden)'!$C$2:$C$1048576,0),MATCH(F$6,'Restaurant Base (Hidden)'!$A$1:$Z$1,0)),"")</f>
        <v/>
      </c>
      <c r="G367" s="20" t="str">
        <f>+IFERROR(INDEX('Restaurant Base (Hidden)'!$A$2:$Z$1048576,MATCH($C367,'Restaurant Base (Hidden)'!$C$2:$C$1048576,0),MATCH(G$6,'Restaurant Base (Hidden)'!$A$1:$Z$1,0)),"")</f>
        <v>4,782</v>
      </c>
      <c r="H367" s="50">
        <f>+IFERROR(INDEX('Restaurant Base (Hidden)'!$A$2:$Z$1048576,MATCH($C367,'Restaurant Base (Hidden)'!$C$2:$C$1048576,0),MATCH(H$6,'Restaurant Base (Hidden)'!$A$1:$Z$1,0)),"")</f>
        <v>5</v>
      </c>
      <c r="I367" s="20" t="str">
        <f>+IFERROR(INDEX('Restaurant Base (Hidden)'!$A$2:$Z$1048576,MATCH($C367,'Restaurant Base (Hidden)'!$C$2:$C$1048576,0),MATCH(I$6,'Restaurant Base (Hidden)'!$A$1:$Z$1,0)),"")</f>
        <v>60,20 %</v>
      </c>
      <c r="J367" s="49">
        <f>+IFERROR(INDEX('Restaurant Base (Hidden)'!$A$2:$Z$1048576,MATCH($C367,'Restaurant Base (Hidden)'!$C$2:$C$1048576,0),MATCH(J$6,'Restaurant Base (Hidden)'!$A$1:$Z$1,0)),"")</f>
        <v>1</v>
      </c>
      <c r="K367" s="20" t="str">
        <f>+IFERROR(INDEX('Restaurant Base (Hidden)'!$A$2:$Z$1048576,MATCH($C367,'Restaurant Base (Hidden)'!$C$2:$C$1048576,0),MATCH(K$6,'Restaurant Base (Hidden)'!$A$1:$Z$1,0)),"")</f>
        <v>0,098</v>
      </c>
      <c r="L367" s="51">
        <f>+IFERROR(INDEX('Restaurant Base (Hidden)'!$A$2:$Z$1048576,MATCH($C367,'Restaurant Base (Hidden)'!$C$2:$C$1048576,0),MATCH(L$6,'Restaurant Base (Hidden)'!$A$1:$Z$1,0)),"")</f>
        <v>4</v>
      </c>
      <c r="M367" s="2" t="str">
        <f>+IFERROR(INDEX('Restaurant Base (Hidden)'!$A$2:$Z$1048576,MATCH($C367,'Restaurant Base (Hidden)'!$C$2:$C$1048576,0),MATCH(M$6,'Restaurant Base (Hidden)'!$A$1:$Z$1,0)),"")</f>
        <v/>
      </c>
      <c r="N367" s="234" t="str">
        <f>+IFERROR(INDEX('Restaurant Base (Hidden)'!$A$2:$Z$1048576,MATCH($C367,'Restaurant Base (Hidden)'!$C$2:$C$1048576,0),MATCH(N$6,'Restaurant Base (Hidden)'!$A$1:$Z$1,0)),"")</f>
        <v>91,00 %</v>
      </c>
      <c r="O367" s="1">
        <f>+IFERROR(INDEX('Restaurant Base (Hidden)'!$A$2:$Z$1048576,MATCH($C367,'Restaurant Base (Hidden)'!$C$2:$C$1048576,0),MATCH(O$6,'Restaurant Base (Hidden)'!$A$1:$Z$1,0)),"")</f>
        <v>5</v>
      </c>
      <c r="P367" s="2" t="str">
        <f>+IFERROR(INDEX('Restaurant Base (Hidden)'!$A$2:$Z$1048576,MATCH($C367,'Restaurant Base (Hidden)'!$C$2:$C$1048576,0),MATCH(P$6,'Restaurant Base (Hidden)'!$A$1:$Z$1,0)),"")</f>
        <v/>
      </c>
      <c r="Q367" s="234" t="str">
        <f>+IFERROR(INDEX('Restaurant Base (Hidden)'!$A$2:$Z$1048576,MATCH($C367,'Restaurant Base (Hidden)'!$C$2:$C$1048576,0),MATCH(Q$6,'Restaurant Base (Hidden)'!$A$1:$Z$1,0)),"")</f>
        <v>60,50 %</v>
      </c>
      <c r="R367" s="1">
        <f>+IFERROR(INDEX('Restaurant Base (Hidden)'!$A$2:$Z$1048576,MATCH($C367,'Restaurant Base (Hidden)'!$C$2:$C$1048576,0),MATCH(R$6,'Restaurant Base (Hidden)'!$A$1:$Z$1,0)),"")</f>
        <v>1</v>
      </c>
      <c r="S367" s="2" t="str">
        <f>+IFERROR(INDEX('Restaurant Base (Hidden)'!$A$2:$Z$1048576,MATCH($C367,'Restaurant Base (Hidden)'!$C$2:$C$1048576,0),MATCH(S$6,'Restaurant Base (Hidden)'!$A$1:$Z$1,0)),"")</f>
        <v/>
      </c>
      <c r="T367" s="62">
        <f>+IFERROR(INDEX('Restaurant Base (Hidden)'!$A$2:$Z$1048576,MATCH($C367,'Restaurant Base (Hidden)'!$C$2:$C$1048576,0),MATCH(T$6,'Restaurant Base (Hidden)'!$A$1:$Z$1,0)),"")</f>
        <v>54.1</v>
      </c>
      <c r="U367" s="1">
        <f>+IFERROR(INDEX('Restaurant Base (Hidden)'!$A$2:$Z$1048576,MATCH($C367,'Restaurant Base (Hidden)'!$C$2:$C$1048576,0),MATCH(U$6,'Restaurant Base (Hidden)'!$A$1:$Z$1,0)),"")</f>
        <v>1</v>
      </c>
      <c r="V367" s="2" t="str">
        <f>+IFERROR(INDEX('Restaurant Base (Hidden)'!$A$2:$Z$1048576,MATCH($C367,'Restaurant Base (Hidden)'!$C$2:$C$1048576,0),MATCH(V$6,'Restaurant Base (Hidden)'!$A$1:$Z$1,0)),"")</f>
        <v/>
      </c>
      <c r="W367" s="65" t="str">
        <f>+IFERROR(INDEX('Restaurant Base (Hidden)'!$A$2:$Z$1048576,MATCH($C367,'Restaurant Base (Hidden)'!$C$2:$C$1048576,0),MATCH(W$6,'Restaurant Base (Hidden)'!$A$1:$Z$1,0)),"")</f>
        <v>65,70 %</v>
      </c>
      <c r="X367" s="1">
        <f>+IFERROR(INDEX('Restaurant Base (Hidden)'!$A$2:$Z$1048576,MATCH($C367,'Restaurant Base (Hidden)'!$C$2:$C$1048576,0),MATCH(X$6,'Restaurant Base (Hidden)'!$A$1:$Z$1,0)),"")</f>
        <v>2</v>
      </c>
      <c r="Y367" s="65" t="str">
        <f>+IFERROR(INDEX('Restaurant Base (Hidden)'!$A$2:$Z$1048576,MATCH($C367,'Restaurant Base (Hidden)'!$C$2:$C$1048576,0),MATCH(Y$6,'Restaurant Base (Hidden)'!$A$1:$Z$1,0)),"")</f>
        <v>79,20 %</v>
      </c>
      <c r="Z367" s="106">
        <f>+IFERROR(INDEX('Restaurant Base (Hidden)'!$A$2:$Z$1048576,MATCH($C367,'Restaurant Base (Hidden)'!$C$2:$C$1048576,0),MATCH(Z$6,'Restaurant Base (Hidden)'!$A$1:$Z$1,0)),"")</f>
        <v>2</v>
      </c>
      <c r="AA367" s="65" t="str">
        <f>+IFERROR(INDEX('Restaurant Base (Hidden)'!$A$2:$Z$1048576,MATCH($C367,'Restaurant Base (Hidden)'!$C$2:$C$1048576,0),MATCH(AA$6,'Restaurant Base (Hidden)'!$A$1:$Z$1,0)),"")</f>
        <v>63,80 %</v>
      </c>
      <c r="AB367" s="1">
        <f>+IFERROR(INDEX('Restaurant Base (Hidden)'!$A$2:$Z$1048576,MATCH($C367,'Restaurant Base (Hidden)'!$C$2:$C$1048576,0),MATCH(AB$6,'Restaurant Base (Hidden)'!$A$1:$Z$1,0)),"")</f>
        <v>2</v>
      </c>
      <c r="AC367" s="20" t="str">
        <f>+IFERROR(INDEX('Restaurant Base (Hidden)'!$A$2:$Z$1048576,MATCH($C367,'Restaurant Base (Hidden)'!$C$2:$C$1048576,0),MATCH(AC$6,'Restaurant Base (Hidden)'!$A$1:$Z$1,0)),"")</f>
        <v/>
      </c>
      <c r="AD367" s="65" t="str">
        <f>+IFERROR(INDEX('Restaurant Base (Hidden)'!$A$2:$Z$1048576,MATCH($C367,'Restaurant Base (Hidden)'!$C$2:$C$1048576,0),MATCH(AD$6,'Restaurant Base (Hidden)'!$A$1:$Z$1,0)),"")</f>
        <v>71,90 %</v>
      </c>
      <c r="AE367" s="1">
        <f>+IFERROR(INDEX('Restaurant Base (Hidden)'!$A$2:$Z$1048576,MATCH($C367,'Restaurant Base (Hidden)'!$C$2:$C$1048576,0),MATCH(AE$6,'Restaurant Base (Hidden)'!$A$1:$Z$1,0)),"")</f>
        <v>1</v>
      </c>
      <c r="AF367" s="65" t="str">
        <f>+IFERROR(INDEX('Restaurant Base (Hidden)'!$A$2:$Z$1048576,MATCH($C367,'Restaurant Base (Hidden)'!$C$2:$C$1048576,0),MATCH(AF$6,'Restaurant Base (Hidden)'!$A$1:$Z$1,0)),"")</f>
        <v>86,30 %</v>
      </c>
      <c r="AG367" s="1">
        <f>+IFERROR(INDEX('Restaurant Base (Hidden)'!$A$2:$Z$1048576,MATCH($C367,'Restaurant Base (Hidden)'!$C$2:$C$1048576,0),MATCH(AG$6,'Restaurant Base (Hidden)'!$A$1:$Z$1,0)),"")</f>
        <v>3</v>
      </c>
    </row>
    <row r="368" spans="1:33" ht="16" customHeight="1" x14ac:dyDescent="0.4">
      <c r="A368" s="163" t="str">
        <f>IF('Restaurant Base (Hidden)'!A302=0,"", 'Restaurant Base (Hidden)'!A302)</f>
        <v>Jordan Oakley</v>
      </c>
      <c r="B368" s="163" t="str">
        <f>IF('Restaurant Base (Hidden)'!B302=0,"", 'Restaurant Base (Hidden)'!B302)</f>
        <v>Eastmere Foods</v>
      </c>
      <c r="C368" s="163" t="str">
        <f>IF('Restaurant Base (Hidden)'!C302=0,"", 'Restaurant Base (Hidden)'!C302)</f>
        <v>Golden Fields</v>
      </c>
      <c r="D368" s="104">
        <f t="shared" si="5"/>
        <v>361</v>
      </c>
      <c r="E368" s="105">
        <f>+IFERROR(INDEX('Restaurant Base (Hidden)'!$A$2:$Z$1048576,MATCH($C368,'Restaurant Base (Hidden)'!$C$2:$C$1048576,0),MATCH(E$6,'Restaurant Base (Hidden)'!$A$1:$Z$1,0)),"")</f>
        <v>2.42</v>
      </c>
      <c r="F368" s="2" t="str">
        <f>+IFERROR(INDEX('Restaurant Base (Hidden)'!$A$2:$Z$1048576,MATCH($C368,'Restaurant Base (Hidden)'!$C$2:$C$1048576,0),MATCH(F$6,'Restaurant Base (Hidden)'!$A$1:$Z$1,0)),"")</f>
        <v/>
      </c>
      <c r="G368" s="20" t="str">
        <f>+IFERROR(INDEX('Restaurant Base (Hidden)'!$A$2:$Z$1048576,MATCH($C368,'Restaurant Base (Hidden)'!$C$2:$C$1048576,0),MATCH(G$6,'Restaurant Base (Hidden)'!$A$1:$Z$1,0)),"")</f>
        <v>4,405</v>
      </c>
      <c r="H368" s="50">
        <f>+IFERROR(INDEX('Restaurant Base (Hidden)'!$A$2:$Z$1048576,MATCH($C368,'Restaurant Base (Hidden)'!$C$2:$C$1048576,0),MATCH(H$6,'Restaurant Base (Hidden)'!$A$1:$Z$1,0)),"")</f>
        <v>4</v>
      </c>
      <c r="I368" s="20" t="str">
        <f>+IFERROR(INDEX('Restaurant Base (Hidden)'!$A$2:$Z$1048576,MATCH($C368,'Restaurant Base (Hidden)'!$C$2:$C$1048576,0),MATCH(I$6,'Restaurant Base (Hidden)'!$A$1:$Z$1,0)),"")</f>
        <v>56,50 %</v>
      </c>
      <c r="J368" s="49">
        <f>+IFERROR(INDEX('Restaurant Base (Hidden)'!$A$2:$Z$1048576,MATCH($C368,'Restaurant Base (Hidden)'!$C$2:$C$1048576,0),MATCH(J$6,'Restaurant Base (Hidden)'!$A$1:$Z$1,0)),"")</f>
        <v>1</v>
      </c>
      <c r="K368" s="20" t="str">
        <f>+IFERROR(INDEX('Restaurant Base (Hidden)'!$A$2:$Z$1048576,MATCH($C368,'Restaurant Base (Hidden)'!$C$2:$C$1048576,0),MATCH(K$6,'Restaurant Base (Hidden)'!$A$1:$Z$1,0)),"")</f>
        <v>0,062</v>
      </c>
      <c r="L368" s="51">
        <f>+IFERROR(INDEX('Restaurant Base (Hidden)'!$A$2:$Z$1048576,MATCH($C368,'Restaurant Base (Hidden)'!$C$2:$C$1048576,0),MATCH(L$6,'Restaurant Base (Hidden)'!$A$1:$Z$1,0)),"")</f>
        <v>4</v>
      </c>
      <c r="M368" s="2" t="str">
        <f>+IFERROR(INDEX('Restaurant Base (Hidden)'!$A$2:$Z$1048576,MATCH($C368,'Restaurant Base (Hidden)'!$C$2:$C$1048576,0),MATCH(M$6,'Restaurant Base (Hidden)'!$A$1:$Z$1,0)),"")</f>
        <v/>
      </c>
      <c r="N368" s="234" t="str">
        <f>+IFERROR(INDEX('Restaurant Base (Hidden)'!$A$2:$Z$1048576,MATCH($C368,'Restaurant Base (Hidden)'!$C$2:$C$1048576,0),MATCH(N$6,'Restaurant Base (Hidden)'!$A$1:$Z$1,0)),"")</f>
        <v>56,70 %</v>
      </c>
      <c r="O368" s="1">
        <f>+IFERROR(INDEX('Restaurant Base (Hidden)'!$A$2:$Z$1048576,MATCH($C368,'Restaurant Base (Hidden)'!$C$2:$C$1048576,0),MATCH(O$6,'Restaurant Base (Hidden)'!$A$1:$Z$1,0)),"")</f>
        <v>1</v>
      </c>
      <c r="P368" s="2" t="str">
        <f>+IFERROR(INDEX('Restaurant Base (Hidden)'!$A$2:$Z$1048576,MATCH($C368,'Restaurant Base (Hidden)'!$C$2:$C$1048576,0),MATCH(P$6,'Restaurant Base (Hidden)'!$A$1:$Z$1,0)),"")</f>
        <v/>
      </c>
      <c r="Q368" s="234" t="str">
        <f>+IFERROR(INDEX('Restaurant Base (Hidden)'!$A$2:$Z$1048576,MATCH($C368,'Restaurant Base (Hidden)'!$C$2:$C$1048576,0),MATCH(Q$6,'Restaurant Base (Hidden)'!$A$1:$Z$1,0)),"")</f>
        <v>59,90 %</v>
      </c>
      <c r="R368" s="1">
        <f>+IFERROR(INDEX('Restaurant Base (Hidden)'!$A$2:$Z$1048576,MATCH($C368,'Restaurant Base (Hidden)'!$C$2:$C$1048576,0),MATCH(R$6,'Restaurant Base (Hidden)'!$A$1:$Z$1,0)),"")</f>
        <v>1</v>
      </c>
      <c r="S368" s="2" t="str">
        <f>+IFERROR(INDEX('Restaurant Base (Hidden)'!$A$2:$Z$1048576,MATCH($C368,'Restaurant Base (Hidden)'!$C$2:$C$1048576,0),MATCH(S$6,'Restaurant Base (Hidden)'!$A$1:$Z$1,0)),"")</f>
        <v/>
      </c>
      <c r="T368" s="62">
        <f>+IFERROR(INDEX('Restaurant Base (Hidden)'!$A$2:$Z$1048576,MATCH($C368,'Restaurant Base (Hidden)'!$C$2:$C$1048576,0),MATCH(T$6,'Restaurant Base (Hidden)'!$A$1:$Z$1,0)),"")</f>
        <v>68.2</v>
      </c>
      <c r="U368" s="1">
        <f>+IFERROR(INDEX('Restaurant Base (Hidden)'!$A$2:$Z$1048576,MATCH($C368,'Restaurant Base (Hidden)'!$C$2:$C$1048576,0),MATCH(U$6,'Restaurant Base (Hidden)'!$A$1:$Z$1,0)),"")</f>
        <v>4</v>
      </c>
      <c r="V368" s="2" t="str">
        <f>+IFERROR(INDEX('Restaurant Base (Hidden)'!$A$2:$Z$1048576,MATCH($C368,'Restaurant Base (Hidden)'!$C$2:$C$1048576,0),MATCH(V$6,'Restaurant Base (Hidden)'!$A$1:$Z$1,0)),"")</f>
        <v/>
      </c>
      <c r="W368" s="65" t="str">
        <f>+IFERROR(INDEX('Restaurant Base (Hidden)'!$A$2:$Z$1048576,MATCH($C368,'Restaurant Base (Hidden)'!$C$2:$C$1048576,0),MATCH(W$6,'Restaurant Base (Hidden)'!$A$1:$Z$1,0)),"")</f>
        <v>82,00 %</v>
      </c>
      <c r="X368" s="1">
        <f>+IFERROR(INDEX('Restaurant Base (Hidden)'!$A$2:$Z$1048576,MATCH($C368,'Restaurant Base (Hidden)'!$C$2:$C$1048576,0),MATCH(X$6,'Restaurant Base (Hidden)'!$A$1:$Z$1,0)),"")</f>
        <v>3</v>
      </c>
      <c r="Y368" s="65" t="str">
        <f>+IFERROR(INDEX('Restaurant Base (Hidden)'!$A$2:$Z$1048576,MATCH($C368,'Restaurant Base (Hidden)'!$C$2:$C$1048576,0),MATCH(Y$6,'Restaurant Base (Hidden)'!$A$1:$Z$1,0)),"")</f>
        <v>94,60 %</v>
      </c>
      <c r="Z368" s="106">
        <f>+IFERROR(INDEX('Restaurant Base (Hidden)'!$A$2:$Z$1048576,MATCH($C368,'Restaurant Base (Hidden)'!$C$2:$C$1048576,0),MATCH(Z$6,'Restaurant Base (Hidden)'!$A$1:$Z$1,0)),"")</f>
        <v>4</v>
      </c>
      <c r="AA368" s="65" t="str">
        <f>+IFERROR(INDEX('Restaurant Base (Hidden)'!$A$2:$Z$1048576,MATCH($C368,'Restaurant Base (Hidden)'!$C$2:$C$1048576,0),MATCH(AA$6,'Restaurant Base (Hidden)'!$A$1:$Z$1,0)),"")</f>
        <v>66,90 %</v>
      </c>
      <c r="AB368" s="1">
        <f>+IFERROR(INDEX('Restaurant Base (Hidden)'!$A$2:$Z$1048576,MATCH($C368,'Restaurant Base (Hidden)'!$C$2:$C$1048576,0),MATCH(AB$6,'Restaurant Base (Hidden)'!$A$1:$Z$1,0)),"")</f>
        <v>2</v>
      </c>
      <c r="AC368" s="20" t="str">
        <f>+IFERROR(INDEX('Restaurant Base (Hidden)'!$A$2:$Z$1048576,MATCH($C368,'Restaurant Base (Hidden)'!$C$2:$C$1048576,0),MATCH(AC$6,'Restaurant Base (Hidden)'!$A$1:$Z$1,0)),"")</f>
        <v/>
      </c>
      <c r="AD368" s="65" t="str">
        <f>+IFERROR(INDEX('Restaurant Base (Hidden)'!$A$2:$Z$1048576,MATCH($C368,'Restaurant Base (Hidden)'!$C$2:$C$1048576,0),MATCH(AD$6,'Restaurant Base (Hidden)'!$A$1:$Z$1,0)),"")</f>
        <v>95,30 %</v>
      </c>
      <c r="AE368" s="1">
        <f>+IFERROR(INDEX('Restaurant Base (Hidden)'!$A$2:$Z$1048576,MATCH($C368,'Restaurant Base (Hidden)'!$C$2:$C$1048576,0),MATCH(AE$6,'Restaurant Base (Hidden)'!$A$1:$Z$1,0)),"")</f>
        <v>5</v>
      </c>
      <c r="AF368" s="65" t="str">
        <f>+IFERROR(INDEX('Restaurant Base (Hidden)'!$A$2:$Z$1048576,MATCH($C368,'Restaurant Base (Hidden)'!$C$2:$C$1048576,0),MATCH(AF$6,'Restaurant Base (Hidden)'!$A$1:$Z$1,0)),"")</f>
        <v>70,10 %</v>
      </c>
      <c r="AG368" s="1">
        <f>+IFERROR(INDEX('Restaurant Base (Hidden)'!$A$2:$Z$1048576,MATCH($C368,'Restaurant Base (Hidden)'!$C$2:$C$1048576,0),MATCH(AG$6,'Restaurant Base (Hidden)'!$A$1:$Z$1,0)),"")</f>
        <v>1</v>
      </c>
    </row>
    <row r="369" spans="1:33" ht="16" customHeight="1" x14ac:dyDescent="0.4">
      <c r="A369" s="163" t="str">
        <f>IF('Restaurant Base (Hidden)'!A36=0,"", 'Restaurant Base (Hidden)'!A36)</f>
        <v>Elliot Hawthorne</v>
      </c>
      <c r="B369" s="163" t="str">
        <f>IF('Restaurant Base (Hidden)'!B36=0,"", 'Restaurant Base (Hidden)'!B36)</f>
        <v>Crestwood Dining</v>
      </c>
      <c r="C369" s="163" t="str">
        <f>IF('Restaurant Base (Hidden)'!C36=0,"", 'Restaurant Base (Hidden)'!C36)</f>
        <v>Stone Quay</v>
      </c>
      <c r="D369" s="104">
        <f t="shared" si="5"/>
        <v>363</v>
      </c>
      <c r="E369" s="105">
        <f>+IFERROR(INDEX('Restaurant Base (Hidden)'!$A$2:$Z$1048576,MATCH($C369,'Restaurant Base (Hidden)'!$C$2:$C$1048576,0),MATCH(E$6,'Restaurant Base (Hidden)'!$A$1:$Z$1,0)),"")</f>
        <v>2.41</v>
      </c>
      <c r="F369" s="64" t="str">
        <f>+IFERROR(INDEX('Restaurant Base (Hidden)'!$A$2:$Z$1048576,MATCH($C369,'Restaurant Base (Hidden)'!$C$2:$C$1048576,0),MATCH(F$6,'Restaurant Base (Hidden)'!$A$1:$Z$1,0)),"")</f>
        <v/>
      </c>
      <c r="G369" s="20" t="str">
        <f>+IFERROR(INDEX('Restaurant Base (Hidden)'!$A$2:$Z$1048576,MATCH($C369,'Restaurant Base (Hidden)'!$C$2:$C$1048576,0),MATCH(G$6,'Restaurant Base (Hidden)'!$A$1:$Z$1,0)),"")</f>
        <v>4,358</v>
      </c>
      <c r="H369" s="50">
        <f>+IFERROR(INDEX('Restaurant Base (Hidden)'!$A$2:$Z$1048576,MATCH($C369,'Restaurant Base (Hidden)'!$C$2:$C$1048576,0),MATCH(H$6,'Restaurant Base (Hidden)'!$A$1:$Z$1,0)),"")</f>
        <v>4</v>
      </c>
      <c r="I369" s="20" t="str">
        <f>+IFERROR(INDEX('Restaurant Base (Hidden)'!$A$2:$Z$1048576,MATCH($C369,'Restaurant Base (Hidden)'!$C$2:$C$1048576,0),MATCH(I$6,'Restaurant Base (Hidden)'!$A$1:$Z$1,0)),"")</f>
        <v>56,20 %</v>
      </c>
      <c r="J369" s="49">
        <f>+IFERROR(INDEX('Restaurant Base (Hidden)'!$A$2:$Z$1048576,MATCH($C369,'Restaurant Base (Hidden)'!$C$2:$C$1048576,0),MATCH(J$6,'Restaurant Base (Hidden)'!$A$1:$Z$1,0)),"")</f>
        <v>1</v>
      </c>
      <c r="K369" s="20" t="str">
        <f>+IFERROR(INDEX('Restaurant Base (Hidden)'!$A$2:$Z$1048576,MATCH($C369,'Restaurant Base (Hidden)'!$C$2:$C$1048576,0),MATCH(K$6,'Restaurant Base (Hidden)'!$A$1:$Z$1,0)),"")</f>
        <v>0,105</v>
      </c>
      <c r="L369" s="51">
        <f>+IFERROR(INDEX('Restaurant Base (Hidden)'!$A$2:$Z$1048576,MATCH($C369,'Restaurant Base (Hidden)'!$C$2:$C$1048576,0),MATCH(L$6,'Restaurant Base (Hidden)'!$A$1:$Z$1,0)),"")</f>
        <v>3</v>
      </c>
      <c r="M369" s="2" t="str">
        <f>+IFERROR(INDEX('Restaurant Base (Hidden)'!$A$2:$Z$1048576,MATCH($C369,'Restaurant Base (Hidden)'!$C$2:$C$1048576,0),MATCH(M$6,'Restaurant Base (Hidden)'!$A$1:$Z$1,0)),"")</f>
        <v/>
      </c>
      <c r="N369" s="234" t="str">
        <f>+IFERROR(INDEX('Restaurant Base (Hidden)'!$A$2:$Z$1048576,MATCH($C369,'Restaurant Base (Hidden)'!$C$2:$C$1048576,0),MATCH(N$6,'Restaurant Base (Hidden)'!$A$1:$Z$1,0)),"")</f>
        <v>89,50 %</v>
      </c>
      <c r="O369" s="1">
        <f>+IFERROR(INDEX('Restaurant Base (Hidden)'!$A$2:$Z$1048576,MATCH($C369,'Restaurant Base (Hidden)'!$C$2:$C$1048576,0),MATCH(O$6,'Restaurant Base (Hidden)'!$A$1:$Z$1,0)),"")</f>
        <v>5</v>
      </c>
      <c r="P369" s="2" t="str">
        <f>+IFERROR(INDEX('Restaurant Base (Hidden)'!$A$2:$Z$1048576,MATCH($C369,'Restaurant Base (Hidden)'!$C$2:$C$1048576,0),MATCH(P$6,'Restaurant Base (Hidden)'!$A$1:$Z$1,0)),"")</f>
        <v/>
      </c>
      <c r="Q369" s="234" t="str">
        <f>+IFERROR(INDEX('Restaurant Base (Hidden)'!$A$2:$Z$1048576,MATCH($C369,'Restaurant Base (Hidden)'!$C$2:$C$1048576,0),MATCH(Q$6,'Restaurant Base (Hidden)'!$A$1:$Z$1,0)),"")</f>
        <v>60,40 %</v>
      </c>
      <c r="R369" s="1">
        <f>+IFERROR(INDEX('Restaurant Base (Hidden)'!$A$2:$Z$1048576,MATCH($C369,'Restaurant Base (Hidden)'!$C$2:$C$1048576,0),MATCH(R$6,'Restaurant Base (Hidden)'!$A$1:$Z$1,0)),"")</f>
        <v>1</v>
      </c>
      <c r="S369" s="2" t="str">
        <f>+IFERROR(INDEX('Restaurant Base (Hidden)'!$A$2:$Z$1048576,MATCH($C369,'Restaurant Base (Hidden)'!$C$2:$C$1048576,0),MATCH(S$6,'Restaurant Base (Hidden)'!$A$1:$Z$1,0)),"")</f>
        <v/>
      </c>
      <c r="T369" s="62">
        <f>+IFERROR(INDEX('Restaurant Base (Hidden)'!$A$2:$Z$1048576,MATCH($C369,'Restaurant Base (Hidden)'!$C$2:$C$1048576,0),MATCH(T$6,'Restaurant Base (Hidden)'!$A$1:$Z$1,0)),"")</f>
        <v>68.2</v>
      </c>
      <c r="U369" s="1">
        <f>+IFERROR(INDEX('Restaurant Base (Hidden)'!$A$2:$Z$1048576,MATCH($C369,'Restaurant Base (Hidden)'!$C$2:$C$1048576,0),MATCH(U$6,'Restaurant Base (Hidden)'!$A$1:$Z$1,0)),"")</f>
        <v>4</v>
      </c>
      <c r="V369" s="2" t="str">
        <f>+IFERROR(INDEX('Restaurant Base (Hidden)'!$A$2:$Z$1048576,MATCH($C369,'Restaurant Base (Hidden)'!$C$2:$C$1048576,0),MATCH(V$6,'Restaurant Base (Hidden)'!$A$1:$Z$1,0)),"")</f>
        <v/>
      </c>
      <c r="W369" s="65" t="str">
        <f>+IFERROR(INDEX('Restaurant Base (Hidden)'!$A$2:$Z$1048576,MATCH($C369,'Restaurant Base (Hidden)'!$C$2:$C$1048576,0),MATCH(W$6,'Restaurant Base (Hidden)'!$A$1:$Z$1,0)),"")</f>
        <v>61,70 %</v>
      </c>
      <c r="X369" s="1">
        <f>+IFERROR(INDEX('Restaurant Base (Hidden)'!$A$2:$Z$1048576,MATCH($C369,'Restaurant Base (Hidden)'!$C$2:$C$1048576,0),MATCH(X$6,'Restaurant Base (Hidden)'!$A$1:$Z$1,0)),"")</f>
        <v>2</v>
      </c>
      <c r="Y369" s="65" t="str">
        <f>+IFERROR(INDEX('Restaurant Base (Hidden)'!$A$2:$Z$1048576,MATCH($C369,'Restaurant Base (Hidden)'!$C$2:$C$1048576,0),MATCH(Y$6,'Restaurant Base (Hidden)'!$A$1:$Z$1,0)),"")</f>
        <v>74,00 %</v>
      </c>
      <c r="Z369" s="106">
        <f>+IFERROR(INDEX('Restaurant Base (Hidden)'!$A$2:$Z$1048576,MATCH($C369,'Restaurant Base (Hidden)'!$C$2:$C$1048576,0),MATCH(Z$6,'Restaurant Base (Hidden)'!$A$1:$Z$1,0)),"")</f>
        <v>2</v>
      </c>
      <c r="AA369" s="65" t="str">
        <f>+IFERROR(INDEX('Restaurant Base (Hidden)'!$A$2:$Z$1048576,MATCH($C369,'Restaurant Base (Hidden)'!$C$2:$C$1048576,0),MATCH(AA$6,'Restaurant Base (Hidden)'!$A$1:$Z$1,0)),"")</f>
        <v>65,80 %</v>
      </c>
      <c r="AB369" s="1">
        <f>+IFERROR(INDEX('Restaurant Base (Hidden)'!$A$2:$Z$1048576,MATCH($C369,'Restaurant Base (Hidden)'!$C$2:$C$1048576,0),MATCH(AB$6,'Restaurant Base (Hidden)'!$A$1:$Z$1,0)),"")</f>
        <v>2</v>
      </c>
      <c r="AC369" s="20" t="str">
        <f>+IFERROR(INDEX('Restaurant Base (Hidden)'!$A$2:$Z$1048576,MATCH($C369,'Restaurant Base (Hidden)'!$C$2:$C$1048576,0),MATCH(AC$6,'Restaurant Base (Hidden)'!$A$1:$Z$1,0)),"")</f>
        <v/>
      </c>
      <c r="AD369" s="65" t="str">
        <f>+IFERROR(INDEX('Restaurant Base (Hidden)'!$A$2:$Z$1048576,MATCH($C369,'Restaurant Base (Hidden)'!$C$2:$C$1048576,0),MATCH(AD$6,'Restaurant Base (Hidden)'!$A$1:$Z$1,0)),"")</f>
        <v>62,90 %</v>
      </c>
      <c r="AE369" s="1">
        <f>+IFERROR(INDEX('Restaurant Base (Hidden)'!$A$2:$Z$1048576,MATCH($C369,'Restaurant Base (Hidden)'!$C$2:$C$1048576,0),MATCH(AE$6,'Restaurant Base (Hidden)'!$A$1:$Z$1,0)),"")</f>
        <v>1</v>
      </c>
      <c r="AF369" s="65" t="str">
        <f>+IFERROR(INDEX('Restaurant Base (Hidden)'!$A$2:$Z$1048576,MATCH($C369,'Restaurant Base (Hidden)'!$C$2:$C$1048576,0),MATCH(AF$6,'Restaurant Base (Hidden)'!$A$1:$Z$1,0)),"")</f>
        <v>60,80 %</v>
      </c>
      <c r="AG369" s="1">
        <f>+IFERROR(INDEX('Restaurant Base (Hidden)'!$A$2:$Z$1048576,MATCH($C369,'Restaurant Base (Hidden)'!$C$2:$C$1048576,0),MATCH(AG$6,'Restaurant Base (Hidden)'!$A$1:$Z$1,0)),"")</f>
        <v>1</v>
      </c>
    </row>
    <row r="370" spans="1:33" ht="16" customHeight="1" x14ac:dyDescent="0.4">
      <c r="A370" s="163" t="str">
        <f>IF('Restaurant Base (Hidden)'!A24=0,"", 'Restaurant Base (Hidden)'!A24)</f>
        <v>Emerson Greenleigh</v>
      </c>
      <c r="B370" s="163" t="str">
        <f>IF('Restaurant Base (Hidden)'!B24=0,"", 'Restaurant Base (Hidden)'!B24)</f>
        <v>Brookvale Dining</v>
      </c>
      <c r="C370" s="163" t="str">
        <f>IF('Restaurant Base (Hidden)'!C24=0,"", 'Restaurant Base (Hidden)'!C24)</f>
        <v>Lake Grove</v>
      </c>
      <c r="D370" s="104">
        <f t="shared" si="5"/>
        <v>364</v>
      </c>
      <c r="E370" s="105">
        <f>+IFERROR(INDEX('Restaurant Base (Hidden)'!$A$2:$Z$1048576,MATCH($C370,'Restaurant Base (Hidden)'!$C$2:$C$1048576,0),MATCH(E$6,'Restaurant Base (Hidden)'!$A$1:$Z$1,0)),"")</f>
        <v>2.4</v>
      </c>
      <c r="F370" s="64" t="str">
        <f>+IFERROR(INDEX('Restaurant Base (Hidden)'!$A$2:$Z$1048576,MATCH($C370,'Restaurant Base (Hidden)'!$C$2:$C$1048576,0),MATCH(F$6,'Restaurant Base (Hidden)'!$A$1:$Z$1,0)),"")</f>
        <v/>
      </c>
      <c r="G370" s="20" t="str">
        <f>+IFERROR(INDEX('Restaurant Base (Hidden)'!$A$2:$Z$1048576,MATCH($C370,'Restaurant Base (Hidden)'!$C$2:$C$1048576,0),MATCH(G$6,'Restaurant Base (Hidden)'!$A$1:$Z$1,0)),"")</f>
        <v>4,108</v>
      </c>
      <c r="H370" s="50">
        <f>+IFERROR(INDEX('Restaurant Base (Hidden)'!$A$2:$Z$1048576,MATCH($C370,'Restaurant Base (Hidden)'!$C$2:$C$1048576,0),MATCH(H$6,'Restaurant Base (Hidden)'!$A$1:$Z$1,0)),"")</f>
        <v>2</v>
      </c>
      <c r="I370" s="20" t="str">
        <f>+IFERROR(INDEX('Restaurant Base (Hidden)'!$A$2:$Z$1048576,MATCH($C370,'Restaurant Base (Hidden)'!$C$2:$C$1048576,0),MATCH(I$6,'Restaurant Base (Hidden)'!$A$1:$Z$1,0)),"")</f>
        <v>69,70 %</v>
      </c>
      <c r="J370" s="49">
        <f>+IFERROR(INDEX('Restaurant Base (Hidden)'!$A$2:$Z$1048576,MATCH($C370,'Restaurant Base (Hidden)'!$C$2:$C$1048576,0),MATCH(J$6,'Restaurant Base (Hidden)'!$A$1:$Z$1,0)),"")</f>
        <v>1</v>
      </c>
      <c r="K370" s="20" t="str">
        <f>+IFERROR(INDEX('Restaurant Base (Hidden)'!$A$2:$Z$1048576,MATCH($C370,'Restaurant Base (Hidden)'!$C$2:$C$1048576,0),MATCH(K$6,'Restaurant Base (Hidden)'!$A$1:$Z$1,0)),"")</f>
        <v>0,200</v>
      </c>
      <c r="L370" s="51">
        <f>+IFERROR(INDEX('Restaurant Base (Hidden)'!$A$2:$Z$1048576,MATCH($C370,'Restaurant Base (Hidden)'!$C$2:$C$1048576,0),MATCH(L$6,'Restaurant Base (Hidden)'!$A$1:$Z$1,0)),"")</f>
        <v>1</v>
      </c>
      <c r="M370" s="2" t="str">
        <f>+IFERROR(INDEX('Restaurant Base (Hidden)'!$A$2:$Z$1048576,MATCH($C370,'Restaurant Base (Hidden)'!$C$2:$C$1048576,0),MATCH(M$6,'Restaurant Base (Hidden)'!$A$1:$Z$1,0)),"")</f>
        <v/>
      </c>
      <c r="N370" s="234" t="str">
        <f>+IFERROR(INDEX('Restaurant Base (Hidden)'!$A$2:$Z$1048576,MATCH($C370,'Restaurant Base (Hidden)'!$C$2:$C$1048576,0),MATCH(N$6,'Restaurant Base (Hidden)'!$A$1:$Z$1,0)),"")</f>
        <v>94,50 %</v>
      </c>
      <c r="O370" s="1">
        <f>+IFERROR(INDEX('Restaurant Base (Hidden)'!$A$2:$Z$1048576,MATCH($C370,'Restaurant Base (Hidden)'!$C$2:$C$1048576,0),MATCH(O$6,'Restaurant Base (Hidden)'!$A$1:$Z$1,0)),"")</f>
        <v>5</v>
      </c>
      <c r="P370" s="2" t="str">
        <f>+IFERROR(INDEX('Restaurant Base (Hidden)'!$A$2:$Z$1048576,MATCH($C370,'Restaurant Base (Hidden)'!$C$2:$C$1048576,0),MATCH(P$6,'Restaurant Base (Hidden)'!$A$1:$Z$1,0)),"")</f>
        <v/>
      </c>
      <c r="Q370" s="234" t="str">
        <f>+IFERROR(INDEX('Restaurant Base (Hidden)'!$A$2:$Z$1048576,MATCH($C370,'Restaurant Base (Hidden)'!$C$2:$C$1048576,0),MATCH(Q$6,'Restaurant Base (Hidden)'!$A$1:$Z$1,0)),"")</f>
        <v>67,20 %</v>
      </c>
      <c r="R370" s="1">
        <f>+IFERROR(INDEX('Restaurant Base (Hidden)'!$A$2:$Z$1048576,MATCH($C370,'Restaurant Base (Hidden)'!$C$2:$C$1048576,0),MATCH(R$6,'Restaurant Base (Hidden)'!$A$1:$Z$1,0)),"")</f>
        <v>3</v>
      </c>
      <c r="S370" s="2" t="str">
        <f>+IFERROR(INDEX('Restaurant Base (Hidden)'!$A$2:$Z$1048576,MATCH($C370,'Restaurant Base (Hidden)'!$C$2:$C$1048576,0),MATCH(S$6,'Restaurant Base (Hidden)'!$A$1:$Z$1,0)),"")</f>
        <v/>
      </c>
      <c r="T370" s="62">
        <f>+IFERROR(INDEX('Restaurant Base (Hidden)'!$A$2:$Z$1048576,MATCH($C370,'Restaurant Base (Hidden)'!$C$2:$C$1048576,0),MATCH(T$6,'Restaurant Base (Hidden)'!$A$1:$Z$1,0)),"")</f>
        <v>53.9</v>
      </c>
      <c r="U370" s="1">
        <f>+IFERROR(INDEX('Restaurant Base (Hidden)'!$A$2:$Z$1048576,MATCH($C370,'Restaurant Base (Hidden)'!$C$2:$C$1048576,0),MATCH(U$6,'Restaurant Base (Hidden)'!$A$1:$Z$1,0)),"")</f>
        <v>1</v>
      </c>
      <c r="V370" s="2" t="str">
        <f>+IFERROR(INDEX('Restaurant Base (Hidden)'!$A$2:$Z$1048576,MATCH($C370,'Restaurant Base (Hidden)'!$C$2:$C$1048576,0),MATCH(V$6,'Restaurant Base (Hidden)'!$A$1:$Z$1,0)),"")</f>
        <v/>
      </c>
      <c r="W370" s="65" t="str">
        <f>+IFERROR(INDEX('Restaurant Base (Hidden)'!$A$2:$Z$1048576,MATCH($C370,'Restaurant Base (Hidden)'!$C$2:$C$1048576,0),MATCH(W$6,'Restaurant Base (Hidden)'!$A$1:$Z$1,0)),"")</f>
        <v>84,60 %</v>
      </c>
      <c r="X370" s="1">
        <f>+IFERROR(INDEX('Restaurant Base (Hidden)'!$A$2:$Z$1048576,MATCH($C370,'Restaurant Base (Hidden)'!$C$2:$C$1048576,0),MATCH(X$6,'Restaurant Base (Hidden)'!$A$1:$Z$1,0)),"")</f>
        <v>3</v>
      </c>
      <c r="Y370" s="65" t="str">
        <f>+IFERROR(INDEX('Restaurant Base (Hidden)'!$A$2:$Z$1048576,MATCH($C370,'Restaurant Base (Hidden)'!$C$2:$C$1048576,0),MATCH(Y$6,'Restaurant Base (Hidden)'!$A$1:$Z$1,0)),"")</f>
        <v>64,00 %</v>
      </c>
      <c r="Z370" s="106">
        <f>+IFERROR(INDEX('Restaurant Base (Hidden)'!$A$2:$Z$1048576,MATCH($C370,'Restaurant Base (Hidden)'!$C$2:$C$1048576,0),MATCH(Z$6,'Restaurant Base (Hidden)'!$A$1:$Z$1,0)),"")</f>
        <v>2</v>
      </c>
      <c r="AA370" s="65" t="str">
        <f>+IFERROR(INDEX('Restaurant Base (Hidden)'!$A$2:$Z$1048576,MATCH($C370,'Restaurant Base (Hidden)'!$C$2:$C$1048576,0),MATCH(AA$6,'Restaurant Base (Hidden)'!$A$1:$Z$1,0)),"")</f>
        <v>81,20 %</v>
      </c>
      <c r="AB370" s="1">
        <f>+IFERROR(INDEX('Restaurant Base (Hidden)'!$A$2:$Z$1048576,MATCH($C370,'Restaurant Base (Hidden)'!$C$2:$C$1048576,0),MATCH(AB$6,'Restaurant Base (Hidden)'!$A$1:$Z$1,0)),"")</f>
        <v>2</v>
      </c>
      <c r="AC370" s="20" t="str">
        <f>+IFERROR(INDEX('Restaurant Base (Hidden)'!$A$2:$Z$1048576,MATCH($C370,'Restaurant Base (Hidden)'!$C$2:$C$1048576,0),MATCH(AC$6,'Restaurant Base (Hidden)'!$A$1:$Z$1,0)),"")</f>
        <v/>
      </c>
      <c r="AD370" s="65" t="str">
        <f>+IFERROR(INDEX('Restaurant Base (Hidden)'!$A$2:$Z$1048576,MATCH($C370,'Restaurant Base (Hidden)'!$C$2:$C$1048576,0),MATCH(AD$6,'Restaurant Base (Hidden)'!$A$1:$Z$1,0)),"")</f>
        <v>93,50 %</v>
      </c>
      <c r="AE370" s="1">
        <f>+IFERROR(INDEX('Restaurant Base (Hidden)'!$A$2:$Z$1048576,MATCH($C370,'Restaurant Base (Hidden)'!$C$2:$C$1048576,0),MATCH(AE$6,'Restaurant Base (Hidden)'!$A$1:$Z$1,0)),"")</f>
        <v>4</v>
      </c>
      <c r="AF370" s="65" t="str">
        <f>+IFERROR(INDEX('Restaurant Base (Hidden)'!$A$2:$Z$1048576,MATCH($C370,'Restaurant Base (Hidden)'!$C$2:$C$1048576,0),MATCH(AF$6,'Restaurant Base (Hidden)'!$A$1:$Z$1,0)),"")</f>
        <v>56,70 %</v>
      </c>
      <c r="AG370" s="1">
        <f>+IFERROR(INDEX('Restaurant Base (Hidden)'!$A$2:$Z$1048576,MATCH($C370,'Restaurant Base (Hidden)'!$C$2:$C$1048576,0),MATCH(AG$6,'Restaurant Base (Hidden)'!$A$1:$Z$1,0)),"")</f>
        <v>1</v>
      </c>
    </row>
    <row r="371" spans="1:33" ht="16" customHeight="1" x14ac:dyDescent="0.4">
      <c r="A371" s="163" t="str">
        <f>IF('Restaurant Base (Hidden)'!A300=0,"", 'Restaurant Base (Hidden)'!A300)</f>
        <v>Hayden Merriton</v>
      </c>
      <c r="B371" s="163" t="str">
        <f>IF('Restaurant Base (Hidden)'!B300=0,"", 'Restaurant Base (Hidden)'!B300)</f>
        <v>Willowcrest Dining</v>
      </c>
      <c r="C371" s="163" t="str">
        <f>IF('Restaurant Base (Hidden)'!C300=0,"", 'Restaurant Base (Hidden)'!C300)</f>
        <v>Westmere Meadows</v>
      </c>
      <c r="D371" s="104">
        <f t="shared" si="5"/>
        <v>364</v>
      </c>
      <c r="E371" s="105">
        <f>+IFERROR(INDEX('Restaurant Base (Hidden)'!$A$2:$Z$1048576,MATCH($C371,'Restaurant Base (Hidden)'!$C$2:$C$1048576,0),MATCH(E$6,'Restaurant Base (Hidden)'!$A$1:$Z$1,0)),"")</f>
        <v>2.4</v>
      </c>
      <c r="F371" s="2" t="str">
        <f>+IFERROR(INDEX('Restaurant Base (Hidden)'!$A$2:$Z$1048576,MATCH($C371,'Restaurant Base (Hidden)'!$C$2:$C$1048576,0),MATCH(F$6,'Restaurant Base (Hidden)'!$A$1:$Z$1,0)),"")</f>
        <v/>
      </c>
      <c r="G371" s="20" t="str">
        <f>+IFERROR(INDEX('Restaurant Base (Hidden)'!$A$2:$Z$1048576,MATCH($C371,'Restaurant Base (Hidden)'!$C$2:$C$1048576,0),MATCH(G$6,'Restaurant Base (Hidden)'!$A$1:$Z$1,0)),"")</f>
        <v>4,435</v>
      </c>
      <c r="H371" s="50">
        <f>+IFERROR(INDEX('Restaurant Base (Hidden)'!$A$2:$Z$1048576,MATCH($C371,'Restaurant Base (Hidden)'!$C$2:$C$1048576,0),MATCH(H$6,'Restaurant Base (Hidden)'!$A$1:$Z$1,0)),"")</f>
        <v>4</v>
      </c>
      <c r="I371" s="20" t="str">
        <f>+IFERROR(INDEX('Restaurant Base (Hidden)'!$A$2:$Z$1048576,MATCH($C371,'Restaurant Base (Hidden)'!$C$2:$C$1048576,0),MATCH(I$6,'Restaurant Base (Hidden)'!$A$1:$Z$1,0)),"")</f>
        <v>81,30 %</v>
      </c>
      <c r="J371" s="49">
        <f>+IFERROR(INDEX('Restaurant Base (Hidden)'!$A$2:$Z$1048576,MATCH($C371,'Restaurant Base (Hidden)'!$C$2:$C$1048576,0),MATCH(J$6,'Restaurant Base (Hidden)'!$A$1:$Z$1,0)),"")</f>
        <v>2</v>
      </c>
      <c r="K371" s="20" t="str">
        <f>+IFERROR(INDEX('Restaurant Base (Hidden)'!$A$2:$Z$1048576,MATCH($C371,'Restaurant Base (Hidden)'!$C$2:$C$1048576,0),MATCH(K$6,'Restaurant Base (Hidden)'!$A$1:$Z$1,0)),"")</f>
        <v>0,203</v>
      </c>
      <c r="L371" s="51">
        <f>+IFERROR(INDEX('Restaurant Base (Hidden)'!$A$2:$Z$1048576,MATCH($C371,'Restaurant Base (Hidden)'!$C$2:$C$1048576,0),MATCH(L$6,'Restaurant Base (Hidden)'!$A$1:$Z$1,0)),"")</f>
        <v>1</v>
      </c>
      <c r="M371" s="2" t="str">
        <f>+IFERROR(INDEX('Restaurant Base (Hidden)'!$A$2:$Z$1048576,MATCH($C371,'Restaurant Base (Hidden)'!$C$2:$C$1048576,0),MATCH(M$6,'Restaurant Base (Hidden)'!$A$1:$Z$1,0)),"")</f>
        <v/>
      </c>
      <c r="N371" s="234" t="str">
        <f>+IFERROR(INDEX('Restaurant Base (Hidden)'!$A$2:$Z$1048576,MATCH($C371,'Restaurant Base (Hidden)'!$C$2:$C$1048576,0),MATCH(N$6,'Restaurant Base (Hidden)'!$A$1:$Z$1,0)),"")</f>
        <v>62,60 %</v>
      </c>
      <c r="O371" s="1">
        <f>+IFERROR(INDEX('Restaurant Base (Hidden)'!$A$2:$Z$1048576,MATCH($C371,'Restaurant Base (Hidden)'!$C$2:$C$1048576,0),MATCH(O$6,'Restaurant Base (Hidden)'!$A$1:$Z$1,0)),"")</f>
        <v>2</v>
      </c>
      <c r="P371" s="2" t="str">
        <f>+IFERROR(INDEX('Restaurant Base (Hidden)'!$A$2:$Z$1048576,MATCH($C371,'Restaurant Base (Hidden)'!$C$2:$C$1048576,0),MATCH(P$6,'Restaurant Base (Hidden)'!$A$1:$Z$1,0)),"")</f>
        <v/>
      </c>
      <c r="Q371" s="234" t="str">
        <f>+IFERROR(INDEX('Restaurant Base (Hidden)'!$A$2:$Z$1048576,MATCH($C371,'Restaurant Base (Hidden)'!$C$2:$C$1048576,0),MATCH(Q$6,'Restaurant Base (Hidden)'!$A$1:$Z$1,0)),"")</f>
        <v>68,70 %</v>
      </c>
      <c r="R371" s="1">
        <f>+IFERROR(INDEX('Restaurant Base (Hidden)'!$A$2:$Z$1048576,MATCH($C371,'Restaurant Base (Hidden)'!$C$2:$C$1048576,0),MATCH(R$6,'Restaurant Base (Hidden)'!$A$1:$Z$1,0)),"")</f>
        <v>3</v>
      </c>
      <c r="S371" s="2" t="str">
        <f>+IFERROR(INDEX('Restaurant Base (Hidden)'!$A$2:$Z$1048576,MATCH($C371,'Restaurant Base (Hidden)'!$C$2:$C$1048576,0),MATCH(S$6,'Restaurant Base (Hidden)'!$A$1:$Z$1,0)),"")</f>
        <v/>
      </c>
      <c r="T371" s="62">
        <f>+IFERROR(INDEX('Restaurant Base (Hidden)'!$A$2:$Z$1048576,MATCH($C371,'Restaurant Base (Hidden)'!$C$2:$C$1048576,0),MATCH(T$6,'Restaurant Base (Hidden)'!$A$1:$Z$1,0)),"")</f>
        <v>56.2</v>
      </c>
      <c r="U371" s="1">
        <f>+IFERROR(INDEX('Restaurant Base (Hidden)'!$A$2:$Z$1048576,MATCH($C371,'Restaurant Base (Hidden)'!$C$2:$C$1048576,0),MATCH(U$6,'Restaurant Base (Hidden)'!$A$1:$Z$1,0)),"")</f>
        <v>1</v>
      </c>
      <c r="V371" s="2" t="str">
        <f>+IFERROR(INDEX('Restaurant Base (Hidden)'!$A$2:$Z$1048576,MATCH($C371,'Restaurant Base (Hidden)'!$C$2:$C$1048576,0),MATCH(V$6,'Restaurant Base (Hidden)'!$A$1:$Z$1,0)),"")</f>
        <v/>
      </c>
      <c r="W371" s="65" t="str">
        <f>+IFERROR(INDEX('Restaurant Base (Hidden)'!$A$2:$Z$1048576,MATCH($C371,'Restaurant Base (Hidden)'!$C$2:$C$1048576,0),MATCH(W$6,'Restaurant Base (Hidden)'!$A$1:$Z$1,0)),"")</f>
        <v>83,80 %</v>
      </c>
      <c r="X371" s="1">
        <f>+IFERROR(INDEX('Restaurant Base (Hidden)'!$A$2:$Z$1048576,MATCH($C371,'Restaurant Base (Hidden)'!$C$2:$C$1048576,0),MATCH(X$6,'Restaurant Base (Hidden)'!$A$1:$Z$1,0)),"")</f>
        <v>3</v>
      </c>
      <c r="Y371" s="65" t="str">
        <f>+IFERROR(INDEX('Restaurant Base (Hidden)'!$A$2:$Z$1048576,MATCH($C371,'Restaurant Base (Hidden)'!$C$2:$C$1048576,0),MATCH(Y$6,'Restaurant Base (Hidden)'!$A$1:$Z$1,0)),"")</f>
        <v>84,60 %</v>
      </c>
      <c r="Z371" s="106">
        <f>+IFERROR(INDEX('Restaurant Base (Hidden)'!$A$2:$Z$1048576,MATCH($C371,'Restaurant Base (Hidden)'!$C$2:$C$1048576,0),MATCH(Z$6,'Restaurant Base (Hidden)'!$A$1:$Z$1,0)),"")</f>
        <v>3</v>
      </c>
      <c r="AA371" s="65" t="str">
        <f>+IFERROR(INDEX('Restaurant Base (Hidden)'!$A$2:$Z$1048576,MATCH($C371,'Restaurant Base (Hidden)'!$C$2:$C$1048576,0),MATCH(AA$6,'Restaurant Base (Hidden)'!$A$1:$Z$1,0)),"")</f>
        <v>87,00 %</v>
      </c>
      <c r="AB371" s="1">
        <f>+IFERROR(INDEX('Restaurant Base (Hidden)'!$A$2:$Z$1048576,MATCH($C371,'Restaurant Base (Hidden)'!$C$2:$C$1048576,0),MATCH(AB$6,'Restaurant Base (Hidden)'!$A$1:$Z$1,0)),"")</f>
        <v>3</v>
      </c>
      <c r="AC371" s="20" t="str">
        <f>+IFERROR(INDEX('Restaurant Base (Hidden)'!$A$2:$Z$1048576,MATCH($C371,'Restaurant Base (Hidden)'!$C$2:$C$1048576,0),MATCH(AC$6,'Restaurant Base (Hidden)'!$A$1:$Z$1,0)),"")</f>
        <v/>
      </c>
      <c r="AD371" s="65" t="str">
        <f>+IFERROR(INDEX('Restaurant Base (Hidden)'!$A$2:$Z$1048576,MATCH($C371,'Restaurant Base (Hidden)'!$C$2:$C$1048576,0),MATCH(AD$6,'Restaurant Base (Hidden)'!$A$1:$Z$1,0)),"")</f>
        <v>69,80 %</v>
      </c>
      <c r="AE371" s="1">
        <f>+IFERROR(INDEX('Restaurant Base (Hidden)'!$A$2:$Z$1048576,MATCH($C371,'Restaurant Base (Hidden)'!$C$2:$C$1048576,0),MATCH(AE$6,'Restaurant Base (Hidden)'!$A$1:$Z$1,0)),"")</f>
        <v>1</v>
      </c>
      <c r="AF371" s="65" t="str">
        <f>+IFERROR(INDEX('Restaurant Base (Hidden)'!$A$2:$Z$1048576,MATCH($C371,'Restaurant Base (Hidden)'!$C$2:$C$1048576,0),MATCH(AF$6,'Restaurant Base (Hidden)'!$A$1:$Z$1,0)),"")</f>
        <v>96,30 %</v>
      </c>
      <c r="AG371" s="1">
        <f>+IFERROR(INDEX('Restaurant Base (Hidden)'!$A$2:$Z$1048576,MATCH($C371,'Restaurant Base (Hidden)'!$C$2:$C$1048576,0),MATCH(AG$6,'Restaurant Base (Hidden)'!$A$1:$Z$1,0)),"")</f>
        <v>4</v>
      </c>
    </row>
    <row r="372" spans="1:33" ht="16" customHeight="1" x14ac:dyDescent="0.4">
      <c r="A372" s="163" t="str">
        <f>IF('Restaurant Base (Hidden)'!A85=0,"", 'Restaurant Base (Hidden)'!A85)</f>
        <v>Marlowe Ellington</v>
      </c>
      <c r="B372" s="163" t="str">
        <f>IF('Restaurant Base (Hidden)'!B85=0,"", 'Restaurant Base (Hidden)'!B85)</f>
        <v>Oakbridge Restaurant Group</v>
      </c>
      <c r="C372" s="163" t="str">
        <f>IF('Restaurant Base (Hidden)'!C85=0,"", 'Restaurant Base (Hidden)'!C85)</f>
        <v>Spring Fields</v>
      </c>
      <c r="D372" s="104">
        <f t="shared" si="5"/>
        <v>366</v>
      </c>
      <c r="E372" s="105">
        <f>+IFERROR(INDEX('Restaurant Base (Hidden)'!$A$2:$Z$1048576,MATCH($C372,'Restaurant Base (Hidden)'!$C$2:$C$1048576,0),MATCH(E$6,'Restaurant Base (Hidden)'!$A$1:$Z$1,0)),"")</f>
        <v>2.39</v>
      </c>
      <c r="F372" s="2" t="str">
        <f>+IFERROR(INDEX('Restaurant Base (Hidden)'!$A$2:$Z$1048576,MATCH($C372,'Restaurant Base (Hidden)'!$C$2:$C$1048576,0),MATCH(F$6,'Restaurant Base (Hidden)'!$A$1:$Z$1,0)),"")</f>
        <v/>
      </c>
      <c r="G372" s="20" t="str">
        <f>+IFERROR(INDEX('Restaurant Base (Hidden)'!$A$2:$Z$1048576,MATCH($C372,'Restaurant Base (Hidden)'!$C$2:$C$1048576,0),MATCH(G$6,'Restaurant Base (Hidden)'!$A$1:$Z$1,0)),"")</f>
        <v>4,473</v>
      </c>
      <c r="H372" s="50">
        <f>+IFERROR(INDEX('Restaurant Base (Hidden)'!$A$2:$Z$1048576,MATCH($C372,'Restaurant Base (Hidden)'!$C$2:$C$1048576,0),MATCH(H$6,'Restaurant Base (Hidden)'!$A$1:$Z$1,0)),"")</f>
        <v>4</v>
      </c>
      <c r="I372" s="20" t="str">
        <f>+IFERROR(INDEX('Restaurant Base (Hidden)'!$A$2:$Z$1048576,MATCH($C372,'Restaurant Base (Hidden)'!$C$2:$C$1048576,0),MATCH(I$6,'Restaurant Base (Hidden)'!$A$1:$Z$1,0)),"")</f>
        <v>73,90 %</v>
      </c>
      <c r="J372" s="49">
        <f>+IFERROR(INDEX('Restaurant Base (Hidden)'!$A$2:$Z$1048576,MATCH($C372,'Restaurant Base (Hidden)'!$C$2:$C$1048576,0),MATCH(J$6,'Restaurant Base (Hidden)'!$A$1:$Z$1,0)),"")</f>
        <v>1</v>
      </c>
      <c r="K372" s="20" t="str">
        <f>+IFERROR(INDEX('Restaurant Base (Hidden)'!$A$2:$Z$1048576,MATCH($C372,'Restaurant Base (Hidden)'!$C$2:$C$1048576,0),MATCH(K$6,'Restaurant Base (Hidden)'!$A$1:$Z$1,0)),"")</f>
        <v>0,189</v>
      </c>
      <c r="L372" s="51">
        <f>+IFERROR(INDEX('Restaurant Base (Hidden)'!$A$2:$Z$1048576,MATCH($C372,'Restaurant Base (Hidden)'!$C$2:$C$1048576,0),MATCH(L$6,'Restaurant Base (Hidden)'!$A$1:$Z$1,0)),"")</f>
        <v>1</v>
      </c>
      <c r="M372" s="2" t="str">
        <f>+IFERROR(INDEX('Restaurant Base (Hidden)'!$A$2:$Z$1048576,MATCH($C372,'Restaurant Base (Hidden)'!$C$2:$C$1048576,0),MATCH(M$6,'Restaurant Base (Hidden)'!$A$1:$Z$1,0)),"")</f>
        <v/>
      </c>
      <c r="N372" s="234" t="str">
        <f>+IFERROR(INDEX('Restaurant Base (Hidden)'!$A$2:$Z$1048576,MATCH($C372,'Restaurant Base (Hidden)'!$C$2:$C$1048576,0),MATCH(N$6,'Restaurant Base (Hidden)'!$A$1:$Z$1,0)),"")</f>
        <v>60,90 %</v>
      </c>
      <c r="O372" s="1">
        <f>+IFERROR(INDEX('Restaurant Base (Hidden)'!$A$2:$Z$1048576,MATCH($C372,'Restaurant Base (Hidden)'!$C$2:$C$1048576,0),MATCH(O$6,'Restaurant Base (Hidden)'!$A$1:$Z$1,0)),"")</f>
        <v>2</v>
      </c>
      <c r="P372" s="2" t="str">
        <f>+IFERROR(INDEX('Restaurant Base (Hidden)'!$A$2:$Z$1048576,MATCH($C372,'Restaurant Base (Hidden)'!$C$2:$C$1048576,0),MATCH(P$6,'Restaurant Base (Hidden)'!$A$1:$Z$1,0)),"")</f>
        <v/>
      </c>
      <c r="Q372" s="234" t="str">
        <f>+IFERROR(INDEX('Restaurant Base (Hidden)'!$A$2:$Z$1048576,MATCH($C372,'Restaurant Base (Hidden)'!$C$2:$C$1048576,0),MATCH(Q$6,'Restaurant Base (Hidden)'!$A$1:$Z$1,0)),"")</f>
        <v>81,10 %</v>
      </c>
      <c r="R372" s="1">
        <f>+IFERROR(INDEX('Restaurant Base (Hidden)'!$A$2:$Z$1048576,MATCH($C372,'Restaurant Base (Hidden)'!$C$2:$C$1048576,0),MATCH(R$6,'Restaurant Base (Hidden)'!$A$1:$Z$1,0)),"")</f>
        <v>5</v>
      </c>
      <c r="S372" s="2" t="str">
        <f>+IFERROR(INDEX('Restaurant Base (Hidden)'!$A$2:$Z$1048576,MATCH($C372,'Restaurant Base (Hidden)'!$C$2:$C$1048576,0),MATCH(S$6,'Restaurant Base (Hidden)'!$A$1:$Z$1,0)),"")</f>
        <v/>
      </c>
      <c r="T372" s="62">
        <f>+IFERROR(INDEX('Restaurant Base (Hidden)'!$A$2:$Z$1048576,MATCH($C372,'Restaurant Base (Hidden)'!$C$2:$C$1048576,0),MATCH(T$6,'Restaurant Base (Hidden)'!$A$1:$Z$1,0)),"")</f>
        <v>58.3</v>
      </c>
      <c r="U372" s="1">
        <f>+IFERROR(INDEX('Restaurant Base (Hidden)'!$A$2:$Z$1048576,MATCH($C372,'Restaurant Base (Hidden)'!$C$2:$C$1048576,0),MATCH(U$6,'Restaurant Base (Hidden)'!$A$1:$Z$1,0)),"")</f>
        <v>2</v>
      </c>
      <c r="V372" s="2" t="str">
        <f>+IFERROR(INDEX('Restaurant Base (Hidden)'!$A$2:$Z$1048576,MATCH($C372,'Restaurant Base (Hidden)'!$C$2:$C$1048576,0),MATCH(V$6,'Restaurant Base (Hidden)'!$A$1:$Z$1,0)),"")</f>
        <v/>
      </c>
      <c r="W372" s="65" t="str">
        <f>+IFERROR(INDEX('Restaurant Base (Hidden)'!$A$2:$Z$1048576,MATCH($C372,'Restaurant Base (Hidden)'!$C$2:$C$1048576,0),MATCH(W$6,'Restaurant Base (Hidden)'!$A$1:$Z$1,0)),"")</f>
        <v>55,20 %</v>
      </c>
      <c r="X372" s="1">
        <f>+IFERROR(INDEX('Restaurant Base (Hidden)'!$A$2:$Z$1048576,MATCH($C372,'Restaurant Base (Hidden)'!$C$2:$C$1048576,0),MATCH(X$6,'Restaurant Base (Hidden)'!$A$1:$Z$1,0)),"")</f>
        <v>1</v>
      </c>
      <c r="Y372" s="65" t="str">
        <f>+IFERROR(INDEX('Restaurant Base (Hidden)'!$A$2:$Z$1048576,MATCH($C372,'Restaurant Base (Hidden)'!$C$2:$C$1048576,0),MATCH(Y$6,'Restaurant Base (Hidden)'!$A$1:$Z$1,0)),"")</f>
        <v>89,50 %</v>
      </c>
      <c r="Z372" s="106">
        <f>+IFERROR(INDEX('Restaurant Base (Hidden)'!$A$2:$Z$1048576,MATCH($C372,'Restaurant Base (Hidden)'!$C$2:$C$1048576,0),MATCH(Z$6,'Restaurant Base (Hidden)'!$A$1:$Z$1,0)),"")</f>
        <v>3</v>
      </c>
      <c r="AA372" s="65" t="str">
        <f>+IFERROR(INDEX('Restaurant Base (Hidden)'!$A$2:$Z$1048576,MATCH($C372,'Restaurant Base (Hidden)'!$C$2:$C$1048576,0),MATCH(AA$6,'Restaurant Base (Hidden)'!$A$1:$Z$1,0)),"")</f>
        <v>60,20 %</v>
      </c>
      <c r="AB372" s="1">
        <f>+IFERROR(INDEX('Restaurant Base (Hidden)'!$A$2:$Z$1048576,MATCH($C372,'Restaurant Base (Hidden)'!$C$2:$C$1048576,0),MATCH(AB$6,'Restaurant Base (Hidden)'!$A$1:$Z$1,0)),"")</f>
        <v>2</v>
      </c>
      <c r="AC372" s="20" t="str">
        <f>+IFERROR(INDEX('Restaurant Base (Hidden)'!$A$2:$Z$1048576,MATCH($C372,'Restaurant Base (Hidden)'!$C$2:$C$1048576,0),MATCH(AC$6,'Restaurant Base (Hidden)'!$A$1:$Z$1,0)),"")</f>
        <v/>
      </c>
      <c r="AD372" s="65" t="str">
        <f>+IFERROR(INDEX('Restaurant Base (Hidden)'!$A$2:$Z$1048576,MATCH($C372,'Restaurant Base (Hidden)'!$C$2:$C$1048576,0),MATCH(AD$6,'Restaurant Base (Hidden)'!$A$1:$Z$1,0)),"")</f>
        <v>83,20 %</v>
      </c>
      <c r="AE372" s="1">
        <f>+IFERROR(INDEX('Restaurant Base (Hidden)'!$A$2:$Z$1048576,MATCH($C372,'Restaurant Base (Hidden)'!$C$2:$C$1048576,0),MATCH(AE$6,'Restaurant Base (Hidden)'!$A$1:$Z$1,0)),"")</f>
        <v>3</v>
      </c>
      <c r="AF372" s="65" t="str">
        <f>+IFERROR(INDEX('Restaurant Base (Hidden)'!$A$2:$Z$1048576,MATCH($C372,'Restaurant Base (Hidden)'!$C$2:$C$1048576,0),MATCH(AF$6,'Restaurant Base (Hidden)'!$A$1:$Z$1,0)),"")</f>
        <v>61,20 %</v>
      </c>
      <c r="AG372" s="1">
        <f>+IFERROR(INDEX('Restaurant Base (Hidden)'!$A$2:$Z$1048576,MATCH($C372,'Restaurant Base (Hidden)'!$C$2:$C$1048576,0),MATCH(AG$6,'Restaurant Base (Hidden)'!$A$1:$Z$1,0)),"")</f>
        <v>1</v>
      </c>
    </row>
    <row r="373" spans="1:33" ht="16" customHeight="1" x14ac:dyDescent="0.4">
      <c r="A373" s="163" t="str">
        <f>IF('Restaurant Base (Hidden)'!A58=0,"", 'Restaurant Base (Hidden)'!A58)</f>
        <v>Sawyer Thornfield</v>
      </c>
      <c r="B373" s="163" t="str">
        <f>IF('Restaurant Base (Hidden)'!B58=0,"", 'Restaurant Base (Hidden)'!B58)</f>
        <v>Crownfield Hospitality</v>
      </c>
      <c r="C373" s="163" t="str">
        <f>IF('Restaurant Base (Hidden)'!C58=0,"", 'Restaurant Base (Hidden)'!C58)</f>
        <v>Lake Boulevard</v>
      </c>
      <c r="D373" s="104">
        <f t="shared" si="5"/>
        <v>367</v>
      </c>
      <c r="E373" s="105">
        <f>+IFERROR(INDEX('Restaurant Base (Hidden)'!$A$2:$Z$1048576,MATCH($C373,'Restaurant Base (Hidden)'!$C$2:$C$1048576,0),MATCH(E$6,'Restaurant Base (Hidden)'!$A$1:$Z$1,0)),"")</f>
        <v>2.36</v>
      </c>
      <c r="F373" s="64" t="str">
        <f>+IFERROR(INDEX('Restaurant Base (Hidden)'!$A$2:$Z$1048576,MATCH($C373,'Restaurant Base (Hidden)'!$C$2:$C$1048576,0),MATCH(F$6,'Restaurant Base (Hidden)'!$A$1:$Z$1,0)),"")</f>
        <v/>
      </c>
      <c r="G373" s="20" t="str">
        <f>+IFERROR(INDEX('Restaurant Base (Hidden)'!$A$2:$Z$1048576,MATCH($C373,'Restaurant Base (Hidden)'!$C$2:$C$1048576,0),MATCH(G$6,'Restaurant Base (Hidden)'!$A$1:$Z$1,0)),"")</f>
        <v>4,011</v>
      </c>
      <c r="H373" s="50">
        <f>+IFERROR(INDEX('Restaurant Base (Hidden)'!$A$2:$Z$1048576,MATCH($C373,'Restaurant Base (Hidden)'!$C$2:$C$1048576,0),MATCH(H$6,'Restaurant Base (Hidden)'!$A$1:$Z$1,0)),"")</f>
        <v>1</v>
      </c>
      <c r="I373" s="20" t="str">
        <f>+IFERROR(INDEX('Restaurant Base (Hidden)'!$A$2:$Z$1048576,MATCH($C373,'Restaurant Base (Hidden)'!$C$2:$C$1048576,0),MATCH(I$6,'Restaurant Base (Hidden)'!$A$1:$Z$1,0)),"")</f>
        <v>82,50 %</v>
      </c>
      <c r="J373" s="49">
        <f>+IFERROR(INDEX('Restaurant Base (Hidden)'!$A$2:$Z$1048576,MATCH($C373,'Restaurant Base (Hidden)'!$C$2:$C$1048576,0),MATCH(J$6,'Restaurant Base (Hidden)'!$A$1:$Z$1,0)),"")</f>
        <v>2</v>
      </c>
      <c r="K373" s="20" t="str">
        <f>+IFERROR(INDEX('Restaurant Base (Hidden)'!$A$2:$Z$1048576,MATCH($C373,'Restaurant Base (Hidden)'!$C$2:$C$1048576,0),MATCH(K$6,'Restaurant Base (Hidden)'!$A$1:$Z$1,0)),"")</f>
        <v>0,204</v>
      </c>
      <c r="L373" s="51">
        <f>+IFERROR(INDEX('Restaurant Base (Hidden)'!$A$2:$Z$1048576,MATCH($C373,'Restaurant Base (Hidden)'!$C$2:$C$1048576,0),MATCH(L$6,'Restaurant Base (Hidden)'!$A$1:$Z$1,0)),"")</f>
        <v>1</v>
      </c>
      <c r="M373" s="2" t="str">
        <f>+IFERROR(INDEX('Restaurant Base (Hidden)'!$A$2:$Z$1048576,MATCH($C373,'Restaurant Base (Hidden)'!$C$2:$C$1048576,0),MATCH(M$6,'Restaurant Base (Hidden)'!$A$1:$Z$1,0)),"")</f>
        <v/>
      </c>
      <c r="N373" s="234" t="str">
        <f>+IFERROR(INDEX('Restaurant Base (Hidden)'!$A$2:$Z$1048576,MATCH($C373,'Restaurant Base (Hidden)'!$C$2:$C$1048576,0),MATCH(N$6,'Restaurant Base (Hidden)'!$A$1:$Z$1,0)),"")</f>
        <v>77,80 %</v>
      </c>
      <c r="O373" s="1">
        <f>+IFERROR(INDEX('Restaurant Base (Hidden)'!$A$2:$Z$1048576,MATCH($C373,'Restaurant Base (Hidden)'!$C$2:$C$1048576,0),MATCH(O$6,'Restaurant Base (Hidden)'!$A$1:$Z$1,0)),"")</f>
        <v>5</v>
      </c>
      <c r="P373" s="2" t="str">
        <f>+IFERROR(INDEX('Restaurant Base (Hidden)'!$A$2:$Z$1048576,MATCH($C373,'Restaurant Base (Hidden)'!$C$2:$C$1048576,0),MATCH(P$6,'Restaurant Base (Hidden)'!$A$1:$Z$1,0)),"")</f>
        <v/>
      </c>
      <c r="Q373" s="234" t="str">
        <f>+IFERROR(INDEX('Restaurant Base (Hidden)'!$A$2:$Z$1048576,MATCH($C373,'Restaurant Base (Hidden)'!$C$2:$C$1048576,0),MATCH(Q$6,'Restaurant Base (Hidden)'!$A$1:$Z$1,0)),"")</f>
        <v>60,10 %</v>
      </c>
      <c r="R373" s="1">
        <f>+IFERROR(INDEX('Restaurant Base (Hidden)'!$A$2:$Z$1048576,MATCH($C373,'Restaurant Base (Hidden)'!$C$2:$C$1048576,0),MATCH(R$6,'Restaurant Base (Hidden)'!$A$1:$Z$1,0)),"")</f>
        <v>1</v>
      </c>
      <c r="S373" s="2" t="str">
        <f>+IFERROR(INDEX('Restaurant Base (Hidden)'!$A$2:$Z$1048576,MATCH($C373,'Restaurant Base (Hidden)'!$C$2:$C$1048576,0),MATCH(S$6,'Restaurant Base (Hidden)'!$A$1:$Z$1,0)),"")</f>
        <v/>
      </c>
      <c r="T373" s="62">
        <f>+IFERROR(INDEX('Restaurant Base (Hidden)'!$A$2:$Z$1048576,MATCH($C373,'Restaurant Base (Hidden)'!$C$2:$C$1048576,0),MATCH(T$6,'Restaurant Base (Hidden)'!$A$1:$Z$1,0)),"")</f>
        <v>75.599999999999994</v>
      </c>
      <c r="U373" s="1">
        <f>+IFERROR(INDEX('Restaurant Base (Hidden)'!$A$2:$Z$1048576,MATCH($C373,'Restaurant Base (Hidden)'!$C$2:$C$1048576,0),MATCH(U$6,'Restaurant Base (Hidden)'!$A$1:$Z$1,0)),"")</f>
        <v>5</v>
      </c>
      <c r="V373" s="2" t="str">
        <f>+IFERROR(INDEX('Restaurant Base (Hidden)'!$A$2:$Z$1048576,MATCH($C373,'Restaurant Base (Hidden)'!$C$2:$C$1048576,0),MATCH(V$6,'Restaurant Base (Hidden)'!$A$1:$Z$1,0)),"")</f>
        <v/>
      </c>
      <c r="W373" s="65" t="str">
        <f>+IFERROR(INDEX('Restaurant Base (Hidden)'!$A$2:$Z$1048576,MATCH($C373,'Restaurant Base (Hidden)'!$C$2:$C$1048576,0),MATCH(W$6,'Restaurant Base (Hidden)'!$A$1:$Z$1,0)),"")</f>
        <v>73,50 %</v>
      </c>
      <c r="X373" s="1">
        <f>+IFERROR(INDEX('Restaurant Base (Hidden)'!$A$2:$Z$1048576,MATCH($C373,'Restaurant Base (Hidden)'!$C$2:$C$1048576,0),MATCH(X$6,'Restaurant Base (Hidden)'!$A$1:$Z$1,0)),"")</f>
        <v>2</v>
      </c>
      <c r="Y373" s="65" t="str">
        <f>+IFERROR(INDEX('Restaurant Base (Hidden)'!$A$2:$Z$1048576,MATCH($C373,'Restaurant Base (Hidden)'!$C$2:$C$1048576,0),MATCH(Y$6,'Restaurant Base (Hidden)'!$A$1:$Z$1,0)),"")</f>
        <v>83,10 %</v>
      </c>
      <c r="Z373" s="106">
        <f>+IFERROR(INDEX('Restaurant Base (Hidden)'!$A$2:$Z$1048576,MATCH($C373,'Restaurant Base (Hidden)'!$C$2:$C$1048576,0),MATCH(Z$6,'Restaurant Base (Hidden)'!$A$1:$Z$1,0)),"")</f>
        <v>3</v>
      </c>
      <c r="AA373" s="65" t="str">
        <f>+IFERROR(INDEX('Restaurant Base (Hidden)'!$A$2:$Z$1048576,MATCH($C373,'Restaurant Base (Hidden)'!$C$2:$C$1048576,0),MATCH(AA$6,'Restaurant Base (Hidden)'!$A$1:$Z$1,0)),"")</f>
        <v>55,50 %</v>
      </c>
      <c r="AB373" s="1">
        <f>+IFERROR(INDEX('Restaurant Base (Hidden)'!$A$2:$Z$1048576,MATCH($C373,'Restaurant Base (Hidden)'!$C$2:$C$1048576,0),MATCH(AB$6,'Restaurant Base (Hidden)'!$A$1:$Z$1,0)),"")</f>
        <v>1</v>
      </c>
      <c r="AC373" s="20" t="str">
        <f>+IFERROR(INDEX('Restaurant Base (Hidden)'!$A$2:$Z$1048576,MATCH($C373,'Restaurant Base (Hidden)'!$C$2:$C$1048576,0),MATCH(AC$6,'Restaurant Base (Hidden)'!$A$1:$Z$1,0)),"")</f>
        <v/>
      </c>
      <c r="AD373" s="65" t="str">
        <f>+IFERROR(INDEX('Restaurant Base (Hidden)'!$A$2:$Z$1048576,MATCH($C373,'Restaurant Base (Hidden)'!$C$2:$C$1048576,0),MATCH(AD$6,'Restaurant Base (Hidden)'!$A$1:$Z$1,0)),"")</f>
        <v>80,50 %</v>
      </c>
      <c r="AE373" s="1">
        <f>+IFERROR(INDEX('Restaurant Base (Hidden)'!$A$2:$Z$1048576,MATCH($C373,'Restaurant Base (Hidden)'!$C$2:$C$1048576,0),MATCH(AE$6,'Restaurant Base (Hidden)'!$A$1:$Z$1,0)),"")</f>
        <v>2</v>
      </c>
      <c r="AF373" s="65" t="str">
        <f>+IFERROR(INDEX('Restaurant Base (Hidden)'!$A$2:$Z$1048576,MATCH($C373,'Restaurant Base (Hidden)'!$C$2:$C$1048576,0),MATCH(AF$6,'Restaurant Base (Hidden)'!$A$1:$Z$1,0)),"")</f>
        <v>71,10 %</v>
      </c>
      <c r="AG373" s="1">
        <f>+IFERROR(INDEX('Restaurant Base (Hidden)'!$A$2:$Z$1048576,MATCH($C373,'Restaurant Base (Hidden)'!$C$2:$C$1048576,0),MATCH(AG$6,'Restaurant Base (Hidden)'!$A$1:$Z$1,0)),"")</f>
        <v>1</v>
      </c>
    </row>
    <row r="374" spans="1:33" ht="16" customHeight="1" x14ac:dyDescent="0.4">
      <c r="A374" s="163" t="str">
        <f>IF('Restaurant Base (Hidden)'!A307=0,"", 'Restaurant Base (Hidden)'!A307)</f>
        <v>Quinn Westbrook</v>
      </c>
      <c r="B374" s="163" t="str">
        <f>IF('Restaurant Base (Hidden)'!B307=0,"", 'Restaurant Base (Hidden)'!B307)</f>
        <v>Meadowgate Hospitality</v>
      </c>
      <c r="C374" s="163" t="str">
        <f>IF('Restaurant Base (Hidden)'!C307=0,"", 'Restaurant Base (Hidden)'!C307)</f>
        <v>Harbor Ridge</v>
      </c>
      <c r="D374" s="104">
        <f t="shared" si="5"/>
        <v>367</v>
      </c>
      <c r="E374" s="105">
        <f>+IFERROR(INDEX('Restaurant Base (Hidden)'!$A$2:$Z$1048576,MATCH($C374,'Restaurant Base (Hidden)'!$C$2:$C$1048576,0),MATCH(E$6,'Restaurant Base (Hidden)'!$A$1:$Z$1,0)),"")</f>
        <v>2.36</v>
      </c>
      <c r="F374" s="2" t="str">
        <f>+IFERROR(INDEX('Restaurant Base (Hidden)'!$A$2:$Z$1048576,MATCH($C374,'Restaurant Base (Hidden)'!$C$2:$C$1048576,0),MATCH(F$6,'Restaurant Base (Hidden)'!$A$1:$Z$1,0)),"")</f>
        <v/>
      </c>
      <c r="G374" s="20" t="str">
        <f>+IFERROR(INDEX('Restaurant Base (Hidden)'!$A$2:$Z$1048576,MATCH($C374,'Restaurant Base (Hidden)'!$C$2:$C$1048576,0),MATCH(G$6,'Restaurant Base (Hidden)'!$A$1:$Z$1,0)),"")</f>
        <v>4,743</v>
      </c>
      <c r="H374" s="50">
        <f>+IFERROR(INDEX('Restaurant Base (Hidden)'!$A$2:$Z$1048576,MATCH($C374,'Restaurant Base (Hidden)'!$C$2:$C$1048576,0),MATCH(H$6,'Restaurant Base (Hidden)'!$A$1:$Z$1,0)),"")</f>
        <v>5</v>
      </c>
      <c r="I374" s="20" t="str">
        <f>+IFERROR(INDEX('Restaurant Base (Hidden)'!$A$2:$Z$1048576,MATCH($C374,'Restaurant Base (Hidden)'!$C$2:$C$1048576,0),MATCH(I$6,'Restaurant Base (Hidden)'!$A$1:$Z$1,0)),"")</f>
        <v>58,90 %</v>
      </c>
      <c r="J374" s="49">
        <f>+IFERROR(INDEX('Restaurant Base (Hidden)'!$A$2:$Z$1048576,MATCH($C374,'Restaurant Base (Hidden)'!$C$2:$C$1048576,0),MATCH(J$6,'Restaurant Base (Hidden)'!$A$1:$Z$1,0)),"")</f>
        <v>1</v>
      </c>
      <c r="K374" s="20" t="str">
        <f>+IFERROR(INDEX('Restaurant Base (Hidden)'!$A$2:$Z$1048576,MATCH($C374,'Restaurant Base (Hidden)'!$C$2:$C$1048576,0),MATCH(K$6,'Restaurant Base (Hidden)'!$A$1:$Z$1,0)),"")</f>
        <v>0,147</v>
      </c>
      <c r="L374" s="51">
        <f>+IFERROR(INDEX('Restaurant Base (Hidden)'!$A$2:$Z$1048576,MATCH($C374,'Restaurant Base (Hidden)'!$C$2:$C$1048576,0),MATCH(L$6,'Restaurant Base (Hidden)'!$A$1:$Z$1,0)),"")</f>
        <v>2</v>
      </c>
      <c r="M374" s="2" t="str">
        <f>+IFERROR(INDEX('Restaurant Base (Hidden)'!$A$2:$Z$1048576,MATCH($C374,'Restaurant Base (Hidden)'!$C$2:$C$1048576,0),MATCH(M$6,'Restaurant Base (Hidden)'!$A$1:$Z$1,0)),"")</f>
        <v/>
      </c>
      <c r="N374" s="234" t="str">
        <f>+IFERROR(INDEX('Restaurant Base (Hidden)'!$A$2:$Z$1048576,MATCH($C374,'Restaurant Base (Hidden)'!$C$2:$C$1048576,0),MATCH(N$6,'Restaurant Base (Hidden)'!$A$1:$Z$1,0)),"")</f>
        <v>59,90 %</v>
      </c>
      <c r="O374" s="1">
        <f>+IFERROR(INDEX('Restaurant Base (Hidden)'!$A$2:$Z$1048576,MATCH($C374,'Restaurant Base (Hidden)'!$C$2:$C$1048576,0),MATCH(O$6,'Restaurant Base (Hidden)'!$A$1:$Z$1,0)),"")</f>
        <v>1</v>
      </c>
      <c r="P374" s="2" t="str">
        <f>+IFERROR(INDEX('Restaurant Base (Hidden)'!$A$2:$Z$1048576,MATCH($C374,'Restaurant Base (Hidden)'!$C$2:$C$1048576,0),MATCH(P$6,'Restaurant Base (Hidden)'!$A$1:$Z$1,0)),"")</f>
        <v/>
      </c>
      <c r="Q374" s="234" t="str">
        <f>+IFERROR(INDEX('Restaurant Base (Hidden)'!$A$2:$Z$1048576,MATCH($C374,'Restaurant Base (Hidden)'!$C$2:$C$1048576,0),MATCH(Q$6,'Restaurant Base (Hidden)'!$A$1:$Z$1,0)),"")</f>
        <v>66,40 %</v>
      </c>
      <c r="R374" s="1">
        <f>+IFERROR(INDEX('Restaurant Base (Hidden)'!$A$2:$Z$1048576,MATCH($C374,'Restaurant Base (Hidden)'!$C$2:$C$1048576,0),MATCH(R$6,'Restaurant Base (Hidden)'!$A$1:$Z$1,0)),"")</f>
        <v>3</v>
      </c>
      <c r="S374" s="2" t="str">
        <f>+IFERROR(INDEX('Restaurant Base (Hidden)'!$A$2:$Z$1048576,MATCH($C374,'Restaurant Base (Hidden)'!$C$2:$C$1048576,0),MATCH(S$6,'Restaurant Base (Hidden)'!$A$1:$Z$1,0)),"")</f>
        <v/>
      </c>
      <c r="T374" s="62">
        <f>+IFERROR(INDEX('Restaurant Base (Hidden)'!$A$2:$Z$1048576,MATCH($C374,'Restaurant Base (Hidden)'!$C$2:$C$1048576,0),MATCH(T$6,'Restaurant Base (Hidden)'!$A$1:$Z$1,0)),"")</f>
        <v>76.900000000000006</v>
      </c>
      <c r="U374" s="1">
        <f>+IFERROR(INDEX('Restaurant Base (Hidden)'!$A$2:$Z$1048576,MATCH($C374,'Restaurant Base (Hidden)'!$C$2:$C$1048576,0),MATCH(U$6,'Restaurant Base (Hidden)'!$A$1:$Z$1,0)),"")</f>
        <v>5</v>
      </c>
      <c r="V374" s="2" t="str">
        <f>+IFERROR(INDEX('Restaurant Base (Hidden)'!$A$2:$Z$1048576,MATCH($C374,'Restaurant Base (Hidden)'!$C$2:$C$1048576,0),MATCH(V$6,'Restaurant Base (Hidden)'!$A$1:$Z$1,0)),"")</f>
        <v/>
      </c>
      <c r="W374" s="65" t="str">
        <f>+IFERROR(INDEX('Restaurant Base (Hidden)'!$A$2:$Z$1048576,MATCH($C374,'Restaurant Base (Hidden)'!$C$2:$C$1048576,0),MATCH(W$6,'Restaurant Base (Hidden)'!$A$1:$Z$1,0)),"")</f>
        <v>72,70 %</v>
      </c>
      <c r="X374" s="1">
        <f>+IFERROR(INDEX('Restaurant Base (Hidden)'!$A$2:$Z$1048576,MATCH($C374,'Restaurant Base (Hidden)'!$C$2:$C$1048576,0),MATCH(X$6,'Restaurant Base (Hidden)'!$A$1:$Z$1,0)),"")</f>
        <v>2</v>
      </c>
      <c r="Y374" s="65" t="str">
        <f>+IFERROR(INDEX('Restaurant Base (Hidden)'!$A$2:$Z$1048576,MATCH($C374,'Restaurant Base (Hidden)'!$C$2:$C$1048576,0),MATCH(Y$6,'Restaurant Base (Hidden)'!$A$1:$Z$1,0)),"")</f>
        <v>70,80 %</v>
      </c>
      <c r="Z374" s="106">
        <f>+IFERROR(INDEX('Restaurant Base (Hidden)'!$A$2:$Z$1048576,MATCH($C374,'Restaurant Base (Hidden)'!$C$2:$C$1048576,0),MATCH(Z$6,'Restaurant Base (Hidden)'!$A$1:$Z$1,0)),"")</f>
        <v>2</v>
      </c>
      <c r="AA374" s="65" t="str">
        <f>+IFERROR(INDEX('Restaurant Base (Hidden)'!$A$2:$Z$1048576,MATCH($C374,'Restaurant Base (Hidden)'!$C$2:$C$1048576,0),MATCH(AA$6,'Restaurant Base (Hidden)'!$A$1:$Z$1,0)),"")</f>
        <v>79,50 %</v>
      </c>
      <c r="AB374" s="1">
        <f>+IFERROR(INDEX('Restaurant Base (Hidden)'!$A$2:$Z$1048576,MATCH($C374,'Restaurant Base (Hidden)'!$C$2:$C$1048576,0),MATCH(AB$6,'Restaurant Base (Hidden)'!$A$1:$Z$1,0)),"")</f>
        <v>2</v>
      </c>
      <c r="AC374" s="20" t="str">
        <f>+IFERROR(INDEX('Restaurant Base (Hidden)'!$A$2:$Z$1048576,MATCH($C374,'Restaurant Base (Hidden)'!$C$2:$C$1048576,0),MATCH(AC$6,'Restaurant Base (Hidden)'!$A$1:$Z$1,0)),"")</f>
        <v/>
      </c>
      <c r="AD374" s="65" t="str">
        <f>+IFERROR(INDEX('Restaurant Base (Hidden)'!$A$2:$Z$1048576,MATCH($C374,'Restaurant Base (Hidden)'!$C$2:$C$1048576,0),MATCH(AD$6,'Restaurant Base (Hidden)'!$A$1:$Z$1,0)),"")</f>
        <v>70,20 %</v>
      </c>
      <c r="AE374" s="1">
        <f>+IFERROR(INDEX('Restaurant Base (Hidden)'!$A$2:$Z$1048576,MATCH($C374,'Restaurant Base (Hidden)'!$C$2:$C$1048576,0),MATCH(AE$6,'Restaurant Base (Hidden)'!$A$1:$Z$1,0)),"")</f>
        <v>1</v>
      </c>
      <c r="AF374" s="65" t="str">
        <f>+IFERROR(INDEX('Restaurant Base (Hidden)'!$A$2:$Z$1048576,MATCH($C374,'Restaurant Base (Hidden)'!$C$2:$C$1048576,0),MATCH(AF$6,'Restaurant Base (Hidden)'!$A$1:$Z$1,0)),"")</f>
        <v>79,30 %</v>
      </c>
      <c r="AG374" s="1">
        <f>+IFERROR(INDEX('Restaurant Base (Hidden)'!$A$2:$Z$1048576,MATCH($C374,'Restaurant Base (Hidden)'!$C$2:$C$1048576,0),MATCH(AG$6,'Restaurant Base (Hidden)'!$A$1:$Z$1,0)),"")</f>
        <v>2</v>
      </c>
    </row>
    <row r="375" spans="1:33" ht="16" customHeight="1" x14ac:dyDescent="0.4">
      <c r="A375" s="163" t="str">
        <f>IF('Restaurant Base (Hidden)'!A396=0,"", 'Restaurant Base (Hidden)'!A396)</f>
        <v>Riley Wellington</v>
      </c>
      <c r="B375" s="163" t="str">
        <f>IF('Restaurant Base (Hidden)'!B396=0,"", 'Restaurant Base (Hidden)'!B396)</f>
        <v>Crestwood Dining</v>
      </c>
      <c r="C375" s="163" t="str">
        <f>IF('Restaurant Base (Hidden)'!C396=0,"", 'Restaurant Base (Hidden)'!C396)</f>
        <v>Lunar Mews</v>
      </c>
      <c r="D375" s="104">
        <f t="shared" si="5"/>
        <v>367</v>
      </c>
      <c r="E375" s="105">
        <f>+IFERROR(INDEX('Restaurant Base (Hidden)'!$A$2:$Z$1048576,MATCH($C375,'Restaurant Base (Hidden)'!$C$2:$C$1048576,0),MATCH(E$6,'Restaurant Base (Hidden)'!$A$1:$Z$1,0)),"")</f>
        <v>2.36</v>
      </c>
      <c r="F375" s="2" t="str">
        <f>+IFERROR(INDEX('Restaurant Base (Hidden)'!$A$2:$Z$1048576,MATCH($C375,'Restaurant Base (Hidden)'!$C$2:$C$1048576,0),MATCH(F$6,'Restaurant Base (Hidden)'!$A$1:$Z$1,0)),"")</f>
        <v/>
      </c>
      <c r="G375" s="20" t="str">
        <f>+IFERROR(INDEX('Restaurant Base (Hidden)'!$A$2:$Z$1048576,MATCH($C375,'Restaurant Base (Hidden)'!$C$2:$C$1048576,0),MATCH(G$6,'Restaurant Base (Hidden)'!$A$1:$Z$1,0)),"")</f>
        <v>4,402</v>
      </c>
      <c r="H375" s="50">
        <f>+IFERROR(INDEX('Restaurant Base (Hidden)'!$A$2:$Z$1048576,MATCH($C375,'Restaurant Base (Hidden)'!$C$2:$C$1048576,0),MATCH(H$6,'Restaurant Base (Hidden)'!$A$1:$Z$1,0)),"")</f>
        <v>4</v>
      </c>
      <c r="I375" s="20" t="str">
        <f>+IFERROR(INDEX('Restaurant Base (Hidden)'!$A$2:$Z$1048576,MATCH($C375,'Restaurant Base (Hidden)'!$C$2:$C$1048576,0),MATCH(I$6,'Restaurant Base (Hidden)'!$A$1:$Z$1,0)),"")</f>
        <v>76,30 %</v>
      </c>
      <c r="J375" s="49">
        <f>+IFERROR(INDEX('Restaurant Base (Hidden)'!$A$2:$Z$1048576,MATCH($C375,'Restaurant Base (Hidden)'!$C$2:$C$1048576,0),MATCH(J$6,'Restaurant Base (Hidden)'!$A$1:$Z$1,0)),"")</f>
        <v>1</v>
      </c>
      <c r="K375" s="20" t="str">
        <f>+IFERROR(INDEX('Restaurant Base (Hidden)'!$A$2:$Z$1048576,MATCH($C375,'Restaurant Base (Hidden)'!$C$2:$C$1048576,0),MATCH(K$6,'Restaurant Base (Hidden)'!$A$1:$Z$1,0)),"")</f>
        <v>0,041</v>
      </c>
      <c r="L375" s="51">
        <f>+IFERROR(INDEX('Restaurant Base (Hidden)'!$A$2:$Z$1048576,MATCH($C375,'Restaurant Base (Hidden)'!$C$2:$C$1048576,0),MATCH(L$6,'Restaurant Base (Hidden)'!$A$1:$Z$1,0)),"")</f>
        <v>5</v>
      </c>
      <c r="M375" s="2" t="str">
        <f>+IFERROR(INDEX('Restaurant Base (Hidden)'!$A$2:$Z$1048576,MATCH($C375,'Restaurant Base (Hidden)'!$C$2:$C$1048576,0),MATCH(M$6,'Restaurant Base (Hidden)'!$A$1:$Z$1,0)),"")</f>
        <v/>
      </c>
      <c r="N375" s="234" t="str">
        <f>+IFERROR(INDEX('Restaurant Base (Hidden)'!$A$2:$Z$1048576,MATCH($C375,'Restaurant Base (Hidden)'!$C$2:$C$1048576,0),MATCH(N$6,'Restaurant Base (Hidden)'!$A$1:$Z$1,0)),"")</f>
        <v>66,10 %</v>
      </c>
      <c r="O375" s="1">
        <f>+IFERROR(INDEX('Restaurant Base (Hidden)'!$A$2:$Z$1048576,MATCH($C375,'Restaurant Base (Hidden)'!$C$2:$C$1048576,0),MATCH(O$6,'Restaurant Base (Hidden)'!$A$1:$Z$1,0)),"")</f>
        <v>3</v>
      </c>
      <c r="P375" s="2" t="str">
        <f>+IFERROR(INDEX('Restaurant Base (Hidden)'!$A$2:$Z$1048576,MATCH($C375,'Restaurant Base (Hidden)'!$C$2:$C$1048576,0),MATCH(P$6,'Restaurant Base (Hidden)'!$A$1:$Z$1,0)),"")</f>
        <v/>
      </c>
      <c r="Q375" s="234" t="str">
        <f>+IFERROR(INDEX('Restaurant Base (Hidden)'!$A$2:$Z$1048576,MATCH($C375,'Restaurant Base (Hidden)'!$C$2:$C$1048576,0),MATCH(Q$6,'Restaurant Base (Hidden)'!$A$1:$Z$1,0)),"")</f>
        <v>57,60 %</v>
      </c>
      <c r="R375" s="1">
        <f>+IFERROR(INDEX('Restaurant Base (Hidden)'!$A$2:$Z$1048576,MATCH($C375,'Restaurant Base (Hidden)'!$C$2:$C$1048576,0),MATCH(R$6,'Restaurant Base (Hidden)'!$A$1:$Z$1,0)),"")</f>
        <v>1</v>
      </c>
      <c r="S375" s="2" t="str">
        <f>+IFERROR(INDEX('Restaurant Base (Hidden)'!$A$2:$Z$1048576,MATCH($C375,'Restaurant Base (Hidden)'!$C$2:$C$1048576,0),MATCH(S$6,'Restaurant Base (Hidden)'!$A$1:$Z$1,0)),"")</f>
        <v/>
      </c>
      <c r="T375" s="62">
        <f>+IFERROR(INDEX('Restaurant Base (Hidden)'!$A$2:$Z$1048576,MATCH($C375,'Restaurant Base (Hidden)'!$C$2:$C$1048576,0),MATCH(T$6,'Restaurant Base (Hidden)'!$A$1:$Z$1,0)),"")</f>
        <v>53.7</v>
      </c>
      <c r="U375" s="1">
        <f>+IFERROR(INDEX('Restaurant Base (Hidden)'!$A$2:$Z$1048576,MATCH($C375,'Restaurant Base (Hidden)'!$C$2:$C$1048576,0),MATCH(U$6,'Restaurant Base (Hidden)'!$A$1:$Z$1,0)),"")</f>
        <v>1</v>
      </c>
      <c r="V375" s="2" t="str">
        <f>+IFERROR(INDEX('Restaurant Base (Hidden)'!$A$2:$Z$1048576,MATCH($C375,'Restaurant Base (Hidden)'!$C$2:$C$1048576,0),MATCH(V$6,'Restaurant Base (Hidden)'!$A$1:$Z$1,0)),"")</f>
        <v/>
      </c>
      <c r="W375" s="65" t="str">
        <f>+IFERROR(INDEX('Restaurant Base (Hidden)'!$A$2:$Z$1048576,MATCH($C375,'Restaurant Base (Hidden)'!$C$2:$C$1048576,0),MATCH(W$6,'Restaurant Base (Hidden)'!$A$1:$Z$1,0)),"")</f>
        <v>58,50 %</v>
      </c>
      <c r="X375" s="1">
        <f>+IFERROR(INDEX('Restaurant Base (Hidden)'!$A$2:$Z$1048576,MATCH($C375,'Restaurant Base (Hidden)'!$C$2:$C$1048576,0),MATCH(X$6,'Restaurant Base (Hidden)'!$A$1:$Z$1,0)),"")</f>
        <v>1</v>
      </c>
      <c r="Y375" s="65" t="str">
        <f>+IFERROR(INDEX('Restaurant Base (Hidden)'!$A$2:$Z$1048576,MATCH($C375,'Restaurant Base (Hidden)'!$C$2:$C$1048576,0),MATCH(Y$6,'Restaurant Base (Hidden)'!$A$1:$Z$1,0)),"")</f>
        <v>56,90 %</v>
      </c>
      <c r="Z375" s="106">
        <f>+IFERROR(INDEX('Restaurant Base (Hidden)'!$A$2:$Z$1048576,MATCH($C375,'Restaurant Base (Hidden)'!$C$2:$C$1048576,0),MATCH(Z$6,'Restaurant Base (Hidden)'!$A$1:$Z$1,0)),"")</f>
        <v>1</v>
      </c>
      <c r="AA375" s="65" t="str">
        <f>+IFERROR(INDEX('Restaurant Base (Hidden)'!$A$2:$Z$1048576,MATCH($C375,'Restaurant Base (Hidden)'!$C$2:$C$1048576,0),MATCH(AA$6,'Restaurant Base (Hidden)'!$A$1:$Z$1,0)),"")</f>
        <v>91,50 %</v>
      </c>
      <c r="AB375" s="1">
        <f>+IFERROR(INDEX('Restaurant Base (Hidden)'!$A$2:$Z$1048576,MATCH($C375,'Restaurant Base (Hidden)'!$C$2:$C$1048576,0),MATCH(AB$6,'Restaurant Base (Hidden)'!$A$1:$Z$1,0)),"")</f>
        <v>3</v>
      </c>
      <c r="AC375" s="20" t="str">
        <f>+IFERROR(INDEX('Restaurant Base (Hidden)'!$A$2:$Z$1048576,MATCH($C375,'Restaurant Base (Hidden)'!$C$2:$C$1048576,0),MATCH(AC$6,'Restaurant Base (Hidden)'!$A$1:$Z$1,0)),"")</f>
        <v/>
      </c>
      <c r="AD375" s="65" t="str">
        <f>+IFERROR(INDEX('Restaurant Base (Hidden)'!$A$2:$Z$1048576,MATCH($C375,'Restaurant Base (Hidden)'!$C$2:$C$1048576,0),MATCH(AD$6,'Restaurant Base (Hidden)'!$A$1:$Z$1,0)),"")</f>
        <v>87,90 %</v>
      </c>
      <c r="AE375" s="1">
        <f>+IFERROR(INDEX('Restaurant Base (Hidden)'!$A$2:$Z$1048576,MATCH($C375,'Restaurant Base (Hidden)'!$C$2:$C$1048576,0),MATCH(AE$6,'Restaurant Base (Hidden)'!$A$1:$Z$1,0)),"")</f>
        <v>3</v>
      </c>
      <c r="AF375" s="65" t="str">
        <f>+IFERROR(INDEX('Restaurant Base (Hidden)'!$A$2:$Z$1048576,MATCH($C375,'Restaurant Base (Hidden)'!$C$2:$C$1048576,0),MATCH(AF$6,'Restaurant Base (Hidden)'!$A$1:$Z$1,0)),"")</f>
        <v>93,40 %</v>
      </c>
      <c r="AG375" s="1">
        <f>+IFERROR(INDEX('Restaurant Base (Hidden)'!$A$2:$Z$1048576,MATCH($C375,'Restaurant Base (Hidden)'!$C$2:$C$1048576,0),MATCH(AG$6,'Restaurant Base (Hidden)'!$A$1:$Z$1,0)),"")</f>
        <v>4</v>
      </c>
    </row>
    <row r="376" spans="1:33" ht="16" customHeight="1" x14ac:dyDescent="0.4">
      <c r="A376" s="163" t="str">
        <f>IF('Restaurant Base (Hidden)'!A166=0,"", 'Restaurant Base (Hidden)'!A166)</f>
        <v>Skyler Everhart</v>
      </c>
      <c r="B376" s="163" t="str">
        <f>IF('Restaurant Base (Hidden)'!B166=0,"", 'Restaurant Base (Hidden)'!B166)</f>
        <v>Westhaven Foods</v>
      </c>
      <c r="C376" s="163" t="str">
        <f>IF('Restaurant Base (Hidden)'!C166=0,"", 'Restaurant Base (Hidden)'!C166)</f>
        <v>Northern Terrace</v>
      </c>
      <c r="D376" s="104">
        <f t="shared" si="5"/>
        <v>370</v>
      </c>
      <c r="E376" s="105">
        <f>+IFERROR(INDEX('Restaurant Base (Hidden)'!$A$2:$Z$1048576,MATCH($C376,'Restaurant Base (Hidden)'!$C$2:$C$1048576,0),MATCH(E$6,'Restaurant Base (Hidden)'!$A$1:$Z$1,0)),"")</f>
        <v>2.34</v>
      </c>
      <c r="F376" s="2" t="str">
        <f>+IFERROR(INDEX('Restaurant Base (Hidden)'!$A$2:$Z$1048576,MATCH($C376,'Restaurant Base (Hidden)'!$C$2:$C$1048576,0),MATCH(F$6,'Restaurant Base (Hidden)'!$A$1:$Z$1,0)),"")</f>
        <v/>
      </c>
      <c r="G376" s="20" t="str">
        <f>+IFERROR(INDEX('Restaurant Base (Hidden)'!$A$2:$Z$1048576,MATCH($C376,'Restaurant Base (Hidden)'!$C$2:$C$1048576,0),MATCH(G$6,'Restaurant Base (Hidden)'!$A$1:$Z$1,0)),"")</f>
        <v>4,627</v>
      </c>
      <c r="H376" s="50">
        <f>+IFERROR(INDEX('Restaurant Base (Hidden)'!$A$2:$Z$1048576,MATCH($C376,'Restaurant Base (Hidden)'!$C$2:$C$1048576,0),MATCH(H$6,'Restaurant Base (Hidden)'!$A$1:$Z$1,0)),"")</f>
        <v>5</v>
      </c>
      <c r="I376" s="20" t="str">
        <f>+IFERROR(INDEX('Restaurant Base (Hidden)'!$A$2:$Z$1048576,MATCH($C376,'Restaurant Base (Hidden)'!$C$2:$C$1048576,0),MATCH(I$6,'Restaurant Base (Hidden)'!$A$1:$Z$1,0)),"")</f>
        <v>71,50 %</v>
      </c>
      <c r="J376" s="49">
        <f>+IFERROR(INDEX('Restaurant Base (Hidden)'!$A$2:$Z$1048576,MATCH($C376,'Restaurant Base (Hidden)'!$C$2:$C$1048576,0),MATCH(J$6,'Restaurant Base (Hidden)'!$A$1:$Z$1,0)),"")</f>
        <v>1</v>
      </c>
      <c r="K376" s="20" t="str">
        <f>+IFERROR(INDEX('Restaurant Base (Hidden)'!$A$2:$Z$1048576,MATCH($C376,'Restaurant Base (Hidden)'!$C$2:$C$1048576,0),MATCH(K$6,'Restaurant Base (Hidden)'!$A$1:$Z$1,0)),"")</f>
        <v>0,151</v>
      </c>
      <c r="L376" s="51">
        <f>+IFERROR(INDEX('Restaurant Base (Hidden)'!$A$2:$Z$1048576,MATCH($C376,'Restaurant Base (Hidden)'!$C$2:$C$1048576,0),MATCH(L$6,'Restaurant Base (Hidden)'!$A$1:$Z$1,0)),"")</f>
        <v>2</v>
      </c>
      <c r="M376" s="2" t="str">
        <f>+IFERROR(INDEX('Restaurant Base (Hidden)'!$A$2:$Z$1048576,MATCH($C376,'Restaurant Base (Hidden)'!$C$2:$C$1048576,0),MATCH(M$6,'Restaurant Base (Hidden)'!$A$1:$Z$1,0)),"")</f>
        <v/>
      </c>
      <c r="N376" s="234" t="str">
        <f>+IFERROR(INDEX('Restaurant Base (Hidden)'!$A$2:$Z$1048576,MATCH($C376,'Restaurant Base (Hidden)'!$C$2:$C$1048576,0),MATCH(N$6,'Restaurant Base (Hidden)'!$A$1:$Z$1,0)),"")</f>
        <v>64,20 %</v>
      </c>
      <c r="O376" s="1">
        <f>+IFERROR(INDEX('Restaurant Base (Hidden)'!$A$2:$Z$1048576,MATCH($C376,'Restaurant Base (Hidden)'!$C$2:$C$1048576,0),MATCH(O$6,'Restaurant Base (Hidden)'!$A$1:$Z$1,0)),"")</f>
        <v>3</v>
      </c>
      <c r="P376" s="2" t="str">
        <f>+IFERROR(INDEX('Restaurant Base (Hidden)'!$A$2:$Z$1048576,MATCH($C376,'Restaurant Base (Hidden)'!$C$2:$C$1048576,0),MATCH(P$6,'Restaurant Base (Hidden)'!$A$1:$Z$1,0)),"")</f>
        <v/>
      </c>
      <c r="Q376" s="234" t="str">
        <f>+IFERROR(INDEX('Restaurant Base (Hidden)'!$A$2:$Z$1048576,MATCH($C376,'Restaurant Base (Hidden)'!$C$2:$C$1048576,0),MATCH(Q$6,'Restaurant Base (Hidden)'!$A$1:$Z$1,0)),"")</f>
        <v>62,40 %</v>
      </c>
      <c r="R376" s="1">
        <f>+IFERROR(INDEX('Restaurant Base (Hidden)'!$A$2:$Z$1048576,MATCH($C376,'Restaurant Base (Hidden)'!$C$2:$C$1048576,0),MATCH(R$6,'Restaurant Base (Hidden)'!$A$1:$Z$1,0)),"")</f>
        <v>2</v>
      </c>
      <c r="S376" s="2" t="str">
        <f>+IFERROR(INDEX('Restaurant Base (Hidden)'!$A$2:$Z$1048576,MATCH($C376,'Restaurant Base (Hidden)'!$C$2:$C$1048576,0),MATCH(S$6,'Restaurant Base (Hidden)'!$A$1:$Z$1,0)),"")</f>
        <v/>
      </c>
      <c r="T376" s="62">
        <f>+IFERROR(INDEX('Restaurant Base (Hidden)'!$A$2:$Z$1048576,MATCH($C376,'Restaurant Base (Hidden)'!$C$2:$C$1048576,0),MATCH(T$6,'Restaurant Base (Hidden)'!$A$1:$Z$1,0)),"")</f>
        <v>67.099999999999994</v>
      </c>
      <c r="U376" s="1">
        <f>+IFERROR(INDEX('Restaurant Base (Hidden)'!$A$2:$Z$1048576,MATCH($C376,'Restaurant Base (Hidden)'!$C$2:$C$1048576,0),MATCH(U$6,'Restaurant Base (Hidden)'!$A$1:$Z$1,0)),"")</f>
        <v>4</v>
      </c>
      <c r="V376" s="2" t="str">
        <f>+IFERROR(INDEX('Restaurant Base (Hidden)'!$A$2:$Z$1048576,MATCH($C376,'Restaurant Base (Hidden)'!$C$2:$C$1048576,0),MATCH(V$6,'Restaurant Base (Hidden)'!$A$1:$Z$1,0)),"")</f>
        <v/>
      </c>
      <c r="W376" s="65" t="str">
        <f>+IFERROR(INDEX('Restaurant Base (Hidden)'!$A$2:$Z$1048576,MATCH($C376,'Restaurant Base (Hidden)'!$C$2:$C$1048576,0),MATCH(W$6,'Restaurant Base (Hidden)'!$A$1:$Z$1,0)),"")</f>
        <v>67,00 %</v>
      </c>
      <c r="X376" s="1">
        <f>+IFERROR(INDEX('Restaurant Base (Hidden)'!$A$2:$Z$1048576,MATCH($C376,'Restaurant Base (Hidden)'!$C$2:$C$1048576,0),MATCH(X$6,'Restaurant Base (Hidden)'!$A$1:$Z$1,0)),"")</f>
        <v>2</v>
      </c>
      <c r="Y376" s="65" t="str">
        <f>+IFERROR(INDEX('Restaurant Base (Hidden)'!$A$2:$Z$1048576,MATCH($C376,'Restaurant Base (Hidden)'!$C$2:$C$1048576,0),MATCH(Y$6,'Restaurant Base (Hidden)'!$A$1:$Z$1,0)),"")</f>
        <v>82,30 %</v>
      </c>
      <c r="Z376" s="106">
        <f>+IFERROR(INDEX('Restaurant Base (Hidden)'!$A$2:$Z$1048576,MATCH($C376,'Restaurant Base (Hidden)'!$C$2:$C$1048576,0),MATCH(Z$6,'Restaurant Base (Hidden)'!$A$1:$Z$1,0)),"")</f>
        <v>3</v>
      </c>
      <c r="AA376" s="65" t="str">
        <f>+IFERROR(INDEX('Restaurant Base (Hidden)'!$A$2:$Z$1048576,MATCH($C376,'Restaurant Base (Hidden)'!$C$2:$C$1048576,0),MATCH(AA$6,'Restaurant Base (Hidden)'!$A$1:$Z$1,0)),"")</f>
        <v>67,80 %</v>
      </c>
      <c r="AB376" s="1">
        <f>+IFERROR(INDEX('Restaurant Base (Hidden)'!$A$2:$Z$1048576,MATCH($C376,'Restaurant Base (Hidden)'!$C$2:$C$1048576,0),MATCH(AB$6,'Restaurant Base (Hidden)'!$A$1:$Z$1,0)),"")</f>
        <v>2</v>
      </c>
      <c r="AC376" s="20" t="str">
        <f>+IFERROR(INDEX('Restaurant Base (Hidden)'!$A$2:$Z$1048576,MATCH($C376,'Restaurant Base (Hidden)'!$C$2:$C$1048576,0),MATCH(AC$6,'Restaurant Base (Hidden)'!$A$1:$Z$1,0)),"")</f>
        <v/>
      </c>
      <c r="AD376" s="65" t="str">
        <f>+IFERROR(INDEX('Restaurant Base (Hidden)'!$A$2:$Z$1048576,MATCH($C376,'Restaurant Base (Hidden)'!$C$2:$C$1048576,0),MATCH(AD$6,'Restaurant Base (Hidden)'!$A$1:$Z$1,0)),"")</f>
        <v>67,80 %</v>
      </c>
      <c r="AE376" s="1">
        <f>+IFERROR(INDEX('Restaurant Base (Hidden)'!$A$2:$Z$1048576,MATCH($C376,'Restaurant Base (Hidden)'!$C$2:$C$1048576,0),MATCH(AE$6,'Restaurant Base (Hidden)'!$A$1:$Z$1,0)),"")</f>
        <v>1</v>
      </c>
      <c r="AF376" s="65" t="str">
        <f>+IFERROR(INDEX('Restaurant Base (Hidden)'!$A$2:$Z$1048576,MATCH($C376,'Restaurant Base (Hidden)'!$C$2:$C$1048576,0),MATCH(AF$6,'Restaurant Base (Hidden)'!$A$1:$Z$1,0)),"")</f>
        <v>57,70 %</v>
      </c>
      <c r="AG376" s="1">
        <f>+IFERROR(INDEX('Restaurant Base (Hidden)'!$A$2:$Z$1048576,MATCH($C376,'Restaurant Base (Hidden)'!$C$2:$C$1048576,0),MATCH(AG$6,'Restaurant Base (Hidden)'!$A$1:$Z$1,0)),"")</f>
        <v>1</v>
      </c>
    </row>
    <row r="377" spans="1:33" ht="16" customHeight="1" x14ac:dyDescent="0.4">
      <c r="A377" s="163" t="str">
        <f>IF('Restaurant Base (Hidden)'!A369=0,"", 'Restaurant Base (Hidden)'!A369)</f>
        <v>Skyler Everhart</v>
      </c>
      <c r="B377" s="163" t="str">
        <f>IF('Restaurant Base (Hidden)'!B369=0,"", 'Restaurant Base (Hidden)'!B369)</f>
        <v>Rivermark Food Group</v>
      </c>
      <c r="C377" s="163" t="str">
        <f>IF('Restaurant Base (Hidden)'!C369=0,"", 'Restaurant Base (Hidden)'!C369)</f>
        <v>Elm Harbor</v>
      </c>
      <c r="D377" s="104">
        <f t="shared" si="5"/>
        <v>370</v>
      </c>
      <c r="E377" s="105">
        <f>+IFERROR(INDEX('Restaurant Base (Hidden)'!$A$2:$Z$1048576,MATCH($C377,'Restaurant Base (Hidden)'!$C$2:$C$1048576,0),MATCH(E$6,'Restaurant Base (Hidden)'!$A$1:$Z$1,0)),"")</f>
        <v>2.34</v>
      </c>
      <c r="F377" s="2" t="str">
        <f>+IFERROR(INDEX('Restaurant Base (Hidden)'!$A$2:$Z$1048576,MATCH($C377,'Restaurant Base (Hidden)'!$C$2:$C$1048576,0),MATCH(F$6,'Restaurant Base (Hidden)'!$A$1:$Z$1,0)),"")</f>
        <v/>
      </c>
      <c r="G377" s="20" t="str">
        <f>+IFERROR(INDEX('Restaurant Base (Hidden)'!$A$2:$Z$1048576,MATCH($C377,'Restaurant Base (Hidden)'!$C$2:$C$1048576,0),MATCH(G$6,'Restaurant Base (Hidden)'!$A$1:$Z$1,0)),"")</f>
        <v>4,101</v>
      </c>
      <c r="H377" s="50">
        <f>+IFERROR(INDEX('Restaurant Base (Hidden)'!$A$2:$Z$1048576,MATCH($C377,'Restaurant Base (Hidden)'!$C$2:$C$1048576,0),MATCH(H$6,'Restaurant Base (Hidden)'!$A$1:$Z$1,0)),"")</f>
        <v>2</v>
      </c>
      <c r="I377" s="20" t="str">
        <f>+IFERROR(INDEX('Restaurant Base (Hidden)'!$A$2:$Z$1048576,MATCH($C377,'Restaurant Base (Hidden)'!$C$2:$C$1048576,0),MATCH(I$6,'Restaurant Base (Hidden)'!$A$1:$Z$1,0)),"")</f>
        <v>65,90 %</v>
      </c>
      <c r="J377" s="49">
        <f>+IFERROR(INDEX('Restaurant Base (Hidden)'!$A$2:$Z$1048576,MATCH($C377,'Restaurant Base (Hidden)'!$C$2:$C$1048576,0),MATCH(J$6,'Restaurant Base (Hidden)'!$A$1:$Z$1,0)),"")</f>
        <v>1</v>
      </c>
      <c r="K377" s="20" t="str">
        <f>+IFERROR(INDEX('Restaurant Base (Hidden)'!$A$2:$Z$1048576,MATCH($C377,'Restaurant Base (Hidden)'!$C$2:$C$1048576,0),MATCH(K$6,'Restaurant Base (Hidden)'!$A$1:$Z$1,0)),"")</f>
        <v>0,150</v>
      </c>
      <c r="L377" s="51">
        <f>+IFERROR(INDEX('Restaurant Base (Hidden)'!$A$2:$Z$1048576,MATCH($C377,'Restaurant Base (Hidden)'!$C$2:$C$1048576,0),MATCH(L$6,'Restaurant Base (Hidden)'!$A$1:$Z$1,0)),"")</f>
        <v>2</v>
      </c>
      <c r="M377" s="2" t="str">
        <f>+IFERROR(INDEX('Restaurant Base (Hidden)'!$A$2:$Z$1048576,MATCH($C377,'Restaurant Base (Hidden)'!$C$2:$C$1048576,0),MATCH(M$6,'Restaurant Base (Hidden)'!$A$1:$Z$1,0)),"")</f>
        <v/>
      </c>
      <c r="N377" s="234" t="str">
        <f>+IFERROR(INDEX('Restaurant Base (Hidden)'!$A$2:$Z$1048576,MATCH($C377,'Restaurant Base (Hidden)'!$C$2:$C$1048576,0),MATCH(N$6,'Restaurant Base (Hidden)'!$A$1:$Z$1,0)),"")</f>
        <v>58,20 %</v>
      </c>
      <c r="O377" s="1">
        <f>+IFERROR(INDEX('Restaurant Base (Hidden)'!$A$2:$Z$1048576,MATCH($C377,'Restaurant Base (Hidden)'!$C$2:$C$1048576,0),MATCH(O$6,'Restaurant Base (Hidden)'!$A$1:$Z$1,0)),"")</f>
        <v>1</v>
      </c>
      <c r="P377" s="2" t="str">
        <f>+IFERROR(INDEX('Restaurant Base (Hidden)'!$A$2:$Z$1048576,MATCH($C377,'Restaurant Base (Hidden)'!$C$2:$C$1048576,0),MATCH(P$6,'Restaurant Base (Hidden)'!$A$1:$Z$1,0)),"")</f>
        <v/>
      </c>
      <c r="Q377" s="234" t="str">
        <f>+IFERROR(INDEX('Restaurant Base (Hidden)'!$A$2:$Z$1048576,MATCH($C377,'Restaurant Base (Hidden)'!$C$2:$C$1048576,0),MATCH(Q$6,'Restaurant Base (Hidden)'!$A$1:$Z$1,0)),"")</f>
        <v>74,20 %</v>
      </c>
      <c r="R377" s="1">
        <f>+IFERROR(INDEX('Restaurant Base (Hidden)'!$A$2:$Z$1048576,MATCH($C377,'Restaurant Base (Hidden)'!$C$2:$C$1048576,0),MATCH(R$6,'Restaurant Base (Hidden)'!$A$1:$Z$1,0)),"")</f>
        <v>5</v>
      </c>
      <c r="S377" s="2" t="str">
        <f>+IFERROR(INDEX('Restaurant Base (Hidden)'!$A$2:$Z$1048576,MATCH($C377,'Restaurant Base (Hidden)'!$C$2:$C$1048576,0),MATCH(S$6,'Restaurant Base (Hidden)'!$A$1:$Z$1,0)),"")</f>
        <v/>
      </c>
      <c r="T377" s="62">
        <f>+IFERROR(INDEX('Restaurant Base (Hidden)'!$A$2:$Z$1048576,MATCH($C377,'Restaurant Base (Hidden)'!$C$2:$C$1048576,0),MATCH(T$6,'Restaurant Base (Hidden)'!$A$1:$Z$1,0)),"")</f>
        <v>74.599999999999994</v>
      </c>
      <c r="U377" s="1">
        <f>+IFERROR(INDEX('Restaurant Base (Hidden)'!$A$2:$Z$1048576,MATCH($C377,'Restaurant Base (Hidden)'!$C$2:$C$1048576,0),MATCH(U$6,'Restaurant Base (Hidden)'!$A$1:$Z$1,0)),"")</f>
        <v>5</v>
      </c>
      <c r="V377" s="2" t="str">
        <f>+IFERROR(INDEX('Restaurant Base (Hidden)'!$A$2:$Z$1048576,MATCH($C377,'Restaurant Base (Hidden)'!$C$2:$C$1048576,0),MATCH(V$6,'Restaurant Base (Hidden)'!$A$1:$Z$1,0)),"")</f>
        <v/>
      </c>
      <c r="W377" s="65" t="str">
        <f>+IFERROR(INDEX('Restaurant Base (Hidden)'!$A$2:$Z$1048576,MATCH($C377,'Restaurant Base (Hidden)'!$C$2:$C$1048576,0),MATCH(W$6,'Restaurant Base (Hidden)'!$A$1:$Z$1,0)),"")</f>
        <v>95,10 %</v>
      </c>
      <c r="X377" s="1">
        <f>+IFERROR(INDEX('Restaurant Base (Hidden)'!$A$2:$Z$1048576,MATCH($C377,'Restaurant Base (Hidden)'!$C$2:$C$1048576,0),MATCH(X$6,'Restaurant Base (Hidden)'!$A$1:$Z$1,0)),"")</f>
        <v>4</v>
      </c>
      <c r="Y377" s="65" t="str">
        <f>+IFERROR(INDEX('Restaurant Base (Hidden)'!$A$2:$Z$1048576,MATCH($C377,'Restaurant Base (Hidden)'!$C$2:$C$1048576,0),MATCH(Y$6,'Restaurant Base (Hidden)'!$A$1:$Z$1,0)),"")</f>
        <v>68,00 %</v>
      </c>
      <c r="Z377" s="106">
        <f>+IFERROR(INDEX('Restaurant Base (Hidden)'!$A$2:$Z$1048576,MATCH($C377,'Restaurant Base (Hidden)'!$C$2:$C$1048576,0),MATCH(Z$6,'Restaurant Base (Hidden)'!$A$1:$Z$1,0)),"")</f>
        <v>2</v>
      </c>
      <c r="AA377" s="65" t="str">
        <f>+IFERROR(INDEX('Restaurant Base (Hidden)'!$A$2:$Z$1048576,MATCH($C377,'Restaurant Base (Hidden)'!$C$2:$C$1048576,0),MATCH(AA$6,'Restaurant Base (Hidden)'!$A$1:$Z$1,0)),"")</f>
        <v>57,30 %</v>
      </c>
      <c r="AB377" s="1">
        <f>+IFERROR(INDEX('Restaurant Base (Hidden)'!$A$2:$Z$1048576,MATCH($C377,'Restaurant Base (Hidden)'!$C$2:$C$1048576,0),MATCH(AB$6,'Restaurant Base (Hidden)'!$A$1:$Z$1,0)),"")</f>
        <v>1</v>
      </c>
      <c r="AC377" s="20" t="str">
        <f>+IFERROR(INDEX('Restaurant Base (Hidden)'!$A$2:$Z$1048576,MATCH($C377,'Restaurant Base (Hidden)'!$C$2:$C$1048576,0),MATCH(AC$6,'Restaurant Base (Hidden)'!$A$1:$Z$1,0)),"")</f>
        <v/>
      </c>
      <c r="AD377" s="65" t="str">
        <f>+IFERROR(INDEX('Restaurant Base (Hidden)'!$A$2:$Z$1048576,MATCH($C377,'Restaurant Base (Hidden)'!$C$2:$C$1048576,0),MATCH(AD$6,'Restaurant Base (Hidden)'!$A$1:$Z$1,0)),"")</f>
        <v>62,20 %</v>
      </c>
      <c r="AE377" s="1">
        <f>+IFERROR(INDEX('Restaurant Base (Hidden)'!$A$2:$Z$1048576,MATCH($C377,'Restaurant Base (Hidden)'!$C$2:$C$1048576,0),MATCH(AE$6,'Restaurant Base (Hidden)'!$A$1:$Z$1,0)),"")</f>
        <v>1</v>
      </c>
      <c r="AF377" s="65" t="str">
        <f>+IFERROR(INDEX('Restaurant Base (Hidden)'!$A$2:$Z$1048576,MATCH($C377,'Restaurant Base (Hidden)'!$C$2:$C$1048576,0),MATCH(AF$6,'Restaurant Base (Hidden)'!$A$1:$Z$1,0)),"")</f>
        <v>69,30 %</v>
      </c>
      <c r="AG377" s="1">
        <f>+IFERROR(INDEX('Restaurant Base (Hidden)'!$A$2:$Z$1048576,MATCH($C377,'Restaurant Base (Hidden)'!$C$2:$C$1048576,0),MATCH(AG$6,'Restaurant Base (Hidden)'!$A$1:$Z$1,0)),"")</f>
        <v>1</v>
      </c>
    </row>
    <row r="378" spans="1:33" ht="16" customHeight="1" x14ac:dyDescent="0.4">
      <c r="A378" s="163" t="str">
        <f>IF('Restaurant Base (Hidden)'!A303=0,"", 'Restaurant Base (Hidden)'!A303)</f>
        <v>Kendall Prescott</v>
      </c>
      <c r="B378" s="163" t="str">
        <f>IF('Restaurant Base (Hidden)'!B303=0,"", 'Restaurant Base (Hidden)'!B303)</f>
        <v>Goldenridge Hospitality</v>
      </c>
      <c r="C378" s="163" t="str">
        <f>IF('Restaurant Base (Hidden)'!C303=0,"", 'Restaurant Base (Hidden)'!C303)</f>
        <v>Fairview Landing</v>
      </c>
      <c r="D378" s="104">
        <f t="shared" si="5"/>
        <v>372</v>
      </c>
      <c r="E378" s="105">
        <f>+IFERROR(INDEX('Restaurant Base (Hidden)'!$A$2:$Z$1048576,MATCH($C378,'Restaurant Base (Hidden)'!$C$2:$C$1048576,0),MATCH(E$6,'Restaurant Base (Hidden)'!$A$1:$Z$1,0)),"")</f>
        <v>2.3199999999999998</v>
      </c>
      <c r="F378" s="2" t="str">
        <f>+IFERROR(INDEX('Restaurant Base (Hidden)'!$A$2:$Z$1048576,MATCH($C378,'Restaurant Base (Hidden)'!$C$2:$C$1048576,0),MATCH(F$6,'Restaurant Base (Hidden)'!$A$1:$Z$1,0)),"")</f>
        <v/>
      </c>
      <c r="G378" s="20" t="str">
        <f>+IFERROR(INDEX('Restaurant Base (Hidden)'!$A$2:$Z$1048576,MATCH($C378,'Restaurant Base (Hidden)'!$C$2:$C$1048576,0),MATCH(G$6,'Restaurant Base (Hidden)'!$A$1:$Z$1,0)),"")</f>
        <v>4,136</v>
      </c>
      <c r="H378" s="50">
        <f>+IFERROR(INDEX('Restaurant Base (Hidden)'!$A$2:$Z$1048576,MATCH($C378,'Restaurant Base (Hidden)'!$C$2:$C$1048576,0),MATCH(H$6,'Restaurant Base (Hidden)'!$A$1:$Z$1,0)),"")</f>
        <v>2</v>
      </c>
      <c r="I378" s="20" t="str">
        <f>+IFERROR(INDEX('Restaurant Base (Hidden)'!$A$2:$Z$1048576,MATCH($C378,'Restaurant Base (Hidden)'!$C$2:$C$1048576,0),MATCH(I$6,'Restaurant Base (Hidden)'!$A$1:$Z$1,0)),"")</f>
        <v>62,10 %</v>
      </c>
      <c r="J378" s="49">
        <f>+IFERROR(INDEX('Restaurant Base (Hidden)'!$A$2:$Z$1048576,MATCH($C378,'Restaurant Base (Hidden)'!$C$2:$C$1048576,0),MATCH(J$6,'Restaurant Base (Hidden)'!$A$1:$Z$1,0)),"")</f>
        <v>1</v>
      </c>
      <c r="K378" s="20" t="str">
        <f>+IFERROR(INDEX('Restaurant Base (Hidden)'!$A$2:$Z$1048576,MATCH($C378,'Restaurant Base (Hidden)'!$C$2:$C$1048576,0),MATCH(K$6,'Restaurant Base (Hidden)'!$A$1:$Z$1,0)),"")</f>
        <v>0,169</v>
      </c>
      <c r="L378" s="51">
        <f>+IFERROR(INDEX('Restaurant Base (Hidden)'!$A$2:$Z$1048576,MATCH($C378,'Restaurant Base (Hidden)'!$C$2:$C$1048576,0),MATCH(L$6,'Restaurant Base (Hidden)'!$A$1:$Z$1,0)),"")</f>
        <v>2</v>
      </c>
      <c r="M378" s="2" t="str">
        <f>+IFERROR(INDEX('Restaurant Base (Hidden)'!$A$2:$Z$1048576,MATCH($C378,'Restaurant Base (Hidden)'!$C$2:$C$1048576,0),MATCH(M$6,'Restaurant Base (Hidden)'!$A$1:$Z$1,0)),"")</f>
        <v/>
      </c>
      <c r="N378" s="234" t="str">
        <f>+IFERROR(INDEX('Restaurant Base (Hidden)'!$A$2:$Z$1048576,MATCH($C378,'Restaurant Base (Hidden)'!$C$2:$C$1048576,0),MATCH(N$6,'Restaurant Base (Hidden)'!$A$1:$Z$1,0)),"")</f>
        <v>73,00 %</v>
      </c>
      <c r="O378" s="1">
        <f>+IFERROR(INDEX('Restaurant Base (Hidden)'!$A$2:$Z$1048576,MATCH($C378,'Restaurant Base (Hidden)'!$C$2:$C$1048576,0),MATCH(O$6,'Restaurant Base (Hidden)'!$A$1:$Z$1,0)),"")</f>
        <v>5</v>
      </c>
      <c r="P378" s="2" t="str">
        <f>+IFERROR(INDEX('Restaurant Base (Hidden)'!$A$2:$Z$1048576,MATCH($C378,'Restaurant Base (Hidden)'!$C$2:$C$1048576,0),MATCH(P$6,'Restaurant Base (Hidden)'!$A$1:$Z$1,0)),"")</f>
        <v/>
      </c>
      <c r="Q378" s="234" t="str">
        <f>+IFERROR(INDEX('Restaurant Base (Hidden)'!$A$2:$Z$1048576,MATCH($C378,'Restaurant Base (Hidden)'!$C$2:$C$1048576,0),MATCH(Q$6,'Restaurant Base (Hidden)'!$A$1:$Z$1,0)),"")</f>
        <v>62,40 %</v>
      </c>
      <c r="R378" s="1">
        <f>+IFERROR(INDEX('Restaurant Base (Hidden)'!$A$2:$Z$1048576,MATCH($C378,'Restaurant Base (Hidden)'!$C$2:$C$1048576,0),MATCH(R$6,'Restaurant Base (Hidden)'!$A$1:$Z$1,0)),"")</f>
        <v>2</v>
      </c>
      <c r="S378" s="2" t="str">
        <f>+IFERROR(INDEX('Restaurant Base (Hidden)'!$A$2:$Z$1048576,MATCH($C378,'Restaurant Base (Hidden)'!$C$2:$C$1048576,0),MATCH(S$6,'Restaurant Base (Hidden)'!$A$1:$Z$1,0)),"")</f>
        <v/>
      </c>
      <c r="T378" s="62">
        <f>+IFERROR(INDEX('Restaurant Base (Hidden)'!$A$2:$Z$1048576,MATCH($C378,'Restaurant Base (Hidden)'!$C$2:$C$1048576,0),MATCH(T$6,'Restaurant Base (Hidden)'!$A$1:$Z$1,0)),"")</f>
        <v>63.2</v>
      </c>
      <c r="U378" s="1">
        <f>+IFERROR(INDEX('Restaurant Base (Hidden)'!$A$2:$Z$1048576,MATCH($C378,'Restaurant Base (Hidden)'!$C$2:$C$1048576,0),MATCH(U$6,'Restaurant Base (Hidden)'!$A$1:$Z$1,0)),"")</f>
        <v>3</v>
      </c>
      <c r="V378" s="2" t="str">
        <f>+IFERROR(INDEX('Restaurant Base (Hidden)'!$A$2:$Z$1048576,MATCH($C378,'Restaurant Base (Hidden)'!$C$2:$C$1048576,0),MATCH(V$6,'Restaurant Base (Hidden)'!$A$1:$Z$1,0)),"")</f>
        <v/>
      </c>
      <c r="W378" s="65" t="str">
        <f>+IFERROR(INDEX('Restaurant Base (Hidden)'!$A$2:$Z$1048576,MATCH($C378,'Restaurant Base (Hidden)'!$C$2:$C$1048576,0),MATCH(W$6,'Restaurant Base (Hidden)'!$A$1:$Z$1,0)),"")</f>
        <v>77,20 %</v>
      </c>
      <c r="X378" s="1">
        <f>+IFERROR(INDEX('Restaurant Base (Hidden)'!$A$2:$Z$1048576,MATCH($C378,'Restaurant Base (Hidden)'!$C$2:$C$1048576,0),MATCH(X$6,'Restaurant Base (Hidden)'!$A$1:$Z$1,0)),"")</f>
        <v>2</v>
      </c>
      <c r="Y378" s="65" t="str">
        <f>+IFERROR(INDEX('Restaurant Base (Hidden)'!$A$2:$Z$1048576,MATCH($C378,'Restaurant Base (Hidden)'!$C$2:$C$1048576,0),MATCH(Y$6,'Restaurant Base (Hidden)'!$A$1:$Z$1,0)),"")</f>
        <v>56,40 %</v>
      </c>
      <c r="Z378" s="106">
        <f>+IFERROR(INDEX('Restaurant Base (Hidden)'!$A$2:$Z$1048576,MATCH($C378,'Restaurant Base (Hidden)'!$C$2:$C$1048576,0),MATCH(Z$6,'Restaurant Base (Hidden)'!$A$1:$Z$1,0)),"")</f>
        <v>1</v>
      </c>
      <c r="AA378" s="65" t="str">
        <f>+IFERROR(INDEX('Restaurant Base (Hidden)'!$A$2:$Z$1048576,MATCH($C378,'Restaurant Base (Hidden)'!$C$2:$C$1048576,0),MATCH(AA$6,'Restaurant Base (Hidden)'!$A$1:$Z$1,0)),"")</f>
        <v>90,20 %</v>
      </c>
      <c r="AB378" s="1">
        <f>+IFERROR(INDEX('Restaurant Base (Hidden)'!$A$2:$Z$1048576,MATCH($C378,'Restaurant Base (Hidden)'!$C$2:$C$1048576,0),MATCH(AB$6,'Restaurant Base (Hidden)'!$A$1:$Z$1,0)),"")</f>
        <v>3</v>
      </c>
      <c r="AC378" s="20" t="str">
        <f>+IFERROR(INDEX('Restaurant Base (Hidden)'!$A$2:$Z$1048576,MATCH($C378,'Restaurant Base (Hidden)'!$C$2:$C$1048576,0),MATCH(AC$6,'Restaurant Base (Hidden)'!$A$1:$Z$1,0)),"")</f>
        <v/>
      </c>
      <c r="AD378" s="65" t="str">
        <f>+IFERROR(INDEX('Restaurant Base (Hidden)'!$A$2:$Z$1048576,MATCH($C378,'Restaurant Base (Hidden)'!$C$2:$C$1048576,0),MATCH(AD$6,'Restaurant Base (Hidden)'!$A$1:$Z$1,0)),"")</f>
        <v>77,50 %</v>
      </c>
      <c r="AE378" s="1">
        <f>+IFERROR(INDEX('Restaurant Base (Hidden)'!$A$2:$Z$1048576,MATCH($C378,'Restaurant Base (Hidden)'!$C$2:$C$1048576,0),MATCH(AE$6,'Restaurant Base (Hidden)'!$A$1:$Z$1,0)),"")</f>
        <v>2</v>
      </c>
      <c r="AF378" s="65" t="str">
        <f>+IFERROR(INDEX('Restaurant Base (Hidden)'!$A$2:$Z$1048576,MATCH($C378,'Restaurant Base (Hidden)'!$C$2:$C$1048576,0),MATCH(AF$6,'Restaurant Base (Hidden)'!$A$1:$Z$1,0)),"")</f>
        <v>59,60 %</v>
      </c>
      <c r="AG378" s="1">
        <f>+IFERROR(INDEX('Restaurant Base (Hidden)'!$A$2:$Z$1048576,MATCH($C378,'Restaurant Base (Hidden)'!$C$2:$C$1048576,0),MATCH(AG$6,'Restaurant Base (Hidden)'!$A$1:$Z$1,0)),"")</f>
        <v>1</v>
      </c>
    </row>
    <row r="379" spans="1:33" ht="16" customHeight="1" x14ac:dyDescent="0.4">
      <c r="A379" s="163" t="str">
        <f>IF('Restaurant Base (Hidden)'!A157=0,"", 'Restaurant Base (Hidden)'!A157)</f>
        <v>Jordan Oakley</v>
      </c>
      <c r="B379" s="163" t="str">
        <f>IF('Restaurant Base (Hidden)'!B157=0,"", 'Restaurant Base (Hidden)'!B157)</f>
        <v>Riverstone Food Partners</v>
      </c>
      <c r="C379" s="163" t="str">
        <f>IF('Restaurant Base (Hidden)'!C157=0,"", 'Restaurant Base (Hidden)'!C157)</f>
        <v>Copper Square</v>
      </c>
      <c r="D379" s="104">
        <f t="shared" si="5"/>
        <v>373</v>
      </c>
      <c r="E379" s="105">
        <f>+IFERROR(INDEX('Restaurant Base (Hidden)'!$A$2:$Z$1048576,MATCH($C379,'Restaurant Base (Hidden)'!$C$2:$C$1048576,0),MATCH(E$6,'Restaurant Base (Hidden)'!$A$1:$Z$1,0)),"")</f>
        <v>2.31</v>
      </c>
      <c r="F379" s="2" t="str">
        <f>+IFERROR(INDEX('Restaurant Base (Hidden)'!$A$2:$Z$1048576,MATCH($C379,'Restaurant Base (Hidden)'!$C$2:$C$1048576,0),MATCH(F$6,'Restaurant Base (Hidden)'!$A$1:$Z$1,0)),"")</f>
        <v/>
      </c>
      <c r="G379" s="20" t="str">
        <f>+IFERROR(INDEX('Restaurant Base (Hidden)'!$A$2:$Z$1048576,MATCH($C379,'Restaurant Base (Hidden)'!$C$2:$C$1048576,0),MATCH(G$6,'Restaurant Base (Hidden)'!$A$1:$Z$1,0)),"")</f>
        <v>4,503</v>
      </c>
      <c r="H379" s="50">
        <f>+IFERROR(INDEX('Restaurant Base (Hidden)'!$A$2:$Z$1048576,MATCH($C379,'Restaurant Base (Hidden)'!$C$2:$C$1048576,0),MATCH(H$6,'Restaurant Base (Hidden)'!$A$1:$Z$1,0)),"")</f>
        <v>5</v>
      </c>
      <c r="I379" s="20" t="str">
        <f>+IFERROR(INDEX('Restaurant Base (Hidden)'!$A$2:$Z$1048576,MATCH($C379,'Restaurant Base (Hidden)'!$C$2:$C$1048576,0),MATCH(I$6,'Restaurant Base (Hidden)'!$A$1:$Z$1,0)),"")</f>
        <v>68,70 %</v>
      </c>
      <c r="J379" s="49">
        <f>+IFERROR(INDEX('Restaurant Base (Hidden)'!$A$2:$Z$1048576,MATCH($C379,'Restaurant Base (Hidden)'!$C$2:$C$1048576,0),MATCH(J$6,'Restaurant Base (Hidden)'!$A$1:$Z$1,0)),"")</f>
        <v>1</v>
      </c>
      <c r="K379" s="20" t="str">
        <f>+IFERROR(INDEX('Restaurant Base (Hidden)'!$A$2:$Z$1048576,MATCH($C379,'Restaurant Base (Hidden)'!$C$2:$C$1048576,0),MATCH(K$6,'Restaurant Base (Hidden)'!$A$1:$Z$1,0)),"")</f>
        <v>0,157</v>
      </c>
      <c r="L379" s="51">
        <f>+IFERROR(INDEX('Restaurant Base (Hidden)'!$A$2:$Z$1048576,MATCH($C379,'Restaurant Base (Hidden)'!$C$2:$C$1048576,0),MATCH(L$6,'Restaurant Base (Hidden)'!$A$1:$Z$1,0)),"")</f>
        <v>2</v>
      </c>
      <c r="M379" s="2" t="str">
        <f>+IFERROR(INDEX('Restaurant Base (Hidden)'!$A$2:$Z$1048576,MATCH($C379,'Restaurant Base (Hidden)'!$C$2:$C$1048576,0),MATCH(M$6,'Restaurant Base (Hidden)'!$A$1:$Z$1,0)),"")</f>
        <v/>
      </c>
      <c r="N379" s="234" t="str">
        <f>+IFERROR(INDEX('Restaurant Base (Hidden)'!$A$2:$Z$1048576,MATCH($C379,'Restaurant Base (Hidden)'!$C$2:$C$1048576,0),MATCH(N$6,'Restaurant Base (Hidden)'!$A$1:$Z$1,0)),"")</f>
        <v>55,10 %</v>
      </c>
      <c r="O379" s="1">
        <f>+IFERROR(INDEX('Restaurant Base (Hidden)'!$A$2:$Z$1048576,MATCH($C379,'Restaurant Base (Hidden)'!$C$2:$C$1048576,0),MATCH(O$6,'Restaurant Base (Hidden)'!$A$1:$Z$1,0)),"")</f>
        <v>1</v>
      </c>
      <c r="P379" s="2" t="str">
        <f>+IFERROR(INDEX('Restaurant Base (Hidden)'!$A$2:$Z$1048576,MATCH($C379,'Restaurant Base (Hidden)'!$C$2:$C$1048576,0),MATCH(P$6,'Restaurant Base (Hidden)'!$A$1:$Z$1,0)),"")</f>
        <v/>
      </c>
      <c r="Q379" s="234" t="str">
        <f>+IFERROR(INDEX('Restaurant Base (Hidden)'!$A$2:$Z$1048576,MATCH($C379,'Restaurant Base (Hidden)'!$C$2:$C$1048576,0),MATCH(Q$6,'Restaurant Base (Hidden)'!$A$1:$Z$1,0)),"")</f>
        <v>66,50 %</v>
      </c>
      <c r="R379" s="1">
        <f>+IFERROR(INDEX('Restaurant Base (Hidden)'!$A$2:$Z$1048576,MATCH($C379,'Restaurant Base (Hidden)'!$C$2:$C$1048576,0),MATCH(R$6,'Restaurant Base (Hidden)'!$A$1:$Z$1,0)),"")</f>
        <v>3</v>
      </c>
      <c r="S379" s="2" t="str">
        <f>+IFERROR(INDEX('Restaurant Base (Hidden)'!$A$2:$Z$1048576,MATCH($C379,'Restaurant Base (Hidden)'!$C$2:$C$1048576,0),MATCH(S$6,'Restaurant Base (Hidden)'!$A$1:$Z$1,0)),"")</f>
        <v/>
      </c>
      <c r="T379" s="62">
        <f>+IFERROR(INDEX('Restaurant Base (Hidden)'!$A$2:$Z$1048576,MATCH($C379,'Restaurant Base (Hidden)'!$C$2:$C$1048576,0),MATCH(T$6,'Restaurant Base (Hidden)'!$A$1:$Z$1,0)),"")</f>
        <v>77.599999999999994</v>
      </c>
      <c r="U379" s="1">
        <f>+IFERROR(INDEX('Restaurant Base (Hidden)'!$A$2:$Z$1048576,MATCH($C379,'Restaurant Base (Hidden)'!$C$2:$C$1048576,0),MATCH(U$6,'Restaurant Base (Hidden)'!$A$1:$Z$1,0)),"")</f>
        <v>5</v>
      </c>
      <c r="V379" s="2" t="str">
        <f>+IFERROR(INDEX('Restaurant Base (Hidden)'!$A$2:$Z$1048576,MATCH($C379,'Restaurant Base (Hidden)'!$C$2:$C$1048576,0),MATCH(V$6,'Restaurant Base (Hidden)'!$A$1:$Z$1,0)),"")</f>
        <v/>
      </c>
      <c r="W379" s="65" t="str">
        <f>+IFERROR(INDEX('Restaurant Base (Hidden)'!$A$2:$Z$1048576,MATCH($C379,'Restaurant Base (Hidden)'!$C$2:$C$1048576,0),MATCH(W$6,'Restaurant Base (Hidden)'!$A$1:$Z$1,0)),"")</f>
        <v>85,60 %</v>
      </c>
      <c r="X379" s="1">
        <f>+IFERROR(INDEX('Restaurant Base (Hidden)'!$A$2:$Z$1048576,MATCH($C379,'Restaurant Base (Hidden)'!$C$2:$C$1048576,0),MATCH(X$6,'Restaurant Base (Hidden)'!$A$1:$Z$1,0)),"")</f>
        <v>3</v>
      </c>
      <c r="Y379" s="65" t="str">
        <f>+IFERROR(INDEX('Restaurant Base (Hidden)'!$A$2:$Z$1048576,MATCH($C379,'Restaurant Base (Hidden)'!$C$2:$C$1048576,0),MATCH(Y$6,'Restaurant Base (Hidden)'!$A$1:$Z$1,0)),"")</f>
        <v>62,70 %</v>
      </c>
      <c r="Z379" s="106">
        <f>+IFERROR(INDEX('Restaurant Base (Hidden)'!$A$2:$Z$1048576,MATCH($C379,'Restaurant Base (Hidden)'!$C$2:$C$1048576,0),MATCH(Z$6,'Restaurant Base (Hidden)'!$A$1:$Z$1,0)),"")</f>
        <v>2</v>
      </c>
      <c r="AA379" s="65" t="str">
        <f>+IFERROR(INDEX('Restaurant Base (Hidden)'!$A$2:$Z$1048576,MATCH($C379,'Restaurant Base (Hidden)'!$C$2:$C$1048576,0),MATCH(AA$6,'Restaurant Base (Hidden)'!$A$1:$Z$1,0)),"")</f>
        <v>66,60 %</v>
      </c>
      <c r="AB379" s="1">
        <f>+IFERROR(INDEX('Restaurant Base (Hidden)'!$A$2:$Z$1048576,MATCH($C379,'Restaurant Base (Hidden)'!$C$2:$C$1048576,0),MATCH(AB$6,'Restaurant Base (Hidden)'!$A$1:$Z$1,0)),"")</f>
        <v>2</v>
      </c>
      <c r="AC379" s="20" t="str">
        <f>+IFERROR(INDEX('Restaurant Base (Hidden)'!$A$2:$Z$1048576,MATCH($C379,'Restaurant Base (Hidden)'!$C$2:$C$1048576,0),MATCH(AC$6,'Restaurant Base (Hidden)'!$A$1:$Z$1,0)),"")</f>
        <v/>
      </c>
      <c r="AD379" s="65" t="str">
        <f>+IFERROR(INDEX('Restaurant Base (Hidden)'!$A$2:$Z$1048576,MATCH($C379,'Restaurant Base (Hidden)'!$C$2:$C$1048576,0),MATCH(AD$6,'Restaurant Base (Hidden)'!$A$1:$Z$1,0)),"")</f>
        <v>70,50 %</v>
      </c>
      <c r="AE379" s="1">
        <f>+IFERROR(INDEX('Restaurant Base (Hidden)'!$A$2:$Z$1048576,MATCH($C379,'Restaurant Base (Hidden)'!$C$2:$C$1048576,0),MATCH(AE$6,'Restaurant Base (Hidden)'!$A$1:$Z$1,0)),"")</f>
        <v>1</v>
      </c>
      <c r="AF379" s="65" t="str">
        <f>+IFERROR(INDEX('Restaurant Base (Hidden)'!$A$2:$Z$1048576,MATCH($C379,'Restaurant Base (Hidden)'!$C$2:$C$1048576,0),MATCH(AF$6,'Restaurant Base (Hidden)'!$A$1:$Z$1,0)),"")</f>
        <v>58,10 %</v>
      </c>
      <c r="AG379" s="1">
        <f>+IFERROR(INDEX('Restaurant Base (Hidden)'!$A$2:$Z$1048576,MATCH($C379,'Restaurant Base (Hidden)'!$C$2:$C$1048576,0),MATCH(AG$6,'Restaurant Base (Hidden)'!$A$1:$Z$1,0)),"")</f>
        <v>1</v>
      </c>
    </row>
    <row r="380" spans="1:33" ht="16" customHeight="1" x14ac:dyDescent="0.4">
      <c r="A380" s="163" t="str">
        <f>IF('Restaurant Base (Hidden)'!A190=0,"", 'Restaurant Base (Hidden)'!A190)</f>
        <v>Parker Sterling</v>
      </c>
      <c r="B380" s="163" t="str">
        <f>IF('Restaurant Base (Hidden)'!B190=0,"", 'Restaurant Base (Hidden)'!B190)</f>
        <v>Northvale Restaurants</v>
      </c>
      <c r="C380" s="163" t="str">
        <f>IF('Restaurant Base (Hidden)'!C190=0,"", 'Restaurant Base (Hidden)'!C190)</f>
        <v>Oakridge Harbor</v>
      </c>
      <c r="D380" s="104">
        <f t="shared" si="5"/>
        <v>373</v>
      </c>
      <c r="E380" s="105">
        <f>+IFERROR(INDEX('Restaurant Base (Hidden)'!$A$2:$Z$1048576,MATCH($C380,'Restaurant Base (Hidden)'!$C$2:$C$1048576,0),MATCH(E$6,'Restaurant Base (Hidden)'!$A$1:$Z$1,0)),"")</f>
        <v>2.31</v>
      </c>
      <c r="F380" s="2" t="str">
        <f>+IFERROR(INDEX('Restaurant Base (Hidden)'!$A$2:$Z$1048576,MATCH($C380,'Restaurant Base (Hidden)'!$C$2:$C$1048576,0),MATCH(F$6,'Restaurant Base (Hidden)'!$A$1:$Z$1,0)),"")</f>
        <v/>
      </c>
      <c r="G380" s="20" t="str">
        <f>+IFERROR(INDEX('Restaurant Base (Hidden)'!$A$2:$Z$1048576,MATCH($C380,'Restaurant Base (Hidden)'!$C$2:$C$1048576,0),MATCH(G$6,'Restaurant Base (Hidden)'!$A$1:$Z$1,0)),"")</f>
        <v>4,673</v>
      </c>
      <c r="H380" s="50">
        <f>+IFERROR(INDEX('Restaurant Base (Hidden)'!$A$2:$Z$1048576,MATCH($C380,'Restaurant Base (Hidden)'!$C$2:$C$1048576,0),MATCH(H$6,'Restaurant Base (Hidden)'!$A$1:$Z$1,0)),"")</f>
        <v>5</v>
      </c>
      <c r="I380" s="20" t="str">
        <f>+IFERROR(INDEX('Restaurant Base (Hidden)'!$A$2:$Z$1048576,MATCH($C380,'Restaurant Base (Hidden)'!$C$2:$C$1048576,0),MATCH(I$6,'Restaurant Base (Hidden)'!$A$1:$Z$1,0)),"")</f>
        <v>68,40 %</v>
      </c>
      <c r="J380" s="49">
        <f>+IFERROR(INDEX('Restaurant Base (Hidden)'!$A$2:$Z$1048576,MATCH($C380,'Restaurant Base (Hidden)'!$C$2:$C$1048576,0),MATCH(J$6,'Restaurant Base (Hidden)'!$A$1:$Z$1,0)),"")</f>
        <v>1</v>
      </c>
      <c r="K380" s="20" t="str">
        <f>+IFERROR(INDEX('Restaurant Base (Hidden)'!$A$2:$Z$1048576,MATCH($C380,'Restaurant Base (Hidden)'!$C$2:$C$1048576,0),MATCH(K$6,'Restaurant Base (Hidden)'!$A$1:$Z$1,0)),"")</f>
        <v>0,090</v>
      </c>
      <c r="L380" s="51">
        <f>+IFERROR(INDEX('Restaurant Base (Hidden)'!$A$2:$Z$1048576,MATCH($C380,'Restaurant Base (Hidden)'!$C$2:$C$1048576,0),MATCH(L$6,'Restaurant Base (Hidden)'!$A$1:$Z$1,0)),"")</f>
        <v>4</v>
      </c>
      <c r="M380" s="2" t="str">
        <f>+IFERROR(INDEX('Restaurant Base (Hidden)'!$A$2:$Z$1048576,MATCH($C380,'Restaurant Base (Hidden)'!$C$2:$C$1048576,0),MATCH(M$6,'Restaurant Base (Hidden)'!$A$1:$Z$1,0)),"")</f>
        <v/>
      </c>
      <c r="N380" s="234" t="str">
        <f>+IFERROR(INDEX('Restaurant Base (Hidden)'!$A$2:$Z$1048576,MATCH($C380,'Restaurant Base (Hidden)'!$C$2:$C$1048576,0),MATCH(N$6,'Restaurant Base (Hidden)'!$A$1:$Z$1,0)),"")</f>
        <v>58,70 %</v>
      </c>
      <c r="O380" s="1">
        <f>+IFERROR(INDEX('Restaurant Base (Hidden)'!$A$2:$Z$1048576,MATCH($C380,'Restaurant Base (Hidden)'!$C$2:$C$1048576,0),MATCH(O$6,'Restaurant Base (Hidden)'!$A$1:$Z$1,0)),"")</f>
        <v>1</v>
      </c>
      <c r="P380" s="2" t="str">
        <f>+IFERROR(INDEX('Restaurant Base (Hidden)'!$A$2:$Z$1048576,MATCH($C380,'Restaurant Base (Hidden)'!$C$2:$C$1048576,0),MATCH(P$6,'Restaurant Base (Hidden)'!$A$1:$Z$1,0)),"")</f>
        <v/>
      </c>
      <c r="Q380" s="234" t="str">
        <f>+IFERROR(INDEX('Restaurant Base (Hidden)'!$A$2:$Z$1048576,MATCH($C380,'Restaurant Base (Hidden)'!$C$2:$C$1048576,0),MATCH(Q$6,'Restaurant Base (Hidden)'!$A$1:$Z$1,0)),"")</f>
        <v>96,20 %</v>
      </c>
      <c r="R380" s="1">
        <f>+IFERROR(INDEX('Restaurant Base (Hidden)'!$A$2:$Z$1048576,MATCH($C380,'Restaurant Base (Hidden)'!$C$2:$C$1048576,0),MATCH(R$6,'Restaurant Base (Hidden)'!$A$1:$Z$1,0)),"")</f>
        <v>5</v>
      </c>
      <c r="S380" s="2" t="str">
        <f>+IFERROR(INDEX('Restaurant Base (Hidden)'!$A$2:$Z$1048576,MATCH($C380,'Restaurant Base (Hidden)'!$C$2:$C$1048576,0),MATCH(S$6,'Restaurant Base (Hidden)'!$A$1:$Z$1,0)),"")</f>
        <v/>
      </c>
      <c r="T380" s="62">
        <f>+IFERROR(INDEX('Restaurant Base (Hidden)'!$A$2:$Z$1048576,MATCH($C380,'Restaurant Base (Hidden)'!$C$2:$C$1048576,0),MATCH(T$6,'Restaurant Base (Hidden)'!$A$1:$Z$1,0)),"")</f>
        <v>53.8</v>
      </c>
      <c r="U380" s="1">
        <f>+IFERROR(INDEX('Restaurant Base (Hidden)'!$A$2:$Z$1048576,MATCH($C380,'Restaurant Base (Hidden)'!$C$2:$C$1048576,0),MATCH(U$6,'Restaurant Base (Hidden)'!$A$1:$Z$1,0)),"")</f>
        <v>1</v>
      </c>
      <c r="V380" s="2" t="str">
        <f>+IFERROR(INDEX('Restaurant Base (Hidden)'!$A$2:$Z$1048576,MATCH($C380,'Restaurant Base (Hidden)'!$C$2:$C$1048576,0),MATCH(V$6,'Restaurant Base (Hidden)'!$A$1:$Z$1,0)),"")</f>
        <v/>
      </c>
      <c r="W380" s="65" t="str">
        <f>+IFERROR(INDEX('Restaurant Base (Hidden)'!$A$2:$Z$1048576,MATCH($C380,'Restaurant Base (Hidden)'!$C$2:$C$1048576,0),MATCH(W$6,'Restaurant Base (Hidden)'!$A$1:$Z$1,0)),"")</f>
        <v>56,70 %</v>
      </c>
      <c r="X380" s="1">
        <f>+IFERROR(INDEX('Restaurant Base (Hidden)'!$A$2:$Z$1048576,MATCH($C380,'Restaurant Base (Hidden)'!$C$2:$C$1048576,0),MATCH(X$6,'Restaurant Base (Hidden)'!$A$1:$Z$1,0)),"")</f>
        <v>1</v>
      </c>
      <c r="Y380" s="65" t="str">
        <f>+IFERROR(INDEX('Restaurant Base (Hidden)'!$A$2:$Z$1048576,MATCH($C380,'Restaurant Base (Hidden)'!$C$2:$C$1048576,0),MATCH(Y$6,'Restaurant Base (Hidden)'!$A$1:$Z$1,0)),"")</f>
        <v>57,80 %</v>
      </c>
      <c r="Z380" s="106">
        <f>+IFERROR(INDEX('Restaurant Base (Hidden)'!$A$2:$Z$1048576,MATCH($C380,'Restaurant Base (Hidden)'!$C$2:$C$1048576,0),MATCH(Z$6,'Restaurant Base (Hidden)'!$A$1:$Z$1,0)),"")</f>
        <v>1</v>
      </c>
      <c r="AA380" s="65" t="str">
        <f>+IFERROR(INDEX('Restaurant Base (Hidden)'!$A$2:$Z$1048576,MATCH($C380,'Restaurant Base (Hidden)'!$C$2:$C$1048576,0),MATCH(AA$6,'Restaurant Base (Hidden)'!$A$1:$Z$1,0)),"")</f>
        <v>79,10 %</v>
      </c>
      <c r="AB380" s="1">
        <f>+IFERROR(INDEX('Restaurant Base (Hidden)'!$A$2:$Z$1048576,MATCH($C380,'Restaurant Base (Hidden)'!$C$2:$C$1048576,0),MATCH(AB$6,'Restaurant Base (Hidden)'!$A$1:$Z$1,0)),"")</f>
        <v>2</v>
      </c>
      <c r="AC380" s="20" t="str">
        <f>+IFERROR(INDEX('Restaurant Base (Hidden)'!$A$2:$Z$1048576,MATCH($C380,'Restaurant Base (Hidden)'!$C$2:$C$1048576,0),MATCH(AC$6,'Restaurant Base (Hidden)'!$A$1:$Z$1,0)),"")</f>
        <v/>
      </c>
      <c r="AD380" s="65" t="str">
        <f>+IFERROR(INDEX('Restaurant Base (Hidden)'!$A$2:$Z$1048576,MATCH($C380,'Restaurant Base (Hidden)'!$C$2:$C$1048576,0),MATCH(AD$6,'Restaurant Base (Hidden)'!$A$1:$Z$1,0)),"")</f>
        <v>81,20 %</v>
      </c>
      <c r="AE380" s="1">
        <f>+IFERROR(INDEX('Restaurant Base (Hidden)'!$A$2:$Z$1048576,MATCH($C380,'Restaurant Base (Hidden)'!$C$2:$C$1048576,0),MATCH(AE$6,'Restaurant Base (Hidden)'!$A$1:$Z$1,0)),"")</f>
        <v>2</v>
      </c>
      <c r="AF380" s="65" t="str">
        <f>+IFERROR(INDEX('Restaurant Base (Hidden)'!$A$2:$Z$1048576,MATCH($C380,'Restaurant Base (Hidden)'!$C$2:$C$1048576,0),MATCH(AF$6,'Restaurant Base (Hidden)'!$A$1:$Z$1,0)),"")</f>
        <v>75,80 %</v>
      </c>
      <c r="AG380" s="1">
        <f>+IFERROR(INDEX('Restaurant Base (Hidden)'!$A$2:$Z$1048576,MATCH($C380,'Restaurant Base (Hidden)'!$C$2:$C$1048576,0),MATCH(AG$6,'Restaurant Base (Hidden)'!$A$1:$Z$1,0)),"")</f>
        <v>2</v>
      </c>
    </row>
    <row r="381" spans="1:33" ht="16" customHeight="1" x14ac:dyDescent="0.4">
      <c r="A381" s="163" t="str">
        <f>IF('Restaurant Base (Hidden)'!A159=0,"", 'Restaurant Base (Hidden)'!A159)</f>
        <v>Logan Redford</v>
      </c>
      <c r="B381" s="163" t="str">
        <f>IF('Restaurant Base (Hidden)'!B159=0,"", 'Restaurant Base (Hidden)'!B159)</f>
        <v>Pinecrest Hospitality</v>
      </c>
      <c r="C381" s="163" t="str">
        <f>IF('Restaurant Base (Hidden)'!C159=0,"", 'Restaurant Base (Hidden)'!C159)</f>
        <v>Lunar Fields</v>
      </c>
      <c r="D381" s="104">
        <f t="shared" si="5"/>
        <v>375</v>
      </c>
      <c r="E381" s="105">
        <f>+IFERROR(INDEX('Restaurant Base (Hidden)'!$A$2:$Z$1048576,MATCH($C381,'Restaurant Base (Hidden)'!$C$2:$C$1048576,0),MATCH(E$6,'Restaurant Base (Hidden)'!$A$1:$Z$1,0)),"")</f>
        <v>2.2999999999999998</v>
      </c>
      <c r="F381" s="2" t="str">
        <f>+IFERROR(INDEX('Restaurant Base (Hidden)'!$A$2:$Z$1048576,MATCH($C381,'Restaurant Base (Hidden)'!$C$2:$C$1048576,0),MATCH(F$6,'Restaurant Base (Hidden)'!$A$1:$Z$1,0)),"")</f>
        <v/>
      </c>
      <c r="G381" s="20" t="str">
        <f>+IFERROR(INDEX('Restaurant Base (Hidden)'!$A$2:$Z$1048576,MATCH($C381,'Restaurant Base (Hidden)'!$C$2:$C$1048576,0),MATCH(G$6,'Restaurant Base (Hidden)'!$A$1:$Z$1,0)),"")</f>
        <v>4,162</v>
      </c>
      <c r="H381" s="50">
        <f>+IFERROR(INDEX('Restaurant Base (Hidden)'!$A$2:$Z$1048576,MATCH($C381,'Restaurant Base (Hidden)'!$C$2:$C$1048576,0),MATCH(H$6,'Restaurant Base (Hidden)'!$A$1:$Z$1,0)),"")</f>
        <v>2</v>
      </c>
      <c r="I381" s="20" t="str">
        <f>+IFERROR(INDEX('Restaurant Base (Hidden)'!$A$2:$Z$1048576,MATCH($C381,'Restaurant Base (Hidden)'!$C$2:$C$1048576,0),MATCH(I$6,'Restaurant Base (Hidden)'!$A$1:$Z$1,0)),"")</f>
        <v>81,70 %</v>
      </c>
      <c r="J381" s="49">
        <f>+IFERROR(INDEX('Restaurant Base (Hidden)'!$A$2:$Z$1048576,MATCH($C381,'Restaurant Base (Hidden)'!$C$2:$C$1048576,0),MATCH(J$6,'Restaurant Base (Hidden)'!$A$1:$Z$1,0)),"")</f>
        <v>2</v>
      </c>
      <c r="K381" s="20" t="str">
        <f>+IFERROR(INDEX('Restaurant Base (Hidden)'!$A$2:$Z$1048576,MATCH($C381,'Restaurant Base (Hidden)'!$C$2:$C$1048576,0),MATCH(K$6,'Restaurant Base (Hidden)'!$A$1:$Z$1,0)),"")</f>
        <v>0,124</v>
      </c>
      <c r="L381" s="51">
        <f>+IFERROR(INDEX('Restaurant Base (Hidden)'!$A$2:$Z$1048576,MATCH($C381,'Restaurant Base (Hidden)'!$C$2:$C$1048576,0),MATCH(L$6,'Restaurant Base (Hidden)'!$A$1:$Z$1,0)),"")</f>
        <v>3</v>
      </c>
      <c r="M381" s="2" t="str">
        <f>+IFERROR(INDEX('Restaurant Base (Hidden)'!$A$2:$Z$1048576,MATCH($C381,'Restaurant Base (Hidden)'!$C$2:$C$1048576,0),MATCH(M$6,'Restaurant Base (Hidden)'!$A$1:$Z$1,0)),"")</f>
        <v/>
      </c>
      <c r="N381" s="234" t="str">
        <f>+IFERROR(INDEX('Restaurant Base (Hidden)'!$A$2:$Z$1048576,MATCH($C381,'Restaurant Base (Hidden)'!$C$2:$C$1048576,0),MATCH(N$6,'Restaurant Base (Hidden)'!$A$1:$Z$1,0)),"")</f>
        <v>86,10 %</v>
      </c>
      <c r="O381" s="1">
        <f>+IFERROR(INDEX('Restaurant Base (Hidden)'!$A$2:$Z$1048576,MATCH($C381,'Restaurant Base (Hidden)'!$C$2:$C$1048576,0),MATCH(O$6,'Restaurant Base (Hidden)'!$A$1:$Z$1,0)),"")</f>
        <v>5</v>
      </c>
      <c r="P381" s="2" t="str">
        <f>+IFERROR(INDEX('Restaurant Base (Hidden)'!$A$2:$Z$1048576,MATCH($C381,'Restaurant Base (Hidden)'!$C$2:$C$1048576,0),MATCH(P$6,'Restaurant Base (Hidden)'!$A$1:$Z$1,0)),"")</f>
        <v/>
      </c>
      <c r="Q381" s="234" t="str">
        <f>+IFERROR(INDEX('Restaurant Base (Hidden)'!$A$2:$Z$1048576,MATCH($C381,'Restaurant Base (Hidden)'!$C$2:$C$1048576,0),MATCH(Q$6,'Restaurant Base (Hidden)'!$A$1:$Z$1,0)),"")</f>
        <v>60,60 %</v>
      </c>
      <c r="R381" s="1">
        <f>+IFERROR(INDEX('Restaurant Base (Hidden)'!$A$2:$Z$1048576,MATCH($C381,'Restaurant Base (Hidden)'!$C$2:$C$1048576,0),MATCH(R$6,'Restaurant Base (Hidden)'!$A$1:$Z$1,0)),"")</f>
        <v>1</v>
      </c>
      <c r="S381" s="2" t="str">
        <f>+IFERROR(INDEX('Restaurant Base (Hidden)'!$A$2:$Z$1048576,MATCH($C381,'Restaurant Base (Hidden)'!$C$2:$C$1048576,0),MATCH(S$6,'Restaurant Base (Hidden)'!$A$1:$Z$1,0)),"")</f>
        <v/>
      </c>
      <c r="T381" s="62">
        <f>+IFERROR(INDEX('Restaurant Base (Hidden)'!$A$2:$Z$1048576,MATCH($C381,'Restaurant Base (Hidden)'!$C$2:$C$1048576,0),MATCH(T$6,'Restaurant Base (Hidden)'!$A$1:$Z$1,0)),"")</f>
        <v>60.7</v>
      </c>
      <c r="U381" s="1">
        <f>+IFERROR(INDEX('Restaurant Base (Hidden)'!$A$2:$Z$1048576,MATCH($C381,'Restaurant Base (Hidden)'!$C$2:$C$1048576,0),MATCH(U$6,'Restaurant Base (Hidden)'!$A$1:$Z$1,0)),"")</f>
        <v>2</v>
      </c>
      <c r="V381" s="2" t="str">
        <f>+IFERROR(INDEX('Restaurant Base (Hidden)'!$A$2:$Z$1048576,MATCH($C381,'Restaurant Base (Hidden)'!$C$2:$C$1048576,0),MATCH(V$6,'Restaurant Base (Hidden)'!$A$1:$Z$1,0)),"")</f>
        <v/>
      </c>
      <c r="W381" s="65" t="str">
        <f>+IFERROR(INDEX('Restaurant Base (Hidden)'!$A$2:$Z$1048576,MATCH($C381,'Restaurant Base (Hidden)'!$C$2:$C$1048576,0),MATCH(W$6,'Restaurant Base (Hidden)'!$A$1:$Z$1,0)),"")</f>
        <v>66,30 %</v>
      </c>
      <c r="X381" s="1">
        <f>+IFERROR(INDEX('Restaurant Base (Hidden)'!$A$2:$Z$1048576,MATCH($C381,'Restaurant Base (Hidden)'!$C$2:$C$1048576,0),MATCH(X$6,'Restaurant Base (Hidden)'!$A$1:$Z$1,0)),"")</f>
        <v>2</v>
      </c>
      <c r="Y381" s="65" t="str">
        <f>+IFERROR(INDEX('Restaurant Base (Hidden)'!$A$2:$Z$1048576,MATCH($C381,'Restaurant Base (Hidden)'!$C$2:$C$1048576,0),MATCH(Y$6,'Restaurant Base (Hidden)'!$A$1:$Z$1,0)),"")</f>
        <v>59,20 %</v>
      </c>
      <c r="Z381" s="106">
        <f>+IFERROR(INDEX('Restaurant Base (Hidden)'!$A$2:$Z$1048576,MATCH($C381,'Restaurant Base (Hidden)'!$C$2:$C$1048576,0),MATCH(Z$6,'Restaurant Base (Hidden)'!$A$1:$Z$1,0)),"")</f>
        <v>1</v>
      </c>
      <c r="AA381" s="65" t="str">
        <f>+IFERROR(INDEX('Restaurant Base (Hidden)'!$A$2:$Z$1048576,MATCH($C381,'Restaurant Base (Hidden)'!$C$2:$C$1048576,0),MATCH(AA$6,'Restaurant Base (Hidden)'!$A$1:$Z$1,0)),"")</f>
        <v>76,80 %</v>
      </c>
      <c r="AB381" s="1">
        <f>+IFERROR(INDEX('Restaurant Base (Hidden)'!$A$2:$Z$1048576,MATCH($C381,'Restaurant Base (Hidden)'!$C$2:$C$1048576,0),MATCH(AB$6,'Restaurant Base (Hidden)'!$A$1:$Z$1,0)),"")</f>
        <v>2</v>
      </c>
      <c r="AC381" s="20" t="str">
        <f>+IFERROR(INDEX('Restaurant Base (Hidden)'!$A$2:$Z$1048576,MATCH($C381,'Restaurant Base (Hidden)'!$C$2:$C$1048576,0),MATCH(AC$6,'Restaurant Base (Hidden)'!$A$1:$Z$1,0)),"")</f>
        <v/>
      </c>
      <c r="AD381" s="65" t="str">
        <f>+IFERROR(INDEX('Restaurant Base (Hidden)'!$A$2:$Z$1048576,MATCH($C381,'Restaurant Base (Hidden)'!$C$2:$C$1048576,0),MATCH(AD$6,'Restaurant Base (Hidden)'!$A$1:$Z$1,0)),"")</f>
        <v>67,60 %</v>
      </c>
      <c r="AE381" s="1">
        <f>+IFERROR(INDEX('Restaurant Base (Hidden)'!$A$2:$Z$1048576,MATCH($C381,'Restaurant Base (Hidden)'!$C$2:$C$1048576,0),MATCH(AE$6,'Restaurant Base (Hidden)'!$A$1:$Z$1,0)),"")</f>
        <v>1</v>
      </c>
      <c r="AF381" s="65" t="str">
        <f>+IFERROR(INDEX('Restaurant Base (Hidden)'!$A$2:$Z$1048576,MATCH($C381,'Restaurant Base (Hidden)'!$C$2:$C$1048576,0),MATCH(AF$6,'Restaurant Base (Hidden)'!$A$1:$Z$1,0)),"")</f>
        <v>90,40 %</v>
      </c>
      <c r="AG381" s="1">
        <f>+IFERROR(INDEX('Restaurant Base (Hidden)'!$A$2:$Z$1048576,MATCH($C381,'Restaurant Base (Hidden)'!$C$2:$C$1048576,0),MATCH(AG$6,'Restaurant Base (Hidden)'!$A$1:$Z$1,0)),"")</f>
        <v>3</v>
      </c>
    </row>
    <row r="382" spans="1:33" ht="16" customHeight="1" x14ac:dyDescent="0.4">
      <c r="A382" s="163" t="str">
        <f>IF('Restaurant Base (Hidden)'!A117=0,"", 'Restaurant Base (Hidden)'!A117)</f>
        <v>Tatum Westmere</v>
      </c>
      <c r="B382" s="163" t="str">
        <f>IF('Restaurant Base (Hidden)'!B117=0,"", 'Restaurant Base (Hidden)'!B117)</f>
        <v>Riverstone Food Partners</v>
      </c>
      <c r="C382" s="163" t="str">
        <f>IF('Restaurant Base (Hidden)'!C117=0,"", 'Restaurant Base (Hidden)'!C117)</f>
        <v>Willow House</v>
      </c>
      <c r="D382" s="104">
        <f t="shared" si="5"/>
        <v>376</v>
      </c>
      <c r="E382" s="105">
        <f>+IFERROR(INDEX('Restaurant Base (Hidden)'!$A$2:$Z$1048576,MATCH($C382,'Restaurant Base (Hidden)'!$C$2:$C$1048576,0),MATCH(E$6,'Restaurant Base (Hidden)'!$A$1:$Z$1,0)),"")</f>
        <v>2.29</v>
      </c>
      <c r="F382" s="2" t="str">
        <f>+IFERROR(INDEX('Restaurant Base (Hidden)'!$A$2:$Z$1048576,MATCH($C382,'Restaurant Base (Hidden)'!$C$2:$C$1048576,0),MATCH(F$6,'Restaurant Base (Hidden)'!$A$1:$Z$1,0)),"")</f>
        <v/>
      </c>
      <c r="G382" s="20" t="str">
        <f>+IFERROR(INDEX('Restaurant Base (Hidden)'!$A$2:$Z$1048576,MATCH($C382,'Restaurant Base (Hidden)'!$C$2:$C$1048576,0),MATCH(G$6,'Restaurant Base (Hidden)'!$A$1:$Z$1,0)),"")</f>
        <v>4,330</v>
      </c>
      <c r="H382" s="50">
        <f>+IFERROR(INDEX('Restaurant Base (Hidden)'!$A$2:$Z$1048576,MATCH($C382,'Restaurant Base (Hidden)'!$C$2:$C$1048576,0),MATCH(H$6,'Restaurant Base (Hidden)'!$A$1:$Z$1,0)),"")</f>
        <v>3</v>
      </c>
      <c r="I382" s="20" t="str">
        <f>+IFERROR(INDEX('Restaurant Base (Hidden)'!$A$2:$Z$1048576,MATCH($C382,'Restaurant Base (Hidden)'!$C$2:$C$1048576,0),MATCH(I$6,'Restaurant Base (Hidden)'!$A$1:$Z$1,0)),"")</f>
        <v>91,30 %</v>
      </c>
      <c r="J382" s="49">
        <f>+IFERROR(INDEX('Restaurant Base (Hidden)'!$A$2:$Z$1048576,MATCH($C382,'Restaurant Base (Hidden)'!$C$2:$C$1048576,0),MATCH(J$6,'Restaurant Base (Hidden)'!$A$1:$Z$1,0)),"")</f>
        <v>4</v>
      </c>
      <c r="K382" s="20" t="str">
        <f>+IFERROR(INDEX('Restaurant Base (Hidden)'!$A$2:$Z$1048576,MATCH($C382,'Restaurant Base (Hidden)'!$C$2:$C$1048576,0),MATCH(K$6,'Restaurant Base (Hidden)'!$A$1:$Z$1,0)),"")</f>
        <v>0,182</v>
      </c>
      <c r="L382" s="51">
        <f>+IFERROR(INDEX('Restaurant Base (Hidden)'!$A$2:$Z$1048576,MATCH($C382,'Restaurant Base (Hidden)'!$C$2:$C$1048576,0),MATCH(L$6,'Restaurant Base (Hidden)'!$A$1:$Z$1,0)),"")</f>
        <v>1</v>
      </c>
      <c r="M382" s="2" t="str">
        <f>+IFERROR(INDEX('Restaurant Base (Hidden)'!$A$2:$Z$1048576,MATCH($C382,'Restaurant Base (Hidden)'!$C$2:$C$1048576,0),MATCH(M$6,'Restaurant Base (Hidden)'!$A$1:$Z$1,0)),"")</f>
        <v/>
      </c>
      <c r="N382" s="234" t="str">
        <f>+IFERROR(INDEX('Restaurant Base (Hidden)'!$A$2:$Z$1048576,MATCH($C382,'Restaurant Base (Hidden)'!$C$2:$C$1048576,0),MATCH(N$6,'Restaurant Base (Hidden)'!$A$1:$Z$1,0)),"")</f>
        <v>58,40 %</v>
      </c>
      <c r="O382" s="1">
        <f>+IFERROR(INDEX('Restaurant Base (Hidden)'!$A$2:$Z$1048576,MATCH($C382,'Restaurant Base (Hidden)'!$C$2:$C$1048576,0),MATCH(O$6,'Restaurant Base (Hidden)'!$A$1:$Z$1,0)),"")</f>
        <v>1</v>
      </c>
      <c r="P382" s="2" t="str">
        <f>+IFERROR(INDEX('Restaurant Base (Hidden)'!$A$2:$Z$1048576,MATCH($C382,'Restaurant Base (Hidden)'!$C$2:$C$1048576,0),MATCH(P$6,'Restaurant Base (Hidden)'!$A$1:$Z$1,0)),"")</f>
        <v/>
      </c>
      <c r="Q382" s="234" t="str">
        <f>+IFERROR(INDEX('Restaurant Base (Hidden)'!$A$2:$Z$1048576,MATCH($C382,'Restaurant Base (Hidden)'!$C$2:$C$1048576,0),MATCH(Q$6,'Restaurant Base (Hidden)'!$A$1:$Z$1,0)),"")</f>
        <v>62,40 %</v>
      </c>
      <c r="R382" s="1">
        <f>+IFERROR(INDEX('Restaurant Base (Hidden)'!$A$2:$Z$1048576,MATCH($C382,'Restaurant Base (Hidden)'!$C$2:$C$1048576,0),MATCH(R$6,'Restaurant Base (Hidden)'!$A$1:$Z$1,0)),"")</f>
        <v>2</v>
      </c>
      <c r="S382" s="2" t="str">
        <f>+IFERROR(INDEX('Restaurant Base (Hidden)'!$A$2:$Z$1048576,MATCH($C382,'Restaurant Base (Hidden)'!$C$2:$C$1048576,0),MATCH(S$6,'Restaurant Base (Hidden)'!$A$1:$Z$1,0)),"")</f>
        <v/>
      </c>
      <c r="T382" s="62">
        <f>+IFERROR(INDEX('Restaurant Base (Hidden)'!$A$2:$Z$1048576,MATCH($C382,'Restaurant Base (Hidden)'!$C$2:$C$1048576,0),MATCH(T$6,'Restaurant Base (Hidden)'!$A$1:$Z$1,0)),"")</f>
        <v>58.3</v>
      </c>
      <c r="U382" s="1">
        <f>+IFERROR(INDEX('Restaurant Base (Hidden)'!$A$2:$Z$1048576,MATCH($C382,'Restaurant Base (Hidden)'!$C$2:$C$1048576,0),MATCH(U$6,'Restaurant Base (Hidden)'!$A$1:$Z$1,0)),"")</f>
        <v>2</v>
      </c>
      <c r="V382" s="2" t="str">
        <f>+IFERROR(INDEX('Restaurant Base (Hidden)'!$A$2:$Z$1048576,MATCH($C382,'Restaurant Base (Hidden)'!$C$2:$C$1048576,0),MATCH(V$6,'Restaurant Base (Hidden)'!$A$1:$Z$1,0)),"")</f>
        <v/>
      </c>
      <c r="W382" s="65" t="str">
        <f>+IFERROR(INDEX('Restaurant Base (Hidden)'!$A$2:$Z$1048576,MATCH($C382,'Restaurant Base (Hidden)'!$C$2:$C$1048576,0),MATCH(W$6,'Restaurant Base (Hidden)'!$A$1:$Z$1,0)),"")</f>
        <v>72,30 %</v>
      </c>
      <c r="X382" s="1">
        <f>+IFERROR(INDEX('Restaurant Base (Hidden)'!$A$2:$Z$1048576,MATCH($C382,'Restaurant Base (Hidden)'!$C$2:$C$1048576,0),MATCH(X$6,'Restaurant Base (Hidden)'!$A$1:$Z$1,0)),"")</f>
        <v>2</v>
      </c>
      <c r="Y382" s="65" t="str">
        <f>+IFERROR(INDEX('Restaurant Base (Hidden)'!$A$2:$Z$1048576,MATCH($C382,'Restaurant Base (Hidden)'!$C$2:$C$1048576,0),MATCH(Y$6,'Restaurant Base (Hidden)'!$A$1:$Z$1,0)),"")</f>
        <v>97,70 %</v>
      </c>
      <c r="Z382" s="106">
        <f>+IFERROR(INDEX('Restaurant Base (Hidden)'!$A$2:$Z$1048576,MATCH($C382,'Restaurant Base (Hidden)'!$C$2:$C$1048576,0),MATCH(Z$6,'Restaurant Base (Hidden)'!$A$1:$Z$1,0)),"")</f>
        <v>4</v>
      </c>
      <c r="AA382" s="65" t="str">
        <f>+IFERROR(INDEX('Restaurant Base (Hidden)'!$A$2:$Z$1048576,MATCH($C382,'Restaurant Base (Hidden)'!$C$2:$C$1048576,0),MATCH(AA$6,'Restaurant Base (Hidden)'!$A$1:$Z$1,0)),"")</f>
        <v>93,00 %</v>
      </c>
      <c r="AB382" s="1">
        <f>+IFERROR(INDEX('Restaurant Base (Hidden)'!$A$2:$Z$1048576,MATCH($C382,'Restaurant Base (Hidden)'!$C$2:$C$1048576,0),MATCH(AB$6,'Restaurant Base (Hidden)'!$A$1:$Z$1,0)),"")</f>
        <v>3</v>
      </c>
      <c r="AC382" s="20" t="str">
        <f>+IFERROR(INDEX('Restaurant Base (Hidden)'!$A$2:$Z$1048576,MATCH($C382,'Restaurant Base (Hidden)'!$C$2:$C$1048576,0),MATCH(AC$6,'Restaurant Base (Hidden)'!$A$1:$Z$1,0)),"")</f>
        <v/>
      </c>
      <c r="AD382" s="65" t="str">
        <f>+IFERROR(INDEX('Restaurant Base (Hidden)'!$A$2:$Z$1048576,MATCH($C382,'Restaurant Base (Hidden)'!$C$2:$C$1048576,0),MATCH(AD$6,'Restaurant Base (Hidden)'!$A$1:$Z$1,0)),"")</f>
        <v>63,20 %</v>
      </c>
      <c r="AE382" s="1">
        <f>+IFERROR(INDEX('Restaurant Base (Hidden)'!$A$2:$Z$1048576,MATCH($C382,'Restaurant Base (Hidden)'!$C$2:$C$1048576,0),MATCH(AE$6,'Restaurant Base (Hidden)'!$A$1:$Z$1,0)),"")</f>
        <v>1</v>
      </c>
      <c r="AF382" s="65" t="str">
        <f>+IFERROR(INDEX('Restaurant Base (Hidden)'!$A$2:$Z$1048576,MATCH($C382,'Restaurant Base (Hidden)'!$C$2:$C$1048576,0),MATCH(AF$6,'Restaurant Base (Hidden)'!$A$1:$Z$1,0)),"")</f>
        <v>84,40 %</v>
      </c>
      <c r="AG382" s="1">
        <f>+IFERROR(INDEX('Restaurant Base (Hidden)'!$A$2:$Z$1048576,MATCH($C382,'Restaurant Base (Hidden)'!$C$2:$C$1048576,0),MATCH(AG$6,'Restaurant Base (Hidden)'!$A$1:$Z$1,0)),"")</f>
        <v>3</v>
      </c>
    </row>
    <row r="383" spans="1:33" ht="16" customHeight="1" x14ac:dyDescent="0.4">
      <c r="A383" s="163" t="str">
        <f>IF('Restaurant Base (Hidden)'!A286=0,"", 'Restaurant Base (Hidden)'!A286)</f>
        <v>Bailey Silverton</v>
      </c>
      <c r="B383" s="163" t="str">
        <f>IF('Restaurant Base (Hidden)'!B286=0,"", 'Restaurant Base (Hidden)'!B286)</f>
        <v>Westhaven Foods</v>
      </c>
      <c r="C383" s="163" t="str">
        <f>IF('Restaurant Base (Hidden)'!C286=0,"", 'Restaurant Base (Hidden)'!C286)</f>
        <v>Greenfield Fields</v>
      </c>
      <c r="D383" s="104">
        <f t="shared" si="5"/>
        <v>376</v>
      </c>
      <c r="E383" s="105">
        <f>+IFERROR(INDEX('Restaurant Base (Hidden)'!$A$2:$Z$1048576,MATCH($C383,'Restaurant Base (Hidden)'!$C$2:$C$1048576,0),MATCH(E$6,'Restaurant Base (Hidden)'!$A$1:$Z$1,0)),"")</f>
        <v>2.29</v>
      </c>
      <c r="F383" s="2" t="str">
        <f>+IFERROR(INDEX('Restaurant Base (Hidden)'!$A$2:$Z$1048576,MATCH($C383,'Restaurant Base (Hidden)'!$C$2:$C$1048576,0),MATCH(F$6,'Restaurant Base (Hidden)'!$A$1:$Z$1,0)),"")</f>
        <v/>
      </c>
      <c r="G383" s="20" t="str">
        <f>+IFERROR(INDEX('Restaurant Base (Hidden)'!$A$2:$Z$1048576,MATCH($C383,'Restaurant Base (Hidden)'!$C$2:$C$1048576,0),MATCH(G$6,'Restaurant Base (Hidden)'!$A$1:$Z$1,0)),"")</f>
        <v>4,539</v>
      </c>
      <c r="H383" s="50">
        <f>+IFERROR(INDEX('Restaurant Base (Hidden)'!$A$2:$Z$1048576,MATCH($C383,'Restaurant Base (Hidden)'!$C$2:$C$1048576,0),MATCH(H$6,'Restaurant Base (Hidden)'!$A$1:$Z$1,0)),"")</f>
        <v>5</v>
      </c>
      <c r="I383" s="20" t="str">
        <f>+IFERROR(INDEX('Restaurant Base (Hidden)'!$A$2:$Z$1048576,MATCH($C383,'Restaurant Base (Hidden)'!$C$2:$C$1048576,0),MATCH(I$6,'Restaurant Base (Hidden)'!$A$1:$Z$1,0)),"")</f>
        <v>67,00 %</v>
      </c>
      <c r="J383" s="49">
        <f>+IFERROR(INDEX('Restaurant Base (Hidden)'!$A$2:$Z$1048576,MATCH($C383,'Restaurant Base (Hidden)'!$C$2:$C$1048576,0),MATCH(J$6,'Restaurant Base (Hidden)'!$A$1:$Z$1,0)),"")</f>
        <v>1</v>
      </c>
      <c r="K383" s="20" t="str">
        <f>+IFERROR(INDEX('Restaurant Base (Hidden)'!$A$2:$Z$1048576,MATCH($C383,'Restaurant Base (Hidden)'!$C$2:$C$1048576,0),MATCH(K$6,'Restaurant Base (Hidden)'!$A$1:$Z$1,0)),"")</f>
        <v>0,156</v>
      </c>
      <c r="L383" s="51">
        <f>+IFERROR(INDEX('Restaurant Base (Hidden)'!$A$2:$Z$1048576,MATCH($C383,'Restaurant Base (Hidden)'!$C$2:$C$1048576,0),MATCH(L$6,'Restaurant Base (Hidden)'!$A$1:$Z$1,0)),"")</f>
        <v>2</v>
      </c>
      <c r="M383" s="2" t="str">
        <f>+IFERROR(INDEX('Restaurant Base (Hidden)'!$A$2:$Z$1048576,MATCH($C383,'Restaurant Base (Hidden)'!$C$2:$C$1048576,0),MATCH(M$6,'Restaurant Base (Hidden)'!$A$1:$Z$1,0)),"")</f>
        <v/>
      </c>
      <c r="N383" s="234" t="str">
        <f>+IFERROR(INDEX('Restaurant Base (Hidden)'!$A$2:$Z$1048576,MATCH($C383,'Restaurant Base (Hidden)'!$C$2:$C$1048576,0),MATCH(N$6,'Restaurant Base (Hidden)'!$A$1:$Z$1,0)),"")</f>
        <v>61,80 %</v>
      </c>
      <c r="O383" s="1">
        <f>+IFERROR(INDEX('Restaurant Base (Hidden)'!$A$2:$Z$1048576,MATCH($C383,'Restaurant Base (Hidden)'!$C$2:$C$1048576,0),MATCH(O$6,'Restaurant Base (Hidden)'!$A$1:$Z$1,0)),"")</f>
        <v>2</v>
      </c>
      <c r="P383" s="2" t="str">
        <f>+IFERROR(INDEX('Restaurant Base (Hidden)'!$A$2:$Z$1048576,MATCH($C383,'Restaurant Base (Hidden)'!$C$2:$C$1048576,0),MATCH(P$6,'Restaurant Base (Hidden)'!$A$1:$Z$1,0)),"")</f>
        <v/>
      </c>
      <c r="Q383" s="234" t="str">
        <f>+IFERROR(INDEX('Restaurant Base (Hidden)'!$A$2:$Z$1048576,MATCH($C383,'Restaurant Base (Hidden)'!$C$2:$C$1048576,0),MATCH(Q$6,'Restaurant Base (Hidden)'!$A$1:$Z$1,0)),"")</f>
        <v>89,70 %</v>
      </c>
      <c r="R383" s="1">
        <f>+IFERROR(INDEX('Restaurant Base (Hidden)'!$A$2:$Z$1048576,MATCH($C383,'Restaurant Base (Hidden)'!$C$2:$C$1048576,0),MATCH(R$6,'Restaurant Base (Hidden)'!$A$1:$Z$1,0)),"")</f>
        <v>5</v>
      </c>
      <c r="S383" s="2" t="str">
        <f>+IFERROR(INDEX('Restaurant Base (Hidden)'!$A$2:$Z$1048576,MATCH($C383,'Restaurant Base (Hidden)'!$C$2:$C$1048576,0),MATCH(S$6,'Restaurant Base (Hidden)'!$A$1:$Z$1,0)),"")</f>
        <v/>
      </c>
      <c r="T383" s="62">
        <f>+IFERROR(INDEX('Restaurant Base (Hidden)'!$A$2:$Z$1048576,MATCH($C383,'Restaurant Base (Hidden)'!$C$2:$C$1048576,0),MATCH(T$6,'Restaurant Base (Hidden)'!$A$1:$Z$1,0)),"")</f>
        <v>56.3</v>
      </c>
      <c r="U383" s="1">
        <f>+IFERROR(INDEX('Restaurant Base (Hidden)'!$A$2:$Z$1048576,MATCH($C383,'Restaurant Base (Hidden)'!$C$2:$C$1048576,0),MATCH(U$6,'Restaurant Base (Hidden)'!$A$1:$Z$1,0)),"")</f>
        <v>1</v>
      </c>
      <c r="V383" s="2" t="str">
        <f>+IFERROR(INDEX('Restaurant Base (Hidden)'!$A$2:$Z$1048576,MATCH($C383,'Restaurant Base (Hidden)'!$C$2:$C$1048576,0),MATCH(V$6,'Restaurant Base (Hidden)'!$A$1:$Z$1,0)),"")</f>
        <v/>
      </c>
      <c r="W383" s="65" t="str">
        <f>+IFERROR(INDEX('Restaurant Base (Hidden)'!$A$2:$Z$1048576,MATCH($C383,'Restaurant Base (Hidden)'!$C$2:$C$1048576,0),MATCH(W$6,'Restaurant Base (Hidden)'!$A$1:$Z$1,0)),"")</f>
        <v>87,40 %</v>
      </c>
      <c r="X383" s="1">
        <f>+IFERROR(INDEX('Restaurant Base (Hidden)'!$A$2:$Z$1048576,MATCH($C383,'Restaurant Base (Hidden)'!$C$2:$C$1048576,0),MATCH(X$6,'Restaurant Base (Hidden)'!$A$1:$Z$1,0)),"")</f>
        <v>3</v>
      </c>
      <c r="Y383" s="65" t="str">
        <f>+IFERROR(INDEX('Restaurant Base (Hidden)'!$A$2:$Z$1048576,MATCH($C383,'Restaurant Base (Hidden)'!$C$2:$C$1048576,0),MATCH(Y$6,'Restaurant Base (Hidden)'!$A$1:$Z$1,0)),"")</f>
        <v>74,50 %</v>
      </c>
      <c r="Z383" s="106">
        <f>+IFERROR(INDEX('Restaurant Base (Hidden)'!$A$2:$Z$1048576,MATCH($C383,'Restaurant Base (Hidden)'!$C$2:$C$1048576,0),MATCH(Z$6,'Restaurant Base (Hidden)'!$A$1:$Z$1,0)),"")</f>
        <v>2</v>
      </c>
      <c r="AA383" s="65" t="str">
        <f>+IFERROR(INDEX('Restaurant Base (Hidden)'!$A$2:$Z$1048576,MATCH($C383,'Restaurant Base (Hidden)'!$C$2:$C$1048576,0),MATCH(AA$6,'Restaurant Base (Hidden)'!$A$1:$Z$1,0)),"")</f>
        <v>75,00 %</v>
      </c>
      <c r="AB383" s="1">
        <f>+IFERROR(INDEX('Restaurant Base (Hidden)'!$A$2:$Z$1048576,MATCH($C383,'Restaurant Base (Hidden)'!$C$2:$C$1048576,0),MATCH(AB$6,'Restaurant Base (Hidden)'!$A$1:$Z$1,0)),"")</f>
        <v>2</v>
      </c>
      <c r="AC383" s="20" t="str">
        <f>+IFERROR(INDEX('Restaurant Base (Hidden)'!$A$2:$Z$1048576,MATCH($C383,'Restaurant Base (Hidden)'!$C$2:$C$1048576,0),MATCH(AC$6,'Restaurant Base (Hidden)'!$A$1:$Z$1,0)),"")</f>
        <v/>
      </c>
      <c r="AD383" s="65" t="str">
        <f>+IFERROR(INDEX('Restaurant Base (Hidden)'!$A$2:$Z$1048576,MATCH($C383,'Restaurant Base (Hidden)'!$C$2:$C$1048576,0),MATCH(AD$6,'Restaurant Base (Hidden)'!$A$1:$Z$1,0)),"")</f>
        <v>65,40 %</v>
      </c>
      <c r="AE383" s="1">
        <f>+IFERROR(INDEX('Restaurant Base (Hidden)'!$A$2:$Z$1048576,MATCH($C383,'Restaurant Base (Hidden)'!$C$2:$C$1048576,0),MATCH(AE$6,'Restaurant Base (Hidden)'!$A$1:$Z$1,0)),"")</f>
        <v>1</v>
      </c>
      <c r="AF383" s="65" t="str">
        <f>+IFERROR(INDEX('Restaurant Base (Hidden)'!$A$2:$Z$1048576,MATCH($C383,'Restaurant Base (Hidden)'!$C$2:$C$1048576,0),MATCH(AF$6,'Restaurant Base (Hidden)'!$A$1:$Z$1,0)),"")</f>
        <v>68,50 %</v>
      </c>
      <c r="AG383" s="1">
        <f>+IFERROR(INDEX('Restaurant Base (Hidden)'!$A$2:$Z$1048576,MATCH($C383,'Restaurant Base (Hidden)'!$C$2:$C$1048576,0),MATCH(AG$6,'Restaurant Base (Hidden)'!$A$1:$Z$1,0)),"")</f>
        <v>1</v>
      </c>
    </row>
    <row r="384" spans="1:33" ht="16" customHeight="1" x14ac:dyDescent="0.4">
      <c r="A384" s="163" t="str">
        <f>IF('Restaurant Base (Hidden)'!A290=0,"", 'Restaurant Base (Hidden)'!A290)</f>
        <v>Sawyer Thornfield</v>
      </c>
      <c r="B384" s="163" t="str">
        <f>IF('Restaurant Base (Hidden)'!B290=0,"", 'Restaurant Base (Hidden)'!B290)</f>
        <v>Evercrest Restaurants</v>
      </c>
      <c r="C384" s="163" t="str">
        <f>IF('Restaurant Base (Hidden)'!C290=0,"", 'Restaurant Base (Hidden)'!C290)</f>
        <v>Sunny Heath</v>
      </c>
      <c r="D384" s="104">
        <f t="shared" si="5"/>
        <v>376</v>
      </c>
      <c r="E384" s="105">
        <f>+IFERROR(INDEX('Restaurant Base (Hidden)'!$A$2:$Z$1048576,MATCH($C384,'Restaurant Base (Hidden)'!$C$2:$C$1048576,0),MATCH(E$6,'Restaurant Base (Hidden)'!$A$1:$Z$1,0)),"")</f>
        <v>2.29</v>
      </c>
      <c r="F384" s="2" t="str">
        <f>+IFERROR(INDEX('Restaurant Base (Hidden)'!$A$2:$Z$1048576,MATCH($C384,'Restaurant Base (Hidden)'!$C$2:$C$1048576,0),MATCH(F$6,'Restaurant Base (Hidden)'!$A$1:$Z$1,0)),"")</f>
        <v/>
      </c>
      <c r="G384" s="20" t="str">
        <f>+IFERROR(INDEX('Restaurant Base (Hidden)'!$A$2:$Z$1048576,MATCH($C384,'Restaurant Base (Hidden)'!$C$2:$C$1048576,0),MATCH(G$6,'Restaurant Base (Hidden)'!$A$1:$Z$1,0)),"")</f>
        <v>4,511</v>
      </c>
      <c r="H384" s="50">
        <f>+IFERROR(INDEX('Restaurant Base (Hidden)'!$A$2:$Z$1048576,MATCH($C384,'Restaurant Base (Hidden)'!$C$2:$C$1048576,0),MATCH(H$6,'Restaurant Base (Hidden)'!$A$1:$Z$1,0)),"")</f>
        <v>5</v>
      </c>
      <c r="I384" s="20" t="str">
        <f>+IFERROR(INDEX('Restaurant Base (Hidden)'!$A$2:$Z$1048576,MATCH($C384,'Restaurant Base (Hidden)'!$C$2:$C$1048576,0),MATCH(I$6,'Restaurant Base (Hidden)'!$A$1:$Z$1,0)),"")</f>
        <v>62,20 %</v>
      </c>
      <c r="J384" s="49">
        <f>+IFERROR(INDEX('Restaurant Base (Hidden)'!$A$2:$Z$1048576,MATCH($C384,'Restaurant Base (Hidden)'!$C$2:$C$1048576,0),MATCH(J$6,'Restaurant Base (Hidden)'!$A$1:$Z$1,0)),"")</f>
        <v>1</v>
      </c>
      <c r="K384" s="20" t="str">
        <f>+IFERROR(INDEX('Restaurant Base (Hidden)'!$A$2:$Z$1048576,MATCH($C384,'Restaurant Base (Hidden)'!$C$2:$C$1048576,0),MATCH(K$6,'Restaurant Base (Hidden)'!$A$1:$Z$1,0)),"")</f>
        <v>0,179</v>
      </c>
      <c r="L384" s="51">
        <f>+IFERROR(INDEX('Restaurant Base (Hidden)'!$A$2:$Z$1048576,MATCH($C384,'Restaurant Base (Hidden)'!$C$2:$C$1048576,0),MATCH(L$6,'Restaurant Base (Hidden)'!$A$1:$Z$1,0)),"")</f>
        <v>2</v>
      </c>
      <c r="M384" s="2" t="str">
        <f>+IFERROR(INDEX('Restaurant Base (Hidden)'!$A$2:$Z$1048576,MATCH($C384,'Restaurant Base (Hidden)'!$C$2:$C$1048576,0),MATCH(M$6,'Restaurant Base (Hidden)'!$A$1:$Z$1,0)),"")</f>
        <v/>
      </c>
      <c r="N384" s="234" t="str">
        <f>+IFERROR(INDEX('Restaurant Base (Hidden)'!$A$2:$Z$1048576,MATCH($C384,'Restaurant Base (Hidden)'!$C$2:$C$1048576,0),MATCH(N$6,'Restaurant Base (Hidden)'!$A$1:$Z$1,0)),"")</f>
        <v>65,00 %</v>
      </c>
      <c r="O384" s="1">
        <f>+IFERROR(INDEX('Restaurant Base (Hidden)'!$A$2:$Z$1048576,MATCH($C384,'Restaurant Base (Hidden)'!$C$2:$C$1048576,0),MATCH(O$6,'Restaurant Base (Hidden)'!$A$1:$Z$1,0)),"")</f>
        <v>3</v>
      </c>
      <c r="P384" s="2" t="str">
        <f>+IFERROR(INDEX('Restaurant Base (Hidden)'!$A$2:$Z$1048576,MATCH($C384,'Restaurant Base (Hidden)'!$C$2:$C$1048576,0),MATCH(P$6,'Restaurant Base (Hidden)'!$A$1:$Z$1,0)),"")</f>
        <v/>
      </c>
      <c r="Q384" s="234" t="str">
        <f>+IFERROR(INDEX('Restaurant Base (Hidden)'!$A$2:$Z$1048576,MATCH($C384,'Restaurant Base (Hidden)'!$C$2:$C$1048576,0),MATCH(Q$6,'Restaurant Base (Hidden)'!$A$1:$Z$1,0)),"")</f>
        <v>72,50 %</v>
      </c>
      <c r="R384" s="1">
        <f>+IFERROR(INDEX('Restaurant Base (Hidden)'!$A$2:$Z$1048576,MATCH($C384,'Restaurant Base (Hidden)'!$C$2:$C$1048576,0),MATCH(R$6,'Restaurant Base (Hidden)'!$A$1:$Z$1,0)),"")</f>
        <v>4</v>
      </c>
      <c r="S384" s="2" t="str">
        <f>+IFERROR(INDEX('Restaurant Base (Hidden)'!$A$2:$Z$1048576,MATCH($C384,'Restaurant Base (Hidden)'!$C$2:$C$1048576,0),MATCH(S$6,'Restaurant Base (Hidden)'!$A$1:$Z$1,0)),"")</f>
        <v/>
      </c>
      <c r="T384" s="62">
        <f>+IFERROR(INDEX('Restaurant Base (Hidden)'!$A$2:$Z$1048576,MATCH($C384,'Restaurant Base (Hidden)'!$C$2:$C$1048576,0),MATCH(T$6,'Restaurant Base (Hidden)'!$A$1:$Z$1,0)),"")</f>
        <v>58</v>
      </c>
      <c r="U384" s="1">
        <f>+IFERROR(INDEX('Restaurant Base (Hidden)'!$A$2:$Z$1048576,MATCH($C384,'Restaurant Base (Hidden)'!$C$2:$C$1048576,0),MATCH(U$6,'Restaurant Base (Hidden)'!$A$1:$Z$1,0)),"")</f>
        <v>2</v>
      </c>
      <c r="V384" s="2" t="str">
        <f>+IFERROR(INDEX('Restaurant Base (Hidden)'!$A$2:$Z$1048576,MATCH($C384,'Restaurant Base (Hidden)'!$C$2:$C$1048576,0),MATCH(V$6,'Restaurant Base (Hidden)'!$A$1:$Z$1,0)),"")</f>
        <v/>
      </c>
      <c r="W384" s="65" t="str">
        <f>+IFERROR(INDEX('Restaurant Base (Hidden)'!$A$2:$Z$1048576,MATCH($C384,'Restaurant Base (Hidden)'!$C$2:$C$1048576,0),MATCH(W$6,'Restaurant Base (Hidden)'!$A$1:$Z$1,0)),"")</f>
        <v>78,70 %</v>
      </c>
      <c r="X384" s="1">
        <f>+IFERROR(INDEX('Restaurant Base (Hidden)'!$A$2:$Z$1048576,MATCH($C384,'Restaurant Base (Hidden)'!$C$2:$C$1048576,0),MATCH(X$6,'Restaurant Base (Hidden)'!$A$1:$Z$1,0)),"")</f>
        <v>2</v>
      </c>
      <c r="Y384" s="65" t="str">
        <f>+IFERROR(INDEX('Restaurant Base (Hidden)'!$A$2:$Z$1048576,MATCH($C384,'Restaurant Base (Hidden)'!$C$2:$C$1048576,0),MATCH(Y$6,'Restaurant Base (Hidden)'!$A$1:$Z$1,0)),"")</f>
        <v>61,30 %</v>
      </c>
      <c r="Z384" s="106">
        <f>+IFERROR(INDEX('Restaurant Base (Hidden)'!$A$2:$Z$1048576,MATCH($C384,'Restaurant Base (Hidden)'!$C$2:$C$1048576,0),MATCH(Z$6,'Restaurant Base (Hidden)'!$A$1:$Z$1,0)),"")</f>
        <v>2</v>
      </c>
      <c r="AA384" s="65" t="str">
        <f>+IFERROR(INDEX('Restaurant Base (Hidden)'!$A$2:$Z$1048576,MATCH($C384,'Restaurant Base (Hidden)'!$C$2:$C$1048576,0),MATCH(AA$6,'Restaurant Base (Hidden)'!$A$1:$Z$1,0)),"")</f>
        <v>58,10 %</v>
      </c>
      <c r="AB384" s="1">
        <f>+IFERROR(INDEX('Restaurant Base (Hidden)'!$A$2:$Z$1048576,MATCH($C384,'Restaurant Base (Hidden)'!$C$2:$C$1048576,0),MATCH(AB$6,'Restaurant Base (Hidden)'!$A$1:$Z$1,0)),"")</f>
        <v>1</v>
      </c>
      <c r="AC384" s="20" t="str">
        <f>+IFERROR(INDEX('Restaurant Base (Hidden)'!$A$2:$Z$1048576,MATCH($C384,'Restaurant Base (Hidden)'!$C$2:$C$1048576,0),MATCH(AC$6,'Restaurant Base (Hidden)'!$A$1:$Z$1,0)),"")</f>
        <v/>
      </c>
      <c r="AD384" s="65" t="str">
        <f>+IFERROR(INDEX('Restaurant Base (Hidden)'!$A$2:$Z$1048576,MATCH($C384,'Restaurant Base (Hidden)'!$C$2:$C$1048576,0),MATCH(AD$6,'Restaurant Base (Hidden)'!$A$1:$Z$1,0)),"")</f>
        <v>65,10 %</v>
      </c>
      <c r="AE384" s="1">
        <f>+IFERROR(INDEX('Restaurant Base (Hidden)'!$A$2:$Z$1048576,MATCH($C384,'Restaurant Base (Hidden)'!$C$2:$C$1048576,0),MATCH(AE$6,'Restaurant Base (Hidden)'!$A$1:$Z$1,0)),"")</f>
        <v>1</v>
      </c>
      <c r="AF384" s="65" t="str">
        <f>+IFERROR(INDEX('Restaurant Base (Hidden)'!$A$2:$Z$1048576,MATCH($C384,'Restaurant Base (Hidden)'!$C$2:$C$1048576,0),MATCH(AF$6,'Restaurant Base (Hidden)'!$A$1:$Z$1,0)),"")</f>
        <v>62,40 %</v>
      </c>
      <c r="AG384" s="1">
        <f>+IFERROR(INDEX('Restaurant Base (Hidden)'!$A$2:$Z$1048576,MATCH($C384,'Restaurant Base (Hidden)'!$C$2:$C$1048576,0),MATCH(AG$6,'Restaurant Base (Hidden)'!$A$1:$Z$1,0)),"")</f>
        <v>1</v>
      </c>
    </row>
    <row r="385" spans="1:33" ht="16" customHeight="1" x14ac:dyDescent="0.4">
      <c r="A385" s="163" t="str">
        <f>IF('Restaurant Base (Hidden)'!A213=0,"", 'Restaurant Base (Hidden)'!A213)</f>
        <v>Hayden Merriton</v>
      </c>
      <c r="B385" s="163" t="str">
        <f>IF('Restaurant Base (Hidden)'!B213=0,"", 'Restaurant Base (Hidden)'!B213)</f>
        <v>Maplewood Hospitality</v>
      </c>
      <c r="C385" s="163" t="str">
        <f>IF('Restaurant Base (Hidden)'!C213=0,"", 'Restaurant Base (Hidden)'!C213)</f>
        <v>Emerald Grove</v>
      </c>
      <c r="D385" s="104">
        <f t="shared" si="5"/>
        <v>379</v>
      </c>
      <c r="E385" s="105">
        <f>+IFERROR(INDEX('Restaurant Base (Hidden)'!$A$2:$Z$1048576,MATCH($C385,'Restaurant Base (Hidden)'!$C$2:$C$1048576,0),MATCH(E$6,'Restaurant Base (Hidden)'!$A$1:$Z$1,0)),"")</f>
        <v>2.2799999999999998</v>
      </c>
      <c r="F385" s="2" t="str">
        <f>+IFERROR(INDEX('Restaurant Base (Hidden)'!$A$2:$Z$1048576,MATCH($C385,'Restaurant Base (Hidden)'!$C$2:$C$1048576,0),MATCH(F$6,'Restaurant Base (Hidden)'!$A$1:$Z$1,0)),"")</f>
        <v/>
      </c>
      <c r="G385" s="20" t="str">
        <f>+IFERROR(INDEX('Restaurant Base (Hidden)'!$A$2:$Z$1048576,MATCH($C385,'Restaurant Base (Hidden)'!$C$2:$C$1048576,0),MATCH(G$6,'Restaurant Base (Hidden)'!$A$1:$Z$1,0)),"")</f>
        <v>4,110</v>
      </c>
      <c r="H385" s="50">
        <f>+IFERROR(INDEX('Restaurant Base (Hidden)'!$A$2:$Z$1048576,MATCH($C385,'Restaurant Base (Hidden)'!$C$2:$C$1048576,0),MATCH(H$6,'Restaurant Base (Hidden)'!$A$1:$Z$1,0)),"")</f>
        <v>2</v>
      </c>
      <c r="I385" s="20" t="str">
        <f>+IFERROR(INDEX('Restaurant Base (Hidden)'!$A$2:$Z$1048576,MATCH($C385,'Restaurant Base (Hidden)'!$C$2:$C$1048576,0),MATCH(I$6,'Restaurant Base (Hidden)'!$A$1:$Z$1,0)),"")</f>
        <v>66,40 %</v>
      </c>
      <c r="J385" s="49">
        <f>+IFERROR(INDEX('Restaurant Base (Hidden)'!$A$2:$Z$1048576,MATCH($C385,'Restaurant Base (Hidden)'!$C$2:$C$1048576,0),MATCH(J$6,'Restaurant Base (Hidden)'!$A$1:$Z$1,0)),"")</f>
        <v>1</v>
      </c>
      <c r="K385" s="20" t="str">
        <f>+IFERROR(INDEX('Restaurant Base (Hidden)'!$A$2:$Z$1048576,MATCH($C385,'Restaurant Base (Hidden)'!$C$2:$C$1048576,0),MATCH(K$6,'Restaurant Base (Hidden)'!$A$1:$Z$1,0)),"")</f>
        <v>0,129</v>
      </c>
      <c r="L385" s="51">
        <f>+IFERROR(INDEX('Restaurant Base (Hidden)'!$A$2:$Z$1048576,MATCH($C385,'Restaurant Base (Hidden)'!$C$2:$C$1048576,0),MATCH(L$6,'Restaurant Base (Hidden)'!$A$1:$Z$1,0)),"")</f>
        <v>3</v>
      </c>
      <c r="M385" s="2" t="str">
        <f>+IFERROR(INDEX('Restaurant Base (Hidden)'!$A$2:$Z$1048576,MATCH($C385,'Restaurant Base (Hidden)'!$C$2:$C$1048576,0),MATCH(M$6,'Restaurant Base (Hidden)'!$A$1:$Z$1,0)),"")</f>
        <v/>
      </c>
      <c r="N385" s="234" t="str">
        <f>+IFERROR(INDEX('Restaurant Base (Hidden)'!$A$2:$Z$1048576,MATCH($C385,'Restaurant Base (Hidden)'!$C$2:$C$1048576,0),MATCH(N$6,'Restaurant Base (Hidden)'!$A$1:$Z$1,0)),"")</f>
        <v>93,10 %</v>
      </c>
      <c r="O385" s="1">
        <f>+IFERROR(INDEX('Restaurant Base (Hidden)'!$A$2:$Z$1048576,MATCH($C385,'Restaurant Base (Hidden)'!$C$2:$C$1048576,0),MATCH(O$6,'Restaurant Base (Hidden)'!$A$1:$Z$1,0)),"")</f>
        <v>5</v>
      </c>
      <c r="P385" s="2" t="str">
        <f>+IFERROR(INDEX('Restaurant Base (Hidden)'!$A$2:$Z$1048576,MATCH($C385,'Restaurant Base (Hidden)'!$C$2:$C$1048576,0),MATCH(P$6,'Restaurant Base (Hidden)'!$A$1:$Z$1,0)),"")</f>
        <v/>
      </c>
      <c r="Q385" s="234" t="str">
        <f>+IFERROR(INDEX('Restaurant Base (Hidden)'!$A$2:$Z$1048576,MATCH($C385,'Restaurant Base (Hidden)'!$C$2:$C$1048576,0),MATCH(Q$6,'Restaurant Base (Hidden)'!$A$1:$Z$1,0)),"")</f>
        <v>62,50 %</v>
      </c>
      <c r="R385" s="1">
        <f>+IFERROR(INDEX('Restaurant Base (Hidden)'!$A$2:$Z$1048576,MATCH($C385,'Restaurant Base (Hidden)'!$C$2:$C$1048576,0),MATCH(R$6,'Restaurant Base (Hidden)'!$A$1:$Z$1,0)),"")</f>
        <v>2</v>
      </c>
      <c r="S385" s="2" t="str">
        <f>+IFERROR(INDEX('Restaurant Base (Hidden)'!$A$2:$Z$1048576,MATCH($C385,'Restaurant Base (Hidden)'!$C$2:$C$1048576,0),MATCH(S$6,'Restaurant Base (Hidden)'!$A$1:$Z$1,0)),"")</f>
        <v/>
      </c>
      <c r="T385" s="62">
        <f>+IFERROR(INDEX('Restaurant Base (Hidden)'!$A$2:$Z$1048576,MATCH($C385,'Restaurant Base (Hidden)'!$C$2:$C$1048576,0),MATCH(T$6,'Restaurant Base (Hidden)'!$A$1:$Z$1,0)),"")</f>
        <v>53</v>
      </c>
      <c r="U385" s="1">
        <f>+IFERROR(INDEX('Restaurant Base (Hidden)'!$A$2:$Z$1048576,MATCH($C385,'Restaurant Base (Hidden)'!$C$2:$C$1048576,0),MATCH(U$6,'Restaurant Base (Hidden)'!$A$1:$Z$1,0)),"")</f>
        <v>1</v>
      </c>
      <c r="V385" s="2" t="str">
        <f>+IFERROR(INDEX('Restaurant Base (Hidden)'!$A$2:$Z$1048576,MATCH($C385,'Restaurant Base (Hidden)'!$C$2:$C$1048576,0),MATCH(V$6,'Restaurant Base (Hidden)'!$A$1:$Z$1,0)),"")</f>
        <v/>
      </c>
      <c r="W385" s="65" t="str">
        <f>+IFERROR(INDEX('Restaurant Base (Hidden)'!$A$2:$Z$1048576,MATCH($C385,'Restaurant Base (Hidden)'!$C$2:$C$1048576,0),MATCH(W$6,'Restaurant Base (Hidden)'!$A$1:$Z$1,0)),"")</f>
        <v>55,50 %</v>
      </c>
      <c r="X385" s="1">
        <f>+IFERROR(INDEX('Restaurant Base (Hidden)'!$A$2:$Z$1048576,MATCH($C385,'Restaurant Base (Hidden)'!$C$2:$C$1048576,0),MATCH(X$6,'Restaurant Base (Hidden)'!$A$1:$Z$1,0)),"")</f>
        <v>1</v>
      </c>
      <c r="Y385" s="65" t="str">
        <f>+IFERROR(INDEX('Restaurant Base (Hidden)'!$A$2:$Z$1048576,MATCH($C385,'Restaurant Base (Hidden)'!$C$2:$C$1048576,0),MATCH(Y$6,'Restaurant Base (Hidden)'!$A$1:$Z$1,0)),"")</f>
        <v>79,80 %</v>
      </c>
      <c r="Z385" s="106">
        <f>+IFERROR(INDEX('Restaurant Base (Hidden)'!$A$2:$Z$1048576,MATCH($C385,'Restaurant Base (Hidden)'!$C$2:$C$1048576,0),MATCH(Z$6,'Restaurant Base (Hidden)'!$A$1:$Z$1,0)),"")</f>
        <v>2</v>
      </c>
      <c r="AA385" s="65" t="str">
        <f>+IFERROR(INDEX('Restaurant Base (Hidden)'!$A$2:$Z$1048576,MATCH($C385,'Restaurant Base (Hidden)'!$C$2:$C$1048576,0),MATCH(AA$6,'Restaurant Base (Hidden)'!$A$1:$Z$1,0)),"")</f>
        <v>73,20 %</v>
      </c>
      <c r="AB385" s="1">
        <f>+IFERROR(INDEX('Restaurant Base (Hidden)'!$A$2:$Z$1048576,MATCH($C385,'Restaurant Base (Hidden)'!$C$2:$C$1048576,0),MATCH(AB$6,'Restaurant Base (Hidden)'!$A$1:$Z$1,0)),"")</f>
        <v>2</v>
      </c>
      <c r="AC385" s="20" t="str">
        <f>+IFERROR(INDEX('Restaurant Base (Hidden)'!$A$2:$Z$1048576,MATCH($C385,'Restaurant Base (Hidden)'!$C$2:$C$1048576,0),MATCH(AC$6,'Restaurant Base (Hidden)'!$A$1:$Z$1,0)),"")</f>
        <v/>
      </c>
      <c r="AD385" s="65" t="str">
        <f>+IFERROR(INDEX('Restaurant Base (Hidden)'!$A$2:$Z$1048576,MATCH($C385,'Restaurant Base (Hidden)'!$C$2:$C$1048576,0),MATCH(AD$6,'Restaurant Base (Hidden)'!$A$1:$Z$1,0)),"")</f>
        <v>94,60 %</v>
      </c>
      <c r="AE385" s="1">
        <f>+IFERROR(INDEX('Restaurant Base (Hidden)'!$A$2:$Z$1048576,MATCH($C385,'Restaurant Base (Hidden)'!$C$2:$C$1048576,0),MATCH(AE$6,'Restaurant Base (Hidden)'!$A$1:$Z$1,0)),"")</f>
        <v>4</v>
      </c>
      <c r="AF385" s="65" t="str">
        <f>+IFERROR(INDEX('Restaurant Base (Hidden)'!$A$2:$Z$1048576,MATCH($C385,'Restaurant Base (Hidden)'!$C$2:$C$1048576,0),MATCH(AF$6,'Restaurant Base (Hidden)'!$A$1:$Z$1,0)),"")</f>
        <v>58,80 %</v>
      </c>
      <c r="AG385" s="1">
        <f>+IFERROR(INDEX('Restaurant Base (Hidden)'!$A$2:$Z$1048576,MATCH($C385,'Restaurant Base (Hidden)'!$C$2:$C$1048576,0),MATCH(AG$6,'Restaurant Base (Hidden)'!$A$1:$Z$1,0)),"")</f>
        <v>1</v>
      </c>
    </row>
    <row r="386" spans="1:33" ht="16" customHeight="1" x14ac:dyDescent="0.4">
      <c r="A386" s="163" t="str">
        <f>IF('Restaurant Base (Hidden)'!A48=0,"", 'Restaurant Base (Hidden)'!A48)</f>
        <v>Riley Wellington</v>
      </c>
      <c r="B386" s="163" t="str">
        <f>IF('Restaurant Base (Hidden)'!B48=0,"", 'Restaurant Base (Hidden)'!B48)</f>
        <v>Cedarstone Hospitality</v>
      </c>
      <c r="C386" s="163" t="str">
        <f>IF('Restaurant Base (Hidden)'!C48=0,"", 'Restaurant Base (Hidden)'!C48)</f>
        <v>Crown Village</v>
      </c>
      <c r="D386" s="104">
        <f t="shared" si="5"/>
        <v>380</v>
      </c>
      <c r="E386" s="105">
        <f>+IFERROR(INDEX('Restaurant Base (Hidden)'!$A$2:$Z$1048576,MATCH($C386,'Restaurant Base (Hidden)'!$C$2:$C$1048576,0),MATCH(E$6,'Restaurant Base (Hidden)'!$A$1:$Z$1,0)),"")</f>
        <v>2.27</v>
      </c>
      <c r="F386" s="64" t="str">
        <f>+IFERROR(INDEX('Restaurant Base (Hidden)'!$A$2:$Z$1048576,MATCH($C386,'Restaurant Base (Hidden)'!$C$2:$C$1048576,0),MATCH(F$6,'Restaurant Base (Hidden)'!$A$1:$Z$1,0)),"")</f>
        <v/>
      </c>
      <c r="G386" s="20" t="str">
        <f>+IFERROR(INDEX('Restaurant Base (Hidden)'!$A$2:$Z$1048576,MATCH($C386,'Restaurant Base (Hidden)'!$C$2:$C$1048576,0),MATCH(G$6,'Restaurant Base (Hidden)'!$A$1:$Z$1,0)),"")</f>
        <v>4,333</v>
      </c>
      <c r="H386" s="50">
        <f>+IFERROR(INDEX('Restaurant Base (Hidden)'!$A$2:$Z$1048576,MATCH($C386,'Restaurant Base (Hidden)'!$C$2:$C$1048576,0),MATCH(H$6,'Restaurant Base (Hidden)'!$A$1:$Z$1,0)),"")</f>
        <v>3</v>
      </c>
      <c r="I386" s="20" t="str">
        <f>+IFERROR(INDEX('Restaurant Base (Hidden)'!$A$2:$Z$1048576,MATCH($C386,'Restaurant Base (Hidden)'!$C$2:$C$1048576,0),MATCH(I$6,'Restaurant Base (Hidden)'!$A$1:$Z$1,0)),"")</f>
        <v>63,30 %</v>
      </c>
      <c r="J386" s="49">
        <f>+IFERROR(INDEX('Restaurant Base (Hidden)'!$A$2:$Z$1048576,MATCH($C386,'Restaurant Base (Hidden)'!$C$2:$C$1048576,0),MATCH(J$6,'Restaurant Base (Hidden)'!$A$1:$Z$1,0)),"")</f>
        <v>1</v>
      </c>
      <c r="K386" s="20" t="str">
        <f>+IFERROR(INDEX('Restaurant Base (Hidden)'!$A$2:$Z$1048576,MATCH($C386,'Restaurant Base (Hidden)'!$C$2:$C$1048576,0),MATCH(K$6,'Restaurant Base (Hidden)'!$A$1:$Z$1,0)),"")</f>
        <v>0,145</v>
      </c>
      <c r="L386" s="51">
        <f>+IFERROR(INDEX('Restaurant Base (Hidden)'!$A$2:$Z$1048576,MATCH($C386,'Restaurant Base (Hidden)'!$C$2:$C$1048576,0),MATCH(L$6,'Restaurant Base (Hidden)'!$A$1:$Z$1,0)),"")</f>
        <v>2</v>
      </c>
      <c r="M386" s="2" t="str">
        <f>+IFERROR(INDEX('Restaurant Base (Hidden)'!$A$2:$Z$1048576,MATCH($C386,'Restaurant Base (Hidden)'!$C$2:$C$1048576,0),MATCH(M$6,'Restaurant Base (Hidden)'!$A$1:$Z$1,0)),"")</f>
        <v/>
      </c>
      <c r="N386" s="234" t="str">
        <f>+IFERROR(INDEX('Restaurant Base (Hidden)'!$A$2:$Z$1048576,MATCH($C386,'Restaurant Base (Hidden)'!$C$2:$C$1048576,0),MATCH(N$6,'Restaurant Base (Hidden)'!$A$1:$Z$1,0)),"")</f>
        <v>67,70 %</v>
      </c>
      <c r="O386" s="1">
        <f>+IFERROR(INDEX('Restaurant Base (Hidden)'!$A$2:$Z$1048576,MATCH($C386,'Restaurant Base (Hidden)'!$C$2:$C$1048576,0),MATCH(O$6,'Restaurant Base (Hidden)'!$A$1:$Z$1,0)),"")</f>
        <v>3</v>
      </c>
      <c r="P386" s="2" t="str">
        <f>+IFERROR(INDEX('Restaurant Base (Hidden)'!$A$2:$Z$1048576,MATCH($C386,'Restaurant Base (Hidden)'!$C$2:$C$1048576,0),MATCH(P$6,'Restaurant Base (Hidden)'!$A$1:$Z$1,0)),"")</f>
        <v/>
      </c>
      <c r="Q386" s="234" t="str">
        <f>+IFERROR(INDEX('Restaurant Base (Hidden)'!$A$2:$Z$1048576,MATCH($C386,'Restaurant Base (Hidden)'!$C$2:$C$1048576,0),MATCH(Q$6,'Restaurant Base (Hidden)'!$A$1:$Z$1,0)),"")</f>
        <v>91,60 %</v>
      </c>
      <c r="R386" s="1">
        <f>+IFERROR(INDEX('Restaurant Base (Hidden)'!$A$2:$Z$1048576,MATCH($C386,'Restaurant Base (Hidden)'!$C$2:$C$1048576,0),MATCH(R$6,'Restaurant Base (Hidden)'!$A$1:$Z$1,0)),"")</f>
        <v>5</v>
      </c>
      <c r="S386" s="2" t="str">
        <f>+IFERROR(INDEX('Restaurant Base (Hidden)'!$A$2:$Z$1048576,MATCH($C386,'Restaurant Base (Hidden)'!$C$2:$C$1048576,0),MATCH(S$6,'Restaurant Base (Hidden)'!$A$1:$Z$1,0)),"")</f>
        <v/>
      </c>
      <c r="T386" s="62">
        <f>+IFERROR(INDEX('Restaurant Base (Hidden)'!$A$2:$Z$1048576,MATCH($C386,'Restaurant Base (Hidden)'!$C$2:$C$1048576,0),MATCH(T$6,'Restaurant Base (Hidden)'!$A$1:$Z$1,0)),"")</f>
        <v>56.6</v>
      </c>
      <c r="U386" s="1">
        <f>+IFERROR(INDEX('Restaurant Base (Hidden)'!$A$2:$Z$1048576,MATCH($C386,'Restaurant Base (Hidden)'!$C$2:$C$1048576,0),MATCH(U$6,'Restaurant Base (Hidden)'!$A$1:$Z$1,0)),"")</f>
        <v>1</v>
      </c>
      <c r="V386" s="2" t="str">
        <f>+IFERROR(INDEX('Restaurant Base (Hidden)'!$A$2:$Z$1048576,MATCH($C386,'Restaurant Base (Hidden)'!$C$2:$C$1048576,0),MATCH(V$6,'Restaurant Base (Hidden)'!$A$1:$Z$1,0)),"")</f>
        <v/>
      </c>
      <c r="W386" s="65" t="str">
        <f>+IFERROR(INDEX('Restaurant Base (Hidden)'!$A$2:$Z$1048576,MATCH($C386,'Restaurant Base (Hidden)'!$C$2:$C$1048576,0),MATCH(W$6,'Restaurant Base (Hidden)'!$A$1:$Z$1,0)),"")</f>
        <v>75,60 %</v>
      </c>
      <c r="X386" s="1">
        <f>+IFERROR(INDEX('Restaurant Base (Hidden)'!$A$2:$Z$1048576,MATCH($C386,'Restaurant Base (Hidden)'!$C$2:$C$1048576,0),MATCH(X$6,'Restaurant Base (Hidden)'!$A$1:$Z$1,0)),"")</f>
        <v>2</v>
      </c>
      <c r="Y386" s="65" t="str">
        <f>+IFERROR(INDEX('Restaurant Base (Hidden)'!$A$2:$Z$1048576,MATCH($C386,'Restaurant Base (Hidden)'!$C$2:$C$1048576,0),MATCH(Y$6,'Restaurant Base (Hidden)'!$A$1:$Z$1,0)),"")</f>
        <v>57,30 %</v>
      </c>
      <c r="Z386" s="106">
        <f>+IFERROR(INDEX('Restaurant Base (Hidden)'!$A$2:$Z$1048576,MATCH($C386,'Restaurant Base (Hidden)'!$C$2:$C$1048576,0),MATCH(Z$6,'Restaurant Base (Hidden)'!$A$1:$Z$1,0)),"")</f>
        <v>1</v>
      </c>
      <c r="AA386" s="65" t="str">
        <f>+IFERROR(INDEX('Restaurant Base (Hidden)'!$A$2:$Z$1048576,MATCH($C386,'Restaurant Base (Hidden)'!$C$2:$C$1048576,0),MATCH(AA$6,'Restaurant Base (Hidden)'!$A$1:$Z$1,0)),"")</f>
        <v>81,00 %</v>
      </c>
      <c r="AB386" s="1">
        <f>+IFERROR(INDEX('Restaurant Base (Hidden)'!$A$2:$Z$1048576,MATCH($C386,'Restaurant Base (Hidden)'!$C$2:$C$1048576,0),MATCH(AB$6,'Restaurant Base (Hidden)'!$A$1:$Z$1,0)),"")</f>
        <v>2</v>
      </c>
      <c r="AC386" s="20" t="str">
        <f>+IFERROR(INDEX('Restaurant Base (Hidden)'!$A$2:$Z$1048576,MATCH($C386,'Restaurant Base (Hidden)'!$C$2:$C$1048576,0),MATCH(AC$6,'Restaurant Base (Hidden)'!$A$1:$Z$1,0)),"")</f>
        <v/>
      </c>
      <c r="AD386" s="65" t="str">
        <f>+IFERROR(INDEX('Restaurant Base (Hidden)'!$A$2:$Z$1048576,MATCH($C386,'Restaurant Base (Hidden)'!$C$2:$C$1048576,0),MATCH(AD$6,'Restaurant Base (Hidden)'!$A$1:$Z$1,0)),"")</f>
        <v>69,20 %</v>
      </c>
      <c r="AE386" s="1">
        <f>+IFERROR(INDEX('Restaurant Base (Hidden)'!$A$2:$Z$1048576,MATCH($C386,'Restaurant Base (Hidden)'!$C$2:$C$1048576,0),MATCH(AE$6,'Restaurant Base (Hidden)'!$A$1:$Z$1,0)),"")</f>
        <v>1</v>
      </c>
      <c r="AF386" s="65" t="str">
        <f>+IFERROR(INDEX('Restaurant Base (Hidden)'!$A$2:$Z$1048576,MATCH($C386,'Restaurant Base (Hidden)'!$C$2:$C$1048576,0),MATCH(AF$6,'Restaurant Base (Hidden)'!$A$1:$Z$1,0)),"")</f>
        <v>79,80 %</v>
      </c>
      <c r="AG386" s="1">
        <f>+IFERROR(INDEX('Restaurant Base (Hidden)'!$A$2:$Z$1048576,MATCH($C386,'Restaurant Base (Hidden)'!$C$2:$C$1048576,0),MATCH(AG$6,'Restaurant Base (Hidden)'!$A$1:$Z$1,0)),"")</f>
        <v>2</v>
      </c>
    </row>
    <row r="387" spans="1:33" ht="16" customHeight="1" x14ac:dyDescent="0.4">
      <c r="A387" s="163" t="str">
        <f>IF('Restaurant Base (Hidden)'!A81=0,"", 'Restaurant Base (Hidden)'!A81)</f>
        <v>Arden Brookstone</v>
      </c>
      <c r="B387" s="163" t="str">
        <f>IF('Restaurant Base (Hidden)'!B81=0,"", 'Restaurant Base (Hidden)'!B81)</f>
        <v>Sunridge Food Partners</v>
      </c>
      <c r="C387" s="163" t="str">
        <f>IF('Restaurant Base (Hidden)'!C81=0,"", 'Restaurant Base (Hidden)'!C81)</f>
        <v>Copper Quay</v>
      </c>
      <c r="D387" s="104">
        <f t="shared" si="5"/>
        <v>381</v>
      </c>
      <c r="E387" s="105">
        <f>+IFERROR(INDEX('Restaurant Base (Hidden)'!$A$2:$Z$1048576,MATCH($C387,'Restaurant Base (Hidden)'!$C$2:$C$1048576,0),MATCH(E$6,'Restaurant Base (Hidden)'!$A$1:$Z$1,0)),"")</f>
        <v>2.2599999999999998</v>
      </c>
      <c r="F387" s="2" t="str">
        <f>+IFERROR(INDEX('Restaurant Base (Hidden)'!$A$2:$Z$1048576,MATCH($C387,'Restaurant Base (Hidden)'!$C$2:$C$1048576,0),MATCH(F$6,'Restaurant Base (Hidden)'!$A$1:$Z$1,0)),"")</f>
        <v/>
      </c>
      <c r="G387" s="20" t="str">
        <f>+IFERROR(INDEX('Restaurant Base (Hidden)'!$A$2:$Z$1048576,MATCH($C387,'Restaurant Base (Hidden)'!$C$2:$C$1048576,0),MATCH(G$6,'Restaurant Base (Hidden)'!$A$1:$Z$1,0)),"")</f>
        <v>4,759</v>
      </c>
      <c r="H387" s="50">
        <f>+IFERROR(INDEX('Restaurant Base (Hidden)'!$A$2:$Z$1048576,MATCH($C387,'Restaurant Base (Hidden)'!$C$2:$C$1048576,0),MATCH(H$6,'Restaurant Base (Hidden)'!$A$1:$Z$1,0)),"")</f>
        <v>5</v>
      </c>
      <c r="I387" s="20" t="str">
        <f>+IFERROR(INDEX('Restaurant Base (Hidden)'!$A$2:$Z$1048576,MATCH($C387,'Restaurant Base (Hidden)'!$C$2:$C$1048576,0),MATCH(I$6,'Restaurant Base (Hidden)'!$A$1:$Z$1,0)),"")</f>
        <v>69,30 %</v>
      </c>
      <c r="J387" s="49">
        <f>+IFERROR(INDEX('Restaurant Base (Hidden)'!$A$2:$Z$1048576,MATCH($C387,'Restaurant Base (Hidden)'!$C$2:$C$1048576,0),MATCH(J$6,'Restaurant Base (Hidden)'!$A$1:$Z$1,0)),"")</f>
        <v>1</v>
      </c>
      <c r="K387" s="20" t="str">
        <f>+IFERROR(INDEX('Restaurant Base (Hidden)'!$A$2:$Z$1048576,MATCH($C387,'Restaurant Base (Hidden)'!$C$2:$C$1048576,0),MATCH(K$6,'Restaurant Base (Hidden)'!$A$1:$Z$1,0)),"")</f>
        <v>0,142</v>
      </c>
      <c r="L387" s="51">
        <f>+IFERROR(INDEX('Restaurant Base (Hidden)'!$A$2:$Z$1048576,MATCH($C387,'Restaurant Base (Hidden)'!$C$2:$C$1048576,0),MATCH(L$6,'Restaurant Base (Hidden)'!$A$1:$Z$1,0)),"")</f>
        <v>2</v>
      </c>
      <c r="M387" s="2" t="str">
        <f>+IFERROR(INDEX('Restaurant Base (Hidden)'!$A$2:$Z$1048576,MATCH($C387,'Restaurant Base (Hidden)'!$C$2:$C$1048576,0),MATCH(M$6,'Restaurant Base (Hidden)'!$A$1:$Z$1,0)),"")</f>
        <v/>
      </c>
      <c r="N387" s="234" t="str">
        <f>+IFERROR(INDEX('Restaurant Base (Hidden)'!$A$2:$Z$1048576,MATCH($C387,'Restaurant Base (Hidden)'!$C$2:$C$1048576,0),MATCH(N$6,'Restaurant Base (Hidden)'!$A$1:$Z$1,0)),"")</f>
        <v>59,30 %</v>
      </c>
      <c r="O387" s="1">
        <f>+IFERROR(INDEX('Restaurant Base (Hidden)'!$A$2:$Z$1048576,MATCH($C387,'Restaurant Base (Hidden)'!$C$2:$C$1048576,0),MATCH(O$6,'Restaurant Base (Hidden)'!$A$1:$Z$1,0)),"")</f>
        <v>1</v>
      </c>
      <c r="P387" s="2" t="str">
        <f>+IFERROR(INDEX('Restaurant Base (Hidden)'!$A$2:$Z$1048576,MATCH($C387,'Restaurant Base (Hidden)'!$C$2:$C$1048576,0),MATCH(P$6,'Restaurant Base (Hidden)'!$A$1:$Z$1,0)),"")</f>
        <v/>
      </c>
      <c r="Q387" s="234" t="str">
        <f>+IFERROR(INDEX('Restaurant Base (Hidden)'!$A$2:$Z$1048576,MATCH($C387,'Restaurant Base (Hidden)'!$C$2:$C$1048576,0),MATCH(Q$6,'Restaurant Base (Hidden)'!$A$1:$Z$1,0)),"")</f>
        <v>69,40 %</v>
      </c>
      <c r="R387" s="1">
        <f>+IFERROR(INDEX('Restaurant Base (Hidden)'!$A$2:$Z$1048576,MATCH($C387,'Restaurant Base (Hidden)'!$C$2:$C$1048576,0),MATCH(R$6,'Restaurant Base (Hidden)'!$A$1:$Z$1,0)),"")</f>
        <v>4</v>
      </c>
      <c r="S387" s="2" t="str">
        <f>+IFERROR(INDEX('Restaurant Base (Hidden)'!$A$2:$Z$1048576,MATCH($C387,'Restaurant Base (Hidden)'!$C$2:$C$1048576,0),MATCH(S$6,'Restaurant Base (Hidden)'!$A$1:$Z$1,0)),"")</f>
        <v/>
      </c>
      <c r="T387" s="62">
        <f>+IFERROR(INDEX('Restaurant Base (Hidden)'!$A$2:$Z$1048576,MATCH($C387,'Restaurant Base (Hidden)'!$C$2:$C$1048576,0),MATCH(T$6,'Restaurant Base (Hidden)'!$A$1:$Z$1,0)),"")</f>
        <v>59.4</v>
      </c>
      <c r="U387" s="1">
        <f>+IFERROR(INDEX('Restaurant Base (Hidden)'!$A$2:$Z$1048576,MATCH($C387,'Restaurant Base (Hidden)'!$C$2:$C$1048576,0),MATCH(U$6,'Restaurant Base (Hidden)'!$A$1:$Z$1,0)),"")</f>
        <v>2</v>
      </c>
      <c r="V387" s="2" t="str">
        <f>+IFERROR(INDEX('Restaurant Base (Hidden)'!$A$2:$Z$1048576,MATCH($C387,'Restaurant Base (Hidden)'!$C$2:$C$1048576,0),MATCH(V$6,'Restaurant Base (Hidden)'!$A$1:$Z$1,0)),"")</f>
        <v/>
      </c>
      <c r="W387" s="65" t="str">
        <f>+IFERROR(INDEX('Restaurant Base (Hidden)'!$A$2:$Z$1048576,MATCH($C387,'Restaurant Base (Hidden)'!$C$2:$C$1048576,0),MATCH(W$6,'Restaurant Base (Hidden)'!$A$1:$Z$1,0)),"")</f>
        <v>61,70 %</v>
      </c>
      <c r="X387" s="1">
        <f>+IFERROR(INDEX('Restaurant Base (Hidden)'!$A$2:$Z$1048576,MATCH($C387,'Restaurant Base (Hidden)'!$C$2:$C$1048576,0),MATCH(X$6,'Restaurant Base (Hidden)'!$A$1:$Z$1,0)),"")</f>
        <v>2</v>
      </c>
      <c r="Y387" s="65" t="str">
        <f>+IFERROR(INDEX('Restaurant Base (Hidden)'!$A$2:$Z$1048576,MATCH($C387,'Restaurant Base (Hidden)'!$C$2:$C$1048576,0),MATCH(Y$6,'Restaurant Base (Hidden)'!$A$1:$Z$1,0)),"")</f>
        <v>80,70 %</v>
      </c>
      <c r="Z387" s="106">
        <f>+IFERROR(INDEX('Restaurant Base (Hidden)'!$A$2:$Z$1048576,MATCH($C387,'Restaurant Base (Hidden)'!$C$2:$C$1048576,0),MATCH(Z$6,'Restaurant Base (Hidden)'!$A$1:$Z$1,0)),"")</f>
        <v>2</v>
      </c>
      <c r="AA387" s="65" t="str">
        <f>+IFERROR(INDEX('Restaurant Base (Hidden)'!$A$2:$Z$1048576,MATCH($C387,'Restaurant Base (Hidden)'!$C$2:$C$1048576,0),MATCH(AA$6,'Restaurant Base (Hidden)'!$A$1:$Z$1,0)),"")</f>
        <v>62,80 %</v>
      </c>
      <c r="AB387" s="1">
        <f>+IFERROR(INDEX('Restaurant Base (Hidden)'!$A$2:$Z$1048576,MATCH($C387,'Restaurant Base (Hidden)'!$C$2:$C$1048576,0),MATCH(AB$6,'Restaurant Base (Hidden)'!$A$1:$Z$1,0)),"")</f>
        <v>2</v>
      </c>
      <c r="AC387" s="20" t="str">
        <f>+IFERROR(INDEX('Restaurant Base (Hidden)'!$A$2:$Z$1048576,MATCH($C387,'Restaurant Base (Hidden)'!$C$2:$C$1048576,0),MATCH(AC$6,'Restaurant Base (Hidden)'!$A$1:$Z$1,0)),"")</f>
        <v/>
      </c>
      <c r="AD387" s="65" t="str">
        <f>+IFERROR(INDEX('Restaurant Base (Hidden)'!$A$2:$Z$1048576,MATCH($C387,'Restaurant Base (Hidden)'!$C$2:$C$1048576,0),MATCH(AD$6,'Restaurant Base (Hidden)'!$A$1:$Z$1,0)),"")</f>
        <v>79,40 %</v>
      </c>
      <c r="AE387" s="1">
        <f>+IFERROR(INDEX('Restaurant Base (Hidden)'!$A$2:$Z$1048576,MATCH($C387,'Restaurant Base (Hidden)'!$C$2:$C$1048576,0),MATCH(AE$6,'Restaurant Base (Hidden)'!$A$1:$Z$1,0)),"")</f>
        <v>2</v>
      </c>
      <c r="AF387" s="65" t="str">
        <f>+IFERROR(INDEX('Restaurant Base (Hidden)'!$A$2:$Z$1048576,MATCH($C387,'Restaurant Base (Hidden)'!$C$2:$C$1048576,0),MATCH(AF$6,'Restaurant Base (Hidden)'!$A$1:$Z$1,0)),"")</f>
        <v>80,20 %</v>
      </c>
      <c r="AG387" s="1">
        <f>+IFERROR(INDEX('Restaurant Base (Hidden)'!$A$2:$Z$1048576,MATCH($C387,'Restaurant Base (Hidden)'!$C$2:$C$1048576,0),MATCH(AG$6,'Restaurant Base (Hidden)'!$A$1:$Z$1,0)),"")</f>
        <v>2</v>
      </c>
    </row>
    <row r="388" spans="1:33" ht="16" customHeight="1" x14ac:dyDescent="0.4">
      <c r="A388" s="163" t="str">
        <f>IF('Restaurant Base (Hidden)'!A96=0,"", 'Restaurant Base (Hidden)'!A96)</f>
        <v>Harper Langford</v>
      </c>
      <c r="B388" s="163" t="str">
        <f>IF('Restaurant Base (Hidden)'!B96=0,"", 'Restaurant Base (Hidden)'!B96)</f>
        <v>Redwood Food Partners</v>
      </c>
      <c r="C388" s="163" t="str">
        <f>IF('Restaurant Base (Hidden)'!C96=0,"", 'Restaurant Base (Hidden)'!C96)</f>
        <v>Cedar View</v>
      </c>
      <c r="D388" s="104">
        <f t="shared" si="5"/>
        <v>382</v>
      </c>
      <c r="E388" s="105">
        <f>+IFERROR(INDEX('Restaurant Base (Hidden)'!$A$2:$Z$1048576,MATCH($C388,'Restaurant Base (Hidden)'!$C$2:$C$1048576,0),MATCH(E$6,'Restaurant Base (Hidden)'!$A$1:$Z$1,0)),"")</f>
        <v>2.2400000000000002</v>
      </c>
      <c r="F388" s="2" t="str">
        <f>+IFERROR(INDEX('Restaurant Base (Hidden)'!$A$2:$Z$1048576,MATCH($C388,'Restaurant Base (Hidden)'!$C$2:$C$1048576,0),MATCH(F$6,'Restaurant Base (Hidden)'!$A$1:$Z$1,0)),"")</f>
        <v/>
      </c>
      <c r="G388" s="20" t="str">
        <f>+IFERROR(INDEX('Restaurant Base (Hidden)'!$A$2:$Z$1048576,MATCH($C388,'Restaurant Base (Hidden)'!$C$2:$C$1048576,0),MATCH(G$6,'Restaurant Base (Hidden)'!$A$1:$Z$1,0)),"")</f>
        <v>4,798</v>
      </c>
      <c r="H388" s="50">
        <f>+IFERROR(INDEX('Restaurant Base (Hidden)'!$A$2:$Z$1048576,MATCH($C388,'Restaurant Base (Hidden)'!$C$2:$C$1048576,0),MATCH(H$6,'Restaurant Base (Hidden)'!$A$1:$Z$1,0)),"")</f>
        <v>5</v>
      </c>
      <c r="I388" s="20" t="str">
        <f>+IFERROR(INDEX('Restaurant Base (Hidden)'!$A$2:$Z$1048576,MATCH($C388,'Restaurant Base (Hidden)'!$C$2:$C$1048576,0),MATCH(I$6,'Restaurant Base (Hidden)'!$A$1:$Z$1,0)),"")</f>
        <v>73,10 %</v>
      </c>
      <c r="J388" s="49">
        <f>+IFERROR(INDEX('Restaurant Base (Hidden)'!$A$2:$Z$1048576,MATCH($C388,'Restaurant Base (Hidden)'!$C$2:$C$1048576,0),MATCH(J$6,'Restaurant Base (Hidden)'!$A$1:$Z$1,0)),"")</f>
        <v>1</v>
      </c>
      <c r="K388" s="20" t="str">
        <f>+IFERROR(INDEX('Restaurant Base (Hidden)'!$A$2:$Z$1048576,MATCH($C388,'Restaurant Base (Hidden)'!$C$2:$C$1048576,0),MATCH(K$6,'Restaurant Base (Hidden)'!$A$1:$Z$1,0)),"")</f>
        <v>0,164</v>
      </c>
      <c r="L388" s="51">
        <f>+IFERROR(INDEX('Restaurant Base (Hidden)'!$A$2:$Z$1048576,MATCH($C388,'Restaurant Base (Hidden)'!$C$2:$C$1048576,0),MATCH(L$6,'Restaurant Base (Hidden)'!$A$1:$Z$1,0)),"")</f>
        <v>2</v>
      </c>
      <c r="M388" s="2" t="str">
        <f>+IFERROR(INDEX('Restaurant Base (Hidden)'!$A$2:$Z$1048576,MATCH($C388,'Restaurant Base (Hidden)'!$C$2:$C$1048576,0),MATCH(M$6,'Restaurant Base (Hidden)'!$A$1:$Z$1,0)),"")</f>
        <v/>
      </c>
      <c r="N388" s="234" t="str">
        <f>+IFERROR(INDEX('Restaurant Base (Hidden)'!$A$2:$Z$1048576,MATCH($C388,'Restaurant Base (Hidden)'!$C$2:$C$1048576,0),MATCH(N$6,'Restaurant Base (Hidden)'!$A$1:$Z$1,0)),"")</f>
        <v>61,00 %</v>
      </c>
      <c r="O388" s="1">
        <f>+IFERROR(INDEX('Restaurant Base (Hidden)'!$A$2:$Z$1048576,MATCH($C388,'Restaurant Base (Hidden)'!$C$2:$C$1048576,0),MATCH(O$6,'Restaurant Base (Hidden)'!$A$1:$Z$1,0)),"")</f>
        <v>2</v>
      </c>
      <c r="P388" s="2" t="str">
        <f>+IFERROR(INDEX('Restaurant Base (Hidden)'!$A$2:$Z$1048576,MATCH($C388,'Restaurant Base (Hidden)'!$C$2:$C$1048576,0),MATCH(P$6,'Restaurant Base (Hidden)'!$A$1:$Z$1,0)),"")</f>
        <v/>
      </c>
      <c r="Q388" s="234" t="str">
        <f>+IFERROR(INDEX('Restaurant Base (Hidden)'!$A$2:$Z$1048576,MATCH($C388,'Restaurant Base (Hidden)'!$C$2:$C$1048576,0),MATCH(Q$6,'Restaurant Base (Hidden)'!$A$1:$Z$1,0)),"")</f>
        <v>67,20 %</v>
      </c>
      <c r="R388" s="1">
        <f>+IFERROR(INDEX('Restaurant Base (Hidden)'!$A$2:$Z$1048576,MATCH($C388,'Restaurant Base (Hidden)'!$C$2:$C$1048576,0),MATCH(R$6,'Restaurant Base (Hidden)'!$A$1:$Z$1,0)),"")</f>
        <v>3</v>
      </c>
      <c r="S388" s="2" t="str">
        <f>+IFERROR(INDEX('Restaurant Base (Hidden)'!$A$2:$Z$1048576,MATCH($C388,'Restaurant Base (Hidden)'!$C$2:$C$1048576,0),MATCH(S$6,'Restaurant Base (Hidden)'!$A$1:$Z$1,0)),"")</f>
        <v/>
      </c>
      <c r="T388" s="62">
        <f>+IFERROR(INDEX('Restaurant Base (Hidden)'!$A$2:$Z$1048576,MATCH($C388,'Restaurant Base (Hidden)'!$C$2:$C$1048576,0),MATCH(T$6,'Restaurant Base (Hidden)'!$A$1:$Z$1,0)),"")</f>
        <v>53.7</v>
      </c>
      <c r="U388" s="1">
        <f>+IFERROR(INDEX('Restaurant Base (Hidden)'!$A$2:$Z$1048576,MATCH($C388,'Restaurant Base (Hidden)'!$C$2:$C$1048576,0),MATCH(U$6,'Restaurant Base (Hidden)'!$A$1:$Z$1,0)),"")</f>
        <v>1</v>
      </c>
      <c r="V388" s="2" t="str">
        <f>+IFERROR(INDEX('Restaurant Base (Hidden)'!$A$2:$Z$1048576,MATCH($C388,'Restaurant Base (Hidden)'!$C$2:$C$1048576,0),MATCH(V$6,'Restaurant Base (Hidden)'!$A$1:$Z$1,0)),"")</f>
        <v/>
      </c>
      <c r="W388" s="65" t="str">
        <f>+IFERROR(INDEX('Restaurant Base (Hidden)'!$A$2:$Z$1048576,MATCH($C388,'Restaurant Base (Hidden)'!$C$2:$C$1048576,0),MATCH(W$6,'Restaurant Base (Hidden)'!$A$1:$Z$1,0)),"")</f>
        <v>90,10 %</v>
      </c>
      <c r="X388" s="1">
        <f>+IFERROR(INDEX('Restaurant Base (Hidden)'!$A$2:$Z$1048576,MATCH($C388,'Restaurant Base (Hidden)'!$C$2:$C$1048576,0),MATCH(X$6,'Restaurant Base (Hidden)'!$A$1:$Z$1,0)),"")</f>
        <v>3</v>
      </c>
      <c r="Y388" s="65" t="str">
        <f>+IFERROR(INDEX('Restaurant Base (Hidden)'!$A$2:$Z$1048576,MATCH($C388,'Restaurant Base (Hidden)'!$C$2:$C$1048576,0),MATCH(Y$6,'Restaurant Base (Hidden)'!$A$1:$Z$1,0)),"")</f>
        <v>58,60 %</v>
      </c>
      <c r="Z388" s="106">
        <f>+IFERROR(INDEX('Restaurant Base (Hidden)'!$A$2:$Z$1048576,MATCH($C388,'Restaurant Base (Hidden)'!$C$2:$C$1048576,0),MATCH(Z$6,'Restaurant Base (Hidden)'!$A$1:$Z$1,0)),"")</f>
        <v>1</v>
      </c>
      <c r="AA388" s="65" t="str">
        <f>+IFERROR(INDEX('Restaurant Base (Hidden)'!$A$2:$Z$1048576,MATCH($C388,'Restaurant Base (Hidden)'!$C$2:$C$1048576,0),MATCH(AA$6,'Restaurant Base (Hidden)'!$A$1:$Z$1,0)),"")</f>
        <v>78,00 %</v>
      </c>
      <c r="AB388" s="1">
        <f>+IFERROR(INDEX('Restaurant Base (Hidden)'!$A$2:$Z$1048576,MATCH($C388,'Restaurant Base (Hidden)'!$C$2:$C$1048576,0),MATCH(AB$6,'Restaurant Base (Hidden)'!$A$1:$Z$1,0)),"")</f>
        <v>2</v>
      </c>
      <c r="AC388" s="20" t="str">
        <f>+IFERROR(INDEX('Restaurant Base (Hidden)'!$A$2:$Z$1048576,MATCH($C388,'Restaurant Base (Hidden)'!$C$2:$C$1048576,0),MATCH(AC$6,'Restaurant Base (Hidden)'!$A$1:$Z$1,0)),"")</f>
        <v/>
      </c>
      <c r="AD388" s="65" t="str">
        <f>+IFERROR(INDEX('Restaurant Base (Hidden)'!$A$2:$Z$1048576,MATCH($C388,'Restaurant Base (Hidden)'!$C$2:$C$1048576,0),MATCH(AD$6,'Restaurant Base (Hidden)'!$A$1:$Z$1,0)),"")</f>
        <v>86,40 %</v>
      </c>
      <c r="AE388" s="1">
        <f>+IFERROR(INDEX('Restaurant Base (Hidden)'!$A$2:$Z$1048576,MATCH($C388,'Restaurant Base (Hidden)'!$C$2:$C$1048576,0),MATCH(AE$6,'Restaurant Base (Hidden)'!$A$1:$Z$1,0)),"")</f>
        <v>3</v>
      </c>
      <c r="AF388" s="65" t="str">
        <f>+IFERROR(INDEX('Restaurant Base (Hidden)'!$A$2:$Z$1048576,MATCH($C388,'Restaurant Base (Hidden)'!$C$2:$C$1048576,0),MATCH(AF$6,'Restaurant Base (Hidden)'!$A$1:$Z$1,0)),"")</f>
        <v>81,20 %</v>
      </c>
      <c r="AG388" s="1">
        <f>+IFERROR(INDEX('Restaurant Base (Hidden)'!$A$2:$Z$1048576,MATCH($C388,'Restaurant Base (Hidden)'!$C$2:$C$1048576,0),MATCH(AG$6,'Restaurant Base (Hidden)'!$A$1:$Z$1,0)),"")</f>
        <v>2</v>
      </c>
    </row>
    <row r="389" spans="1:33" ht="16" customHeight="1" x14ac:dyDescent="0.4">
      <c r="A389" s="163" t="str">
        <f>IF('Restaurant Base (Hidden)'!A398=0,"", 'Restaurant Base (Hidden)'!A398)</f>
        <v>Skyler Everhart</v>
      </c>
      <c r="B389" s="163" t="str">
        <f>IF('Restaurant Base (Hidden)'!B398=0,"", 'Restaurant Base (Hidden)'!B398)</f>
        <v>Havenbrook Restaurants</v>
      </c>
      <c r="C389" s="163" t="str">
        <f>IF('Restaurant Base (Hidden)'!C398=0,"", 'Restaurant Base (Hidden)'!C398)</f>
        <v>Copper Commons</v>
      </c>
      <c r="D389" s="104">
        <f t="shared" si="5"/>
        <v>382</v>
      </c>
      <c r="E389" s="105">
        <f>+IFERROR(INDEX('Restaurant Base (Hidden)'!$A$2:$Z$1048576,MATCH($C389,'Restaurant Base (Hidden)'!$C$2:$C$1048576,0),MATCH(E$6,'Restaurant Base (Hidden)'!$A$1:$Z$1,0)),"")</f>
        <v>2.2400000000000002</v>
      </c>
      <c r="F389" s="2" t="str">
        <f>+IFERROR(INDEX('Restaurant Base (Hidden)'!$A$2:$Z$1048576,MATCH($C389,'Restaurant Base (Hidden)'!$C$2:$C$1048576,0),MATCH(F$6,'Restaurant Base (Hidden)'!$A$1:$Z$1,0)),"")</f>
        <v/>
      </c>
      <c r="G389" s="20" t="str">
        <f>+IFERROR(INDEX('Restaurant Base (Hidden)'!$A$2:$Z$1048576,MATCH($C389,'Restaurant Base (Hidden)'!$C$2:$C$1048576,0),MATCH(G$6,'Restaurant Base (Hidden)'!$A$1:$Z$1,0)),"")</f>
        <v>4,445</v>
      </c>
      <c r="H389" s="50">
        <f>+IFERROR(INDEX('Restaurant Base (Hidden)'!$A$2:$Z$1048576,MATCH($C389,'Restaurant Base (Hidden)'!$C$2:$C$1048576,0),MATCH(H$6,'Restaurant Base (Hidden)'!$A$1:$Z$1,0)),"")</f>
        <v>4</v>
      </c>
      <c r="I389" s="20" t="str">
        <f>+IFERROR(INDEX('Restaurant Base (Hidden)'!$A$2:$Z$1048576,MATCH($C389,'Restaurant Base (Hidden)'!$C$2:$C$1048576,0),MATCH(I$6,'Restaurant Base (Hidden)'!$A$1:$Z$1,0)),"")</f>
        <v>65,90 %</v>
      </c>
      <c r="J389" s="49">
        <f>+IFERROR(INDEX('Restaurant Base (Hidden)'!$A$2:$Z$1048576,MATCH($C389,'Restaurant Base (Hidden)'!$C$2:$C$1048576,0),MATCH(J$6,'Restaurant Base (Hidden)'!$A$1:$Z$1,0)),"")</f>
        <v>1</v>
      </c>
      <c r="K389" s="20" t="str">
        <f>+IFERROR(INDEX('Restaurant Base (Hidden)'!$A$2:$Z$1048576,MATCH($C389,'Restaurant Base (Hidden)'!$C$2:$C$1048576,0),MATCH(K$6,'Restaurant Base (Hidden)'!$A$1:$Z$1,0)),"")</f>
        <v>0,073</v>
      </c>
      <c r="L389" s="51">
        <f>+IFERROR(INDEX('Restaurant Base (Hidden)'!$A$2:$Z$1048576,MATCH($C389,'Restaurant Base (Hidden)'!$C$2:$C$1048576,0),MATCH(L$6,'Restaurant Base (Hidden)'!$A$1:$Z$1,0)),"")</f>
        <v>4</v>
      </c>
      <c r="M389" s="2" t="str">
        <f>+IFERROR(INDEX('Restaurant Base (Hidden)'!$A$2:$Z$1048576,MATCH($C389,'Restaurant Base (Hidden)'!$C$2:$C$1048576,0),MATCH(M$6,'Restaurant Base (Hidden)'!$A$1:$Z$1,0)),"")</f>
        <v/>
      </c>
      <c r="N389" s="234" t="str">
        <f>+IFERROR(INDEX('Restaurant Base (Hidden)'!$A$2:$Z$1048576,MATCH($C389,'Restaurant Base (Hidden)'!$C$2:$C$1048576,0),MATCH(N$6,'Restaurant Base (Hidden)'!$A$1:$Z$1,0)),"")</f>
        <v>57,10 %</v>
      </c>
      <c r="O389" s="1">
        <f>+IFERROR(INDEX('Restaurant Base (Hidden)'!$A$2:$Z$1048576,MATCH($C389,'Restaurant Base (Hidden)'!$C$2:$C$1048576,0),MATCH(O$6,'Restaurant Base (Hidden)'!$A$1:$Z$1,0)),"")</f>
        <v>1</v>
      </c>
      <c r="P389" s="2" t="str">
        <f>+IFERROR(INDEX('Restaurant Base (Hidden)'!$A$2:$Z$1048576,MATCH($C389,'Restaurant Base (Hidden)'!$C$2:$C$1048576,0),MATCH(P$6,'Restaurant Base (Hidden)'!$A$1:$Z$1,0)),"")</f>
        <v/>
      </c>
      <c r="Q389" s="234" t="str">
        <f>+IFERROR(INDEX('Restaurant Base (Hidden)'!$A$2:$Z$1048576,MATCH($C389,'Restaurant Base (Hidden)'!$C$2:$C$1048576,0),MATCH(Q$6,'Restaurant Base (Hidden)'!$A$1:$Z$1,0)),"")</f>
        <v>64,80 %</v>
      </c>
      <c r="R389" s="1">
        <f>+IFERROR(INDEX('Restaurant Base (Hidden)'!$A$2:$Z$1048576,MATCH($C389,'Restaurant Base (Hidden)'!$C$2:$C$1048576,0),MATCH(R$6,'Restaurant Base (Hidden)'!$A$1:$Z$1,0)),"")</f>
        <v>2</v>
      </c>
      <c r="S389" s="2" t="str">
        <f>+IFERROR(INDEX('Restaurant Base (Hidden)'!$A$2:$Z$1048576,MATCH($C389,'Restaurant Base (Hidden)'!$C$2:$C$1048576,0),MATCH(S$6,'Restaurant Base (Hidden)'!$A$1:$Z$1,0)),"")</f>
        <v/>
      </c>
      <c r="T389" s="62">
        <f>+IFERROR(INDEX('Restaurant Base (Hidden)'!$A$2:$Z$1048576,MATCH($C389,'Restaurant Base (Hidden)'!$C$2:$C$1048576,0),MATCH(T$6,'Restaurant Base (Hidden)'!$A$1:$Z$1,0)),"")</f>
        <v>61.3</v>
      </c>
      <c r="U389" s="1">
        <f>+IFERROR(INDEX('Restaurant Base (Hidden)'!$A$2:$Z$1048576,MATCH($C389,'Restaurant Base (Hidden)'!$C$2:$C$1048576,0),MATCH(U$6,'Restaurant Base (Hidden)'!$A$1:$Z$1,0)),"")</f>
        <v>3</v>
      </c>
      <c r="V389" s="2" t="str">
        <f>+IFERROR(INDEX('Restaurant Base (Hidden)'!$A$2:$Z$1048576,MATCH($C389,'Restaurant Base (Hidden)'!$C$2:$C$1048576,0),MATCH(V$6,'Restaurant Base (Hidden)'!$A$1:$Z$1,0)),"")</f>
        <v/>
      </c>
      <c r="W389" s="65" t="str">
        <f>+IFERROR(INDEX('Restaurant Base (Hidden)'!$A$2:$Z$1048576,MATCH($C389,'Restaurant Base (Hidden)'!$C$2:$C$1048576,0),MATCH(W$6,'Restaurant Base (Hidden)'!$A$1:$Z$1,0)),"")</f>
        <v>89,60 %</v>
      </c>
      <c r="X389" s="1">
        <f>+IFERROR(INDEX('Restaurant Base (Hidden)'!$A$2:$Z$1048576,MATCH($C389,'Restaurant Base (Hidden)'!$C$2:$C$1048576,0),MATCH(X$6,'Restaurant Base (Hidden)'!$A$1:$Z$1,0)),"")</f>
        <v>3</v>
      </c>
      <c r="Y389" s="65" t="str">
        <f>+IFERROR(INDEX('Restaurant Base (Hidden)'!$A$2:$Z$1048576,MATCH($C389,'Restaurant Base (Hidden)'!$C$2:$C$1048576,0),MATCH(Y$6,'Restaurant Base (Hidden)'!$A$1:$Z$1,0)),"")</f>
        <v>81,70 %</v>
      </c>
      <c r="Z389" s="106">
        <f>+IFERROR(INDEX('Restaurant Base (Hidden)'!$A$2:$Z$1048576,MATCH($C389,'Restaurant Base (Hidden)'!$C$2:$C$1048576,0),MATCH(Z$6,'Restaurant Base (Hidden)'!$A$1:$Z$1,0)),"")</f>
        <v>2</v>
      </c>
      <c r="AA389" s="65" t="str">
        <f>+IFERROR(INDEX('Restaurant Base (Hidden)'!$A$2:$Z$1048576,MATCH($C389,'Restaurant Base (Hidden)'!$C$2:$C$1048576,0),MATCH(AA$6,'Restaurant Base (Hidden)'!$A$1:$Z$1,0)),"")</f>
        <v>91,60 %</v>
      </c>
      <c r="AB389" s="1">
        <f>+IFERROR(INDEX('Restaurant Base (Hidden)'!$A$2:$Z$1048576,MATCH($C389,'Restaurant Base (Hidden)'!$C$2:$C$1048576,0),MATCH(AB$6,'Restaurant Base (Hidden)'!$A$1:$Z$1,0)),"")</f>
        <v>3</v>
      </c>
      <c r="AC389" s="20" t="str">
        <f>+IFERROR(INDEX('Restaurant Base (Hidden)'!$A$2:$Z$1048576,MATCH($C389,'Restaurant Base (Hidden)'!$C$2:$C$1048576,0),MATCH(AC$6,'Restaurant Base (Hidden)'!$A$1:$Z$1,0)),"")</f>
        <v/>
      </c>
      <c r="AD389" s="65" t="str">
        <f>+IFERROR(INDEX('Restaurant Base (Hidden)'!$A$2:$Z$1048576,MATCH($C389,'Restaurant Base (Hidden)'!$C$2:$C$1048576,0),MATCH(AD$6,'Restaurant Base (Hidden)'!$A$1:$Z$1,0)),"")</f>
        <v>73,80 %</v>
      </c>
      <c r="AE389" s="1">
        <f>+IFERROR(INDEX('Restaurant Base (Hidden)'!$A$2:$Z$1048576,MATCH($C389,'Restaurant Base (Hidden)'!$C$2:$C$1048576,0),MATCH(AE$6,'Restaurant Base (Hidden)'!$A$1:$Z$1,0)),"")</f>
        <v>2</v>
      </c>
      <c r="AF389" s="65" t="str">
        <f>+IFERROR(INDEX('Restaurant Base (Hidden)'!$A$2:$Z$1048576,MATCH($C389,'Restaurant Base (Hidden)'!$C$2:$C$1048576,0),MATCH(AF$6,'Restaurant Base (Hidden)'!$A$1:$Z$1,0)),"")</f>
        <v>79,50 %</v>
      </c>
      <c r="AG389" s="1">
        <f>+IFERROR(INDEX('Restaurant Base (Hidden)'!$A$2:$Z$1048576,MATCH($C389,'Restaurant Base (Hidden)'!$C$2:$C$1048576,0),MATCH(AG$6,'Restaurant Base (Hidden)'!$A$1:$Z$1,0)),"")</f>
        <v>2</v>
      </c>
    </row>
    <row r="390" spans="1:33" ht="16" customHeight="1" x14ac:dyDescent="0.4">
      <c r="A390" s="163" t="str">
        <f>IF('Restaurant Base (Hidden)'!A111=0,"", 'Restaurant Base (Hidden)'!A111)</f>
        <v>Emerson Greenleigh</v>
      </c>
      <c r="B390" s="163" t="str">
        <f>IF('Restaurant Base (Hidden)'!B111=0,"", 'Restaurant Base (Hidden)'!B111)</f>
        <v>Rosebridge Hospitality</v>
      </c>
      <c r="C390" s="163" t="str">
        <f>IF('Restaurant Base (Hidden)'!C111=0,"", 'Restaurant Base (Hidden)'!C111)</f>
        <v>Meadow Park</v>
      </c>
      <c r="D390" s="104">
        <f t="shared" si="5"/>
        <v>384</v>
      </c>
      <c r="E390" s="105">
        <f>+IFERROR(INDEX('Restaurant Base (Hidden)'!$A$2:$Z$1048576,MATCH($C390,'Restaurant Base (Hidden)'!$C$2:$C$1048576,0),MATCH(E$6,'Restaurant Base (Hidden)'!$A$1:$Z$1,0)),"")</f>
        <v>2.2000000000000002</v>
      </c>
      <c r="F390" s="2" t="str">
        <f>+IFERROR(INDEX('Restaurant Base (Hidden)'!$A$2:$Z$1048576,MATCH($C390,'Restaurant Base (Hidden)'!$C$2:$C$1048576,0),MATCH(F$6,'Restaurant Base (Hidden)'!$A$1:$Z$1,0)),"")</f>
        <v/>
      </c>
      <c r="G390" s="20" t="str">
        <f>+IFERROR(INDEX('Restaurant Base (Hidden)'!$A$2:$Z$1048576,MATCH($C390,'Restaurant Base (Hidden)'!$C$2:$C$1048576,0),MATCH(G$6,'Restaurant Base (Hidden)'!$A$1:$Z$1,0)),"")</f>
        <v>4,054</v>
      </c>
      <c r="H390" s="50">
        <f>+IFERROR(INDEX('Restaurant Base (Hidden)'!$A$2:$Z$1048576,MATCH($C390,'Restaurant Base (Hidden)'!$C$2:$C$1048576,0),MATCH(H$6,'Restaurant Base (Hidden)'!$A$1:$Z$1,0)),"")</f>
        <v>2</v>
      </c>
      <c r="I390" s="20" t="str">
        <f>+IFERROR(INDEX('Restaurant Base (Hidden)'!$A$2:$Z$1048576,MATCH($C390,'Restaurant Base (Hidden)'!$C$2:$C$1048576,0),MATCH(I$6,'Restaurant Base (Hidden)'!$A$1:$Z$1,0)),"")</f>
        <v>65,60 %</v>
      </c>
      <c r="J390" s="49">
        <f>+IFERROR(INDEX('Restaurant Base (Hidden)'!$A$2:$Z$1048576,MATCH($C390,'Restaurant Base (Hidden)'!$C$2:$C$1048576,0),MATCH(J$6,'Restaurant Base (Hidden)'!$A$1:$Z$1,0)),"")</f>
        <v>1</v>
      </c>
      <c r="K390" s="20" t="str">
        <f>+IFERROR(INDEX('Restaurant Base (Hidden)'!$A$2:$Z$1048576,MATCH($C390,'Restaurant Base (Hidden)'!$C$2:$C$1048576,0),MATCH(K$6,'Restaurant Base (Hidden)'!$A$1:$Z$1,0)),"")</f>
        <v>0,062</v>
      </c>
      <c r="L390" s="51">
        <f>+IFERROR(INDEX('Restaurant Base (Hidden)'!$A$2:$Z$1048576,MATCH($C390,'Restaurant Base (Hidden)'!$C$2:$C$1048576,0),MATCH(L$6,'Restaurant Base (Hidden)'!$A$1:$Z$1,0)),"")</f>
        <v>4</v>
      </c>
      <c r="M390" s="2" t="str">
        <f>+IFERROR(INDEX('Restaurant Base (Hidden)'!$A$2:$Z$1048576,MATCH($C390,'Restaurant Base (Hidden)'!$C$2:$C$1048576,0),MATCH(M$6,'Restaurant Base (Hidden)'!$A$1:$Z$1,0)),"")</f>
        <v/>
      </c>
      <c r="N390" s="234" t="str">
        <f>+IFERROR(INDEX('Restaurant Base (Hidden)'!$A$2:$Z$1048576,MATCH($C390,'Restaurant Base (Hidden)'!$C$2:$C$1048576,0),MATCH(N$6,'Restaurant Base (Hidden)'!$A$1:$Z$1,0)),"")</f>
        <v>65,10 %</v>
      </c>
      <c r="O390" s="1">
        <f>+IFERROR(INDEX('Restaurant Base (Hidden)'!$A$2:$Z$1048576,MATCH($C390,'Restaurant Base (Hidden)'!$C$2:$C$1048576,0),MATCH(O$6,'Restaurant Base (Hidden)'!$A$1:$Z$1,0)),"")</f>
        <v>3</v>
      </c>
      <c r="P390" s="2" t="str">
        <f>+IFERROR(INDEX('Restaurant Base (Hidden)'!$A$2:$Z$1048576,MATCH($C390,'Restaurant Base (Hidden)'!$C$2:$C$1048576,0),MATCH(P$6,'Restaurant Base (Hidden)'!$A$1:$Z$1,0)),"")</f>
        <v/>
      </c>
      <c r="Q390" s="234" t="str">
        <f>+IFERROR(INDEX('Restaurant Base (Hidden)'!$A$2:$Z$1048576,MATCH($C390,'Restaurant Base (Hidden)'!$C$2:$C$1048576,0),MATCH(Q$6,'Restaurant Base (Hidden)'!$A$1:$Z$1,0)),"")</f>
        <v>60,20 %</v>
      </c>
      <c r="R390" s="1">
        <f>+IFERROR(INDEX('Restaurant Base (Hidden)'!$A$2:$Z$1048576,MATCH($C390,'Restaurant Base (Hidden)'!$C$2:$C$1048576,0),MATCH(R$6,'Restaurant Base (Hidden)'!$A$1:$Z$1,0)),"")</f>
        <v>1</v>
      </c>
      <c r="S390" s="2" t="str">
        <f>+IFERROR(INDEX('Restaurant Base (Hidden)'!$A$2:$Z$1048576,MATCH($C390,'Restaurant Base (Hidden)'!$C$2:$C$1048576,0),MATCH(S$6,'Restaurant Base (Hidden)'!$A$1:$Z$1,0)),"")</f>
        <v/>
      </c>
      <c r="T390" s="62">
        <f>+IFERROR(INDEX('Restaurant Base (Hidden)'!$A$2:$Z$1048576,MATCH($C390,'Restaurant Base (Hidden)'!$C$2:$C$1048576,0),MATCH(T$6,'Restaurant Base (Hidden)'!$A$1:$Z$1,0)),"")</f>
        <v>77.5</v>
      </c>
      <c r="U390" s="1">
        <f>+IFERROR(INDEX('Restaurant Base (Hidden)'!$A$2:$Z$1048576,MATCH($C390,'Restaurant Base (Hidden)'!$C$2:$C$1048576,0),MATCH(U$6,'Restaurant Base (Hidden)'!$A$1:$Z$1,0)),"")</f>
        <v>5</v>
      </c>
      <c r="V390" s="2" t="str">
        <f>+IFERROR(INDEX('Restaurant Base (Hidden)'!$A$2:$Z$1048576,MATCH($C390,'Restaurant Base (Hidden)'!$C$2:$C$1048576,0),MATCH(V$6,'Restaurant Base (Hidden)'!$A$1:$Z$1,0)),"")</f>
        <v/>
      </c>
      <c r="W390" s="65" t="str">
        <f>+IFERROR(INDEX('Restaurant Base (Hidden)'!$A$2:$Z$1048576,MATCH($C390,'Restaurant Base (Hidden)'!$C$2:$C$1048576,0),MATCH(W$6,'Restaurant Base (Hidden)'!$A$1:$Z$1,0)),"")</f>
        <v>60,10 %</v>
      </c>
      <c r="X390" s="1">
        <f>+IFERROR(INDEX('Restaurant Base (Hidden)'!$A$2:$Z$1048576,MATCH($C390,'Restaurant Base (Hidden)'!$C$2:$C$1048576,0),MATCH(X$6,'Restaurant Base (Hidden)'!$A$1:$Z$1,0)),"")</f>
        <v>2</v>
      </c>
      <c r="Y390" s="65" t="str">
        <f>+IFERROR(INDEX('Restaurant Base (Hidden)'!$A$2:$Z$1048576,MATCH($C390,'Restaurant Base (Hidden)'!$C$2:$C$1048576,0),MATCH(Y$6,'Restaurant Base (Hidden)'!$A$1:$Z$1,0)),"")</f>
        <v>70,50 %</v>
      </c>
      <c r="Z390" s="106">
        <f>+IFERROR(INDEX('Restaurant Base (Hidden)'!$A$2:$Z$1048576,MATCH($C390,'Restaurant Base (Hidden)'!$C$2:$C$1048576,0),MATCH(Z$6,'Restaurant Base (Hidden)'!$A$1:$Z$1,0)),"")</f>
        <v>2</v>
      </c>
      <c r="AA390" s="65" t="str">
        <f>+IFERROR(INDEX('Restaurant Base (Hidden)'!$A$2:$Z$1048576,MATCH($C390,'Restaurant Base (Hidden)'!$C$2:$C$1048576,0),MATCH(AA$6,'Restaurant Base (Hidden)'!$A$1:$Z$1,0)),"")</f>
        <v>89,10 %</v>
      </c>
      <c r="AB390" s="1">
        <f>+IFERROR(INDEX('Restaurant Base (Hidden)'!$A$2:$Z$1048576,MATCH($C390,'Restaurant Base (Hidden)'!$C$2:$C$1048576,0),MATCH(AB$6,'Restaurant Base (Hidden)'!$A$1:$Z$1,0)),"")</f>
        <v>3</v>
      </c>
      <c r="AC390" s="20" t="str">
        <f>+IFERROR(INDEX('Restaurant Base (Hidden)'!$A$2:$Z$1048576,MATCH($C390,'Restaurant Base (Hidden)'!$C$2:$C$1048576,0),MATCH(AC$6,'Restaurant Base (Hidden)'!$A$1:$Z$1,0)),"")</f>
        <v/>
      </c>
      <c r="AD390" s="65" t="str">
        <f>+IFERROR(INDEX('Restaurant Base (Hidden)'!$A$2:$Z$1048576,MATCH($C390,'Restaurant Base (Hidden)'!$C$2:$C$1048576,0),MATCH(AD$6,'Restaurant Base (Hidden)'!$A$1:$Z$1,0)),"")</f>
        <v>62,30 %</v>
      </c>
      <c r="AE390" s="1">
        <f>+IFERROR(INDEX('Restaurant Base (Hidden)'!$A$2:$Z$1048576,MATCH($C390,'Restaurant Base (Hidden)'!$C$2:$C$1048576,0),MATCH(AE$6,'Restaurant Base (Hidden)'!$A$1:$Z$1,0)),"")</f>
        <v>1</v>
      </c>
      <c r="AF390" s="65" t="str">
        <f>+IFERROR(INDEX('Restaurant Base (Hidden)'!$A$2:$Z$1048576,MATCH($C390,'Restaurant Base (Hidden)'!$C$2:$C$1048576,0),MATCH(AF$6,'Restaurant Base (Hidden)'!$A$1:$Z$1,0)),"")</f>
        <v>63,80 %</v>
      </c>
      <c r="AG390" s="1">
        <f>+IFERROR(INDEX('Restaurant Base (Hidden)'!$A$2:$Z$1048576,MATCH($C390,'Restaurant Base (Hidden)'!$C$2:$C$1048576,0),MATCH(AG$6,'Restaurant Base (Hidden)'!$A$1:$Z$1,0)),"")</f>
        <v>1</v>
      </c>
    </row>
    <row r="391" spans="1:33" ht="16" customHeight="1" x14ac:dyDescent="0.4">
      <c r="A391" s="163" t="str">
        <f>IF('Restaurant Base (Hidden)'!A163=0,"", 'Restaurant Base (Hidden)'!A163)</f>
        <v>Reese Whitmore</v>
      </c>
      <c r="B391" s="163" t="str">
        <f>IF('Restaurant Base (Hidden)'!B163=0,"", 'Restaurant Base (Hidden)'!B163)</f>
        <v>Bluecrest Food Partners</v>
      </c>
      <c r="C391" s="163" t="str">
        <f>IF('Restaurant Base (Hidden)'!C163=0,"", 'Restaurant Base (Hidden)'!C163)</f>
        <v>Oak House</v>
      </c>
      <c r="D391" s="104">
        <f t="shared" ref="D391:D454" si="6">+IFERROR(RANK(E391,$E$7:$E$3390,),"")</f>
        <v>384</v>
      </c>
      <c r="E391" s="105">
        <f>+IFERROR(INDEX('Restaurant Base (Hidden)'!$A$2:$Z$1048576,MATCH($C391,'Restaurant Base (Hidden)'!$C$2:$C$1048576,0),MATCH(E$6,'Restaurant Base (Hidden)'!$A$1:$Z$1,0)),"")</f>
        <v>2.2000000000000002</v>
      </c>
      <c r="F391" s="2" t="str">
        <f>+IFERROR(INDEX('Restaurant Base (Hidden)'!$A$2:$Z$1048576,MATCH($C391,'Restaurant Base (Hidden)'!$C$2:$C$1048576,0),MATCH(F$6,'Restaurant Base (Hidden)'!$A$1:$Z$1,0)),"")</f>
        <v/>
      </c>
      <c r="G391" s="20" t="str">
        <f>+IFERROR(INDEX('Restaurant Base (Hidden)'!$A$2:$Z$1048576,MATCH($C391,'Restaurant Base (Hidden)'!$C$2:$C$1048576,0),MATCH(G$6,'Restaurant Base (Hidden)'!$A$1:$Z$1,0)),"")</f>
        <v>4,088</v>
      </c>
      <c r="H391" s="50">
        <f>+IFERROR(INDEX('Restaurant Base (Hidden)'!$A$2:$Z$1048576,MATCH($C391,'Restaurant Base (Hidden)'!$C$2:$C$1048576,0),MATCH(H$6,'Restaurant Base (Hidden)'!$A$1:$Z$1,0)),"")</f>
        <v>2</v>
      </c>
      <c r="I391" s="20" t="str">
        <f>+IFERROR(INDEX('Restaurant Base (Hidden)'!$A$2:$Z$1048576,MATCH($C391,'Restaurant Base (Hidden)'!$C$2:$C$1048576,0),MATCH(I$6,'Restaurant Base (Hidden)'!$A$1:$Z$1,0)),"")</f>
        <v>91,50 %</v>
      </c>
      <c r="J391" s="49">
        <f>+IFERROR(INDEX('Restaurant Base (Hidden)'!$A$2:$Z$1048576,MATCH($C391,'Restaurant Base (Hidden)'!$C$2:$C$1048576,0),MATCH(J$6,'Restaurant Base (Hidden)'!$A$1:$Z$1,0)),"")</f>
        <v>4</v>
      </c>
      <c r="K391" s="20" t="str">
        <f>+IFERROR(INDEX('Restaurant Base (Hidden)'!$A$2:$Z$1048576,MATCH($C391,'Restaurant Base (Hidden)'!$C$2:$C$1048576,0),MATCH(K$6,'Restaurant Base (Hidden)'!$A$1:$Z$1,0)),"")</f>
        <v>0,045</v>
      </c>
      <c r="L391" s="51">
        <f>+IFERROR(INDEX('Restaurant Base (Hidden)'!$A$2:$Z$1048576,MATCH($C391,'Restaurant Base (Hidden)'!$C$2:$C$1048576,0),MATCH(L$6,'Restaurant Base (Hidden)'!$A$1:$Z$1,0)),"")</f>
        <v>5</v>
      </c>
      <c r="M391" s="2" t="str">
        <f>+IFERROR(INDEX('Restaurant Base (Hidden)'!$A$2:$Z$1048576,MATCH($C391,'Restaurant Base (Hidden)'!$C$2:$C$1048576,0),MATCH(M$6,'Restaurant Base (Hidden)'!$A$1:$Z$1,0)),"")</f>
        <v/>
      </c>
      <c r="N391" s="234" t="str">
        <f>+IFERROR(INDEX('Restaurant Base (Hidden)'!$A$2:$Z$1048576,MATCH($C391,'Restaurant Base (Hidden)'!$C$2:$C$1048576,0),MATCH(N$6,'Restaurant Base (Hidden)'!$A$1:$Z$1,0)),"")</f>
        <v>59,40 %</v>
      </c>
      <c r="O391" s="1">
        <f>+IFERROR(INDEX('Restaurant Base (Hidden)'!$A$2:$Z$1048576,MATCH($C391,'Restaurant Base (Hidden)'!$C$2:$C$1048576,0),MATCH(O$6,'Restaurant Base (Hidden)'!$A$1:$Z$1,0)),"")</f>
        <v>1</v>
      </c>
      <c r="P391" s="2" t="str">
        <f>+IFERROR(INDEX('Restaurant Base (Hidden)'!$A$2:$Z$1048576,MATCH($C391,'Restaurant Base (Hidden)'!$C$2:$C$1048576,0),MATCH(P$6,'Restaurant Base (Hidden)'!$A$1:$Z$1,0)),"")</f>
        <v/>
      </c>
      <c r="Q391" s="234" t="str">
        <f>+IFERROR(INDEX('Restaurant Base (Hidden)'!$A$2:$Z$1048576,MATCH($C391,'Restaurant Base (Hidden)'!$C$2:$C$1048576,0),MATCH(Q$6,'Restaurant Base (Hidden)'!$A$1:$Z$1,0)),"")</f>
        <v>61,40 %</v>
      </c>
      <c r="R391" s="1">
        <f>+IFERROR(INDEX('Restaurant Base (Hidden)'!$A$2:$Z$1048576,MATCH($C391,'Restaurant Base (Hidden)'!$C$2:$C$1048576,0),MATCH(R$6,'Restaurant Base (Hidden)'!$A$1:$Z$1,0)),"")</f>
        <v>2</v>
      </c>
      <c r="S391" s="2" t="str">
        <f>+IFERROR(INDEX('Restaurant Base (Hidden)'!$A$2:$Z$1048576,MATCH($C391,'Restaurant Base (Hidden)'!$C$2:$C$1048576,0),MATCH(S$6,'Restaurant Base (Hidden)'!$A$1:$Z$1,0)),"")</f>
        <v/>
      </c>
      <c r="T391" s="62">
        <f>+IFERROR(INDEX('Restaurant Base (Hidden)'!$A$2:$Z$1048576,MATCH($C391,'Restaurant Base (Hidden)'!$C$2:$C$1048576,0),MATCH(T$6,'Restaurant Base (Hidden)'!$A$1:$Z$1,0)),"")</f>
        <v>63.8</v>
      </c>
      <c r="U391" s="1">
        <f>+IFERROR(INDEX('Restaurant Base (Hidden)'!$A$2:$Z$1048576,MATCH($C391,'Restaurant Base (Hidden)'!$C$2:$C$1048576,0),MATCH(U$6,'Restaurant Base (Hidden)'!$A$1:$Z$1,0)),"")</f>
        <v>3</v>
      </c>
      <c r="V391" s="2" t="str">
        <f>+IFERROR(INDEX('Restaurant Base (Hidden)'!$A$2:$Z$1048576,MATCH($C391,'Restaurant Base (Hidden)'!$C$2:$C$1048576,0),MATCH(V$6,'Restaurant Base (Hidden)'!$A$1:$Z$1,0)),"")</f>
        <v/>
      </c>
      <c r="W391" s="65" t="str">
        <f>+IFERROR(INDEX('Restaurant Base (Hidden)'!$A$2:$Z$1048576,MATCH($C391,'Restaurant Base (Hidden)'!$C$2:$C$1048576,0),MATCH(W$6,'Restaurant Base (Hidden)'!$A$1:$Z$1,0)),"")</f>
        <v>74,40 %</v>
      </c>
      <c r="X391" s="1">
        <f>+IFERROR(INDEX('Restaurant Base (Hidden)'!$A$2:$Z$1048576,MATCH($C391,'Restaurant Base (Hidden)'!$C$2:$C$1048576,0),MATCH(X$6,'Restaurant Base (Hidden)'!$A$1:$Z$1,0)),"")</f>
        <v>2</v>
      </c>
      <c r="Y391" s="65" t="str">
        <f>+IFERROR(INDEX('Restaurant Base (Hidden)'!$A$2:$Z$1048576,MATCH($C391,'Restaurant Base (Hidden)'!$C$2:$C$1048576,0),MATCH(Y$6,'Restaurant Base (Hidden)'!$A$1:$Z$1,0)),"")</f>
        <v>66,90 %</v>
      </c>
      <c r="Z391" s="106">
        <f>+IFERROR(INDEX('Restaurant Base (Hidden)'!$A$2:$Z$1048576,MATCH($C391,'Restaurant Base (Hidden)'!$C$2:$C$1048576,0),MATCH(Z$6,'Restaurant Base (Hidden)'!$A$1:$Z$1,0)),"")</f>
        <v>2</v>
      </c>
      <c r="AA391" s="65" t="str">
        <f>+IFERROR(INDEX('Restaurant Base (Hidden)'!$A$2:$Z$1048576,MATCH($C391,'Restaurant Base (Hidden)'!$C$2:$C$1048576,0),MATCH(AA$6,'Restaurant Base (Hidden)'!$A$1:$Z$1,0)),"")</f>
        <v>75,30 %</v>
      </c>
      <c r="AB391" s="1">
        <f>+IFERROR(INDEX('Restaurant Base (Hidden)'!$A$2:$Z$1048576,MATCH($C391,'Restaurant Base (Hidden)'!$C$2:$C$1048576,0),MATCH(AB$6,'Restaurant Base (Hidden)'!$A$1:$Z$1,0)),"")</f>
        <v>2</v>
      </c>
      <c r="AC391" s="20" t="str">
        <f>+IFERROR(INDEX('Restaurant Base (Hidden)'!$A$2:$Z$1048576,MATCH($C391,'Restaurant Base (Hidden)'!$C$2:$C$1048576,0),MATCH(AC$6,'Restaurant Base (Hidden)'!$A$1:$Z$1,0)),"")</f>
        <v/>
      </c>
      <c r="AD391" s="65" t="str">
        <f>+IFERROR(INDEX('Restaurant Base (Hidden)'!$A$2:$Z$1048576,MATCH($C391,'Restaurant Base (Hidden)'!$C$2:$C$1048576,0),MATCH(AD$6,'Restaurant Base (Hidden)'!$A$1:$Z$1,0)),"")</f>
        <v>56,00 %</v>
      </c>
      <c r="AE391" s="1">
        <f>+IFERROR(INDEX('Restaurant Base (Hidden)'!$A$2:$Z$1048576,MATCH($C391,'Restaurant Base (Hidden)'!$C$2:$C$1048576,0),MATCH(AE$6,'Restaurant Base (Hidden)'!$A$1:$Z$1,0)),"")</f>
        <v>1</v>
      </c>
      <c r="AF391" s="65" t="str">
        <f>+IFERROR(INDEX('Restaurant Base (Hidden)'!$A$2:$Z$1048576,MATCH($C391,'Restaurant Base (Hidden)'!$C$2:$C$1048576,0),MATCH(AF$6,'Restaurant Base (Hidden)'!$A$1:$Z$1,0)),"")</f>
        <v>68,10 %</v>
      </c>
      <c r="AG391" s="1">
        <f>+IFERROR(INDEX('Restaurant Base (Hidden)'!$A$2:$Z$1048576,MATCH($C391,'Restaurant Base (Hidden)'!$C$2:$C$1048576,0),MATCH(AG$6,'Restaurant Base (Hidden)'!$A$1:$Z$1,0)),"")</f>
        <v>1</v>
      </c>
    </row>
    <row r="392" spans="1:33" ht="16" customHeight="1" x14ac:dyDescent="0.4">
      <c r="A392" s="163" t="str">
        <f>IF('Restaurant Base (Hidden)'!A182=0,"", 'Restaurant Base (Hidden)'!A182)</f>
        <v>Finley Kensington</v>
      </c>
      <c r="B392" s="163" t="str">
        <f>IF('Restaurant Base (Hidden)'!B182=0,"", 'Restaurant Base (Hidden)'!B182)</f>
        <v>Eastmere Foods</v>
      </c>
      <c r="C392" s="163" t="str">
        <f>IF('Restaurant Base (Hidden)'!C182=0,"", 'Restaurant Base (Hidden)'!C182)</f>
        <v>Cedar Gardens</v>
      </c>
      <c r="D392" s="104">
        <f t="shared" si="6"/>
        <v>386</v>
      </c>
      <c r="E392" s="105">
        <f>+IFERROR(INDEX('Restaurant Base (Hidden)'!$A$2:$Z$1048576,MATCH($C392,'Restaurant Base (Hidden)'!$C$2:$C$1048576,0),MATCH(E$6,'Restaurant Base (Hidden)'!$A$1:$Z$1,0)),"")</f>
        <v>2.1800000000000002</v>
      </c>
      <c r="F392" s="2" t="str">
        <f>+IFERROR(INDEX('Restaurant Base (Hidden)'!$A$2:$Z$1048576,MATCH($C392,'Restaurant Base (Hidden)'!$C$2:$C$1048576,0),MATCH(F$6,'Restaurant Base (Hidden)'!$A$1:$Z$1,0)),"")</f>
        <v/>
      </c>
      <c r="G392" s="20" t="str">
        <f>+IFERROR(INDEX('Restaurant Base (Hidden)'!$A$2:$Z$1048576,MATCH($C392,'Restaurant Base (Hidden)'!$C$2:$C$1048576,0),MATCH(G$6,'Restaurant Base (Hidden)'!$A$1:$Z$1,0)),"")</f>
        <v>4,797</v>
      </c>
      <c r="H392" s="50">
        <f>+IFERROR(INDEX('Restaurant Base (Hidden)'!$A$2:$Z$1048576,MATCH($C392,'Restaurant Base (Hidden)'!$C$2:$C$1048576,0),MATCH(H$6,'Restaurant Base (Hidden)'!$A$1:$Z$1,0)),"")</f>
        <v>5</v>
      </c>
      <c r="I392" s="20" t="str">
        <f>+IFERROR(INDEX('Restaurant Base (Hidden)'!$A$2:$Z$1048576,MATCH($C392,'Restaurant Base (Hidden)'!$C$2:$C$1048576,0),MATCH(I$6,'Restaurant Base (Hidden)'!$A$1:$Z$1,0)),"")</f>
        <v>96,60 %</v>
      </c>
      <c r="J392" s="49">
        <f>+IFERROR(INDEX('Restaurant Base (Hidden)'!$A$2:$Z$1048576,MATCH($C392,'Restaurant Base (Hidden)'!$C$2:$C$1048576,0),MATCH(J$6,'Restaurant Base (Hidden)'!$A$1:$Z$1,0)),"")</f>
        <v>5</v>
      </c>
      <c r="K392" s="20" t="str">
        <f>+IFERROR(INDEX('Restaurant Base (Hidden)'!$A$2:$Z$1048576,MATCH($C392,'Restaurant Base (Hidden)'!$C$2:$C$1048576,0),MATCH(K$6,'Restaurant Base (Hidden)'!$A$1:$Z$1,0)),"")</f>
        <v>0,111</v>
      </c>
      <c r="L392" s="51">
        <f>+IFERROR(INDEX('Restaurant Base (Hidden)'!$A$2:$Z$1048576,MATCH($C392,'Restaurant Base (Hidden)'!$C$2:$C$1048576,0),MATCH(L$6,'Restaurant Base (Hidden)'!$A$1:$Z$1,0)),"")</f>
        <v>3</v>
      </c>
      <c r="M392" s="2" t="str">
        <f>+IFERROR(INDEX('Restaurant Base (Hidden)'!$A$2:$Z$1048576,MATCH($C392,'Restaurant Base (Hidden)'!$C$2:$C$1048576,0),MATCH(M$6,'Restaurant Base (Hidden)'!$A$1:$Z$1,0)),"")</f>
        <v/>
      </c>
      <c r="N392" s="234" t="str">
        <f>+IFERROR(INDEX('Restaurant Base (Hidden)'!$A$2:$Z$1048576,MATCH($C392,'Restaurant Base (Hidden)'!$C$2:$C$1048576,0),MATCH(N$6,'Restaurant Base (Hidden)'!$A$1:$Z$1,0)),"")</f>
        <v>58,80 %</v>
      </c>
      <c r="O392" s="1">
        <f>+IFERROR(INDEX('Restaurant Base (Hidden)'!$A$2:$Z$1048576,MATCH($C392,'Restaurant Base (Hidden)'!$C$2:$C$1048576,0),MATCH(O$6,'Restaurant Base (Hidden)'!$A$1:$Z$1,0)),"")</f>
        <v>1</v>
      </c>
      <c r="P392" s="2" t="str">
        <f>+IFERROR(INDEX('Restaurant Base (Hidden)'!$A$2:$Z$1048576,MATCH($C392,'Restaurant Base (Hidden)'!$C$2:$C$1048576,0),MATCH(P$6,'Restaurant Base (Hidden)'!$A$1:$Z$1,0)),"")</f>
        <v/>
      </c>
      <c r="Q392" s="234" t="str">
        <f>+IFERROR(INDEX('Restaurant Base (Hidden)'!$A$2:$Z$1048576,MATCH($C392,'Restaurant Base (Hidden)'!$C$2:$C$1048576,0),MATCH(Q$6,'Restaurant Base (Hidden)'!$A$1:$Z$1,0)),"")</f>
        <v>56,40 %</v>
      </c>
      <c r="R392" s="1">
        <f>+IFERROR(INDEX('Restaurant Base (Hidden)'!$A$2:$Z$1048576,MATCH($C392,'Restaurant Base (Hidden)'!$C$2:$C$1048576,0),MATCH(R$6,'Restaurant Base (Hidden)'!$A$1:$Z$1,0)),"")</f>
        <v>1</v>
      </c>
      <c r="S392" s="2" t="str">
        <f>+IFERROR(INDEX('Restaurant Base (Hidden)'!$A$2:$Z$1048576,MATCH($C392,'Restaurant Base (Hidden)'!$C$2:$C$1048576,0),MATCH(S$6,'Restaurant Base (Hidden)'!$A$1:$Z$1,0)),"")</f>
        <v/>
      </c>
      <c r="T392" s="62">
        <f>+IFERROR(INDEX('Restaurant Base (Hidden)'!$A$2:$Z$1048576,MATCH($C392,'Restaurant Base (Hidden)'!$C$2:$C$1048576,0),MATCH(T$6,'Restaurant Base (Hidden)'!$A$1:$Z$1,0)),"")</f>
        <v>52.9</v>
      </c>
      <c r="U392" s="1">
        <f>+IFERROR(INDEX('Restaurant Base (Hidden)'!$A$2:$Z$1048576,MATCH($C392,'Restaurant Base (Hidden)'!$C$2:$C$1048576,0),MATCH(U$6,'Restaurant Base (Hidden)'!$A$1:$Z$1,0)),"")</f>
        <v>1</v>
      </c>
      <c r="V392" s="2" t="str">
        <f>+IFERROR(INDEX('Restaurant Base (Hidden)'!$A$2:$Z$1048576,MATCH($C392,'Restaurant Base (Hidden)'!$C$2:$C$1048576,0),MATCH(V$6,'Restaurant Base (Hidden)'!$A$1:$Z$1,0)),"")</f>
        <v/>
      </c>
      <c r="W392" s="65" t="str">
        <f>+IFERROR(INDEX('Restaurant Base (Hidden)'!$A$2:$Z$1048576,MATCH($C392,'Restaurant Base (Hidden)'!$C$2:$C$1048576,0),MATCH(W$6,'Restaurant Base (Hidden)'!$A$1:$Z$1,0)),"")</f>
        <v>88,20 %</v>
      </c>
      <c r="X392" s="1">
        <f>+IFERROR(INDEX('Restaurant Base (Hidden)'!$A$2:$Z$1048576,MATCH($C392,'Restaurant Base (Hidden)'!$C$2:$C$1048576,0),MATCH(X$6,'Restaurant Base (Hidden)'!$A$1:$Z$1,0)),"")</f>
        <v>3</v>
      </c>
      <c r="Y392" s="65" t="str">
        <f>+IFERROR(INDEX('Restaurant Base (Hidden)'!$A$2:$Z$1048576,MATCH($C392,'Restaurant Base (Hidden)'!$C$2:$C$1048576,0),MATCH(Y$6,'Restaurant Base (Hidden)'!$A$1:$Z$1,0)),"")</f>
        <v>89,50 %</v>
      </c>
      <c r="Z392" s="106">
        <f>+IFERROR(INDEX('Restaurant Base (Hidden)'!$A$2:$Z$1048576,MATCH($C392,'Restaurant Base (Hidden)'!$C$2:$C$1048576,0),MATCH(Z$6,'Restaurant Base (Hidden)'!$A$1:$Z$1,0)),"")</f>
        <v>3</v>
      </c>
      <c r="AA392" s="65" t="str">
        <f>+IFERROR(INDEX('Restaurant Base (Hidden)'!$A$2:$Z$1048576,MATCH($C392,'Restaurant Base (Hidden)'!$C$2:$C$1048576,0),MATCH(AA$6,'Restaurant Base (Hidden)'!$A$1:$Z$1,0)),"")</f>
        <v>61,10 %</v>
      </c>
      <c r="AB392" s="1">
        <f>+IFERROR(INDEX('Restaurant Base (Hidden)'!$A$2:$Z$1048576,MATCH($C392,'Restaurant Base (Hidden)'!$C$2:$C$1048576,0),MATCH(AB$6,'Restaurant Base (Hidden)'!$A$1:$Z$1,0)),"")</f>
        <v>2</v>
      </c>
      <c r="AC392" s="20" t="str">
        <f>+IFERROR(INDEX('Restaurant Base (Hidden)'!$A$2:$Z$1048576,MATCH($C392,'Restaurant Base (Hidden)'!$C$2:$C$1048576,0),MATCH(AC$6,'Restaurant Base (Hidden)'!$A$1:$Z$1,0)),"")</f>
        <v/>
      </c>
      <c r="AD392" s="65" t="str">
        <f>+IFERROR(INDEX('Restaurant Base (Hidden)'!$A$2:$Z$1048576,MATCH($C392,'Restaurant Base (Hidden)'!$C$2:$C$1048576,0),MATCH(AD$6,'Restaurant Base (Hidden)'!$A$1:$Z$1,0)),"")</f>
        <v>57,50 %</v>
      </c>
      <c r="AE392" s="1">
        <f>+IFERROR(INDEX('Restaurant Base (Hidden)'!$A$2:$Z$1048576,MATCH($C392,'Restaurant Base (Hidden)'!$C$2:$C$1048576,0),MATCH(AE$6,'Restaurant Base (Hidden)'!$A$1:$Z$1,0)),"")</f>
        <v>1</v>
      </c>
      <c r="AF392" s="65" t="str">
        <f>+IFERROR(INDEX('Restaurant Base (Hidden)'!$A$2:$Z$1048576,MATCH($C392,'Restaurant Base (Hidden)'!$C$2:$C$1048576,0),MATCH(AF$6,'Restaurant Base (Hidden)'!$A$1:$Z$1,0)),"")</f>
        <v>62,30 %</v>
      </c>
      <c r="AG392" s="1">
        <f>+IFERROR(INDEX('Restaurant Base (Hidden)'!$A$2:$Z$1048576,MATCH($C392,'Restaurant Base (Hidden)'!$C$2:$C$1048576,0),MATCH(AG$6,'Restaurant Base (Hidden)'!$A$1:$Z$1,0)),"")</f>
        <v>1</v>
      </c>
    </row>
    <row r="393" spans="1:33" ht="16" customHeight="1" x14ac:dyDescent="0.4">
      <c r="A393" s="163" t="str">
        <f>IF('Restaurant Base (Hidden)'!A199=0,"", 'Restaurant Base (Hidden)'!A199)</f>
        <v>Bailey Silverton</v>
      </c>
      <c r="B393" s="163" t="str">
        <f>IF('Restaurant Base (Hidden)'!B199=0,"", 'Restaurant Base (Hidden)'!B199)</f>
        <v>Pinecrest Hospitality</v>
      </c>
      <c r="C393" s="163" t="str">
        <f>IF('Restaurant Base (Hidden)'!C199=0,"", 'Restaurant Base (Hidden)'!C199)</f>
        <v>Oak Court</v>
      </c>
      <c r="D393" s="104">
        <f t="shared" si="6"/>
        <v>386</v>
      </c>
      <c r="E393" s="105">
        <f>+IFERROR(INDEX('Restaurant Base (Hidden)'!$A$2:$Z$1048576,MATCH($C393,'Restaurant Base (Hidden)'!$C$2:$C$1048576,0),MATCH(E$6,'Restaurant Base (Hidden)'!$A$1:$Z$1,0)),"")</f>
        <v>2.1800000000000002</v>
      </c>
      <c r="F393" s="2" t="str">
        <f>+IFERROR(INDEX('Restaurant Base (Hidden)'!$A$2:$Z$1048576,MATCH($C393,'Restaurant Base (Hidden)'!$C$2:$C$1048576,0),MATCH(F$6,'Restaurant Base (Hidden)'!$A$1:$Z$1,0)),"")</f>
        <v/>
      </c>
      <c r="G393" s="20" t="str">
        <f>+IFERROR(INDEX('Restaurant Base (Hidden)'!$A$2:$Z$1048576,MATCH($C393,'Restaurant Base (Hidden)'!$C$2:$C$1048576,0),MATCH(G$6,'Restaurant Base (Hidden)'!$A$1:$Z$1,0)),"")</f>
        <v>4,251</v>
      </c>
      <c r="H393" s="50">
        <f>+IFERROR(INDEX('Restaurant Base (Hidden)'!$A$2:$Z$1048576,MATCH($C393,'Restaurant Base (Hidden)'!$C$2:$C$1048576,0),MATCH(H$6,'Restaurant Base (Hidden)'!$A$1:$Z$1,0)),"")</f>
        <v>3</v>
      </c>
      <c r="I393" s="20" t="str">
        <f>+IFERROR(INDEX('Restaurant Base (Hidden)'!$A$2:$Z$1048576,MATCH($C393,'Restaurant Base (Hidden)'!$C$2:$C$1048576,0),MATCH(I$6,'Restaurant Base (Hidden)'!$A$1:$Z$1,0)),"")</f>
        <v>78,30 %</v>
      </c>
      <c r="J393" s="49">
        <f>+IFERROR(INDEX('Restaurant Base (Hidden)'!$A$2:$Z$1048576,MATCH($C393,'Restaurant Base (Hidden)'!$C$2:$C$1048576,0),MATCH(J$6,'Restaurant Base (Hidden)'!$A$1:$Z$1,0)),"")</f>
        <v>2</v>
      </c>
      <c r="K393" s="20" t="str">
        <f>+IFERROR(INDEX('Restaurant Base (Hidden)'!$A$2:$Z$1048576,MATCH($C393,'Restaurant Base (Hidden)'!$C$2:$C$1048576,0),MATCH(K$6,'Restaurant Base (Hidden)'!$A$1:$Z$1,0)),"")</f>
        <v>0,071</v>
      </c>
      <c r="L393" s="51">
        <f>+IFERROR(INDEX('Restaurant Base (Hidden)'!$A$2:$Z$1048576,MATCH($C393,'Restaurant Base (Hidden)'!$C$2:$C$1048576,0),MATCH(L$6,'Restaurant Base (Hidden)'!$A$1:$Z$1,0)),"")</f>
        <v>4</v>
      </c>
      <c r="M393" s="2" t="str">
        <f>+IFERROR(INDEX('Restaurant Base (Hidden)'!$A$2:$Z$1048576,MATCH($C393,'Restaurant Base (Hidden)'!$C$2:$C$1048576,0),MATCH(M$6,'Restaurant Base (Hidden)'!$A$1:$Z$1,0)),"")</f>
        <v/>
      </c>
      <c r="N393" s="234" t="str">
        <f>+IFERROR(INDEX('Restaurant Base (Hidden)'!$A$2:$Z$1048576,MATCH($C393,'Restaurant Base (Hidden)'!$C$2:$C$1048576,0),MATCH(N$6,'Restaurant Base (Hidden)'!$A$1:$Z$1,0)),"")</f>
        <v>57,70 %</v>
      </c>
      <c r="O393" s="1">
        <f>+IFERROR(INDEX('Restaurant Base (Hidden)'!$A$2:$Z$1048576,MATCH($C393,'Restaurant Base (Hidden)'!$C$2:$C$1048576,0),MATCH(O$6,'Restaurant Base (Hidden)'!$A$1:$Z$1,0)),"")</f>
        <v>1</v>
      </c>
      <c r="P393" s="2" t="str">
        <f>+IFERROR(INDEX('Restaurant Base (Hidden)'!$A$2:$Z$1048576,MATCH($C393,'Restaurant Base (Hidden)'!$C$2:$C$1048576,0),MATCH(P$6,'Restaurant Base (Hidden)'!$A$1:$Z$1,0)),"")</f>
        <v/>
      </c>
      <c r="Q393" s="234" t="str">
        <f>+IFERROR(INDEX('Restaurant Base (Hidden)'!$A$2:$Z$1048576,MATCH($C393,'Restaurant Base (Hidden)'!$C$2:$C$1048576,0),MATCH(Q$6,'Restaurant Base (Hidden)'!$A$1:$Z$1,0)),"")</f>
        <v>62,20 %</v>
      </c>
      <c r="R393" s="1">
        <f>+IFERROR(INDEX('Restaurant Base (Hidden)'!$A$2:$Z$1048576,MATCH($C393,'Restaurant Base (Hidden)'!$C$2:$C$1048576,0),MATCH(R$6,'Restaurant Base (Hidden)'!$A$1:$Z$1,0)),"")</f>
        <v>2</v>
      </c>
      <c r="S393" s="2" t="str">
        <f>+IFERROR(INDEX('Restaurant Base (Hidden)'!$A$2:$Z$1048576,MATCH($C393,'Restaurant Base (Hidden)'!$C$2:$C$1048576,0),MATCH(S$6,'Restaurant Base (Hidden)'!$A$1:$Z$1,0)),"")</f>
        <v/>
      </c>
      <c r="T393" s="62">
        <f>+IFERROR(INDEX('Restaurant Base (Hidden)'!$A$2:$Z$1048576,MATCH($C393,'Restaurant Base (Hidden)'!$C$2:$C$1048576,0),MATCH(T$6,'Restaurant Base (Hidden)'!$A$1:$Z$1,0)),"")</f>
        <v>55.2</v>
      </c>
      <c r="U393" s="1">
        <f>+IFERROR(INDEX('Restaurant Base (Hidden)'!$A$2:$Z$1048576,MATCH($C393,'Restaurant Base (Hidden)'!$C$2:$C$1048576,0),MATCH(U$6,'Restaurant Base (Hidden)'!$A$1:$Z$1,0)),"")</f>
        <v>1</v>
      </c>
      <c r="V393" s="2" t="str">
        <f>+IFERROR(INDEX('Restaurant Base (Hidden)'!$A$2:$Z$1048576,MATCH($C393,'Restaurant Base (Hidden)'!$C$2:$C$1048576,0),MATCH(V$6,'Restaurant Base (Hidden)'!$A$1:$Z$1,0)),"")</f>
        <v/>
      </c>
      <c r="W393" s="65" t="str">
        <f>+IFERROR(INDEX('Restaurant Base (Hidden)'!$A$2:$Z$1048576,MATCH($C393,'Restaurant Base (Hidden)'!$C$2:$C$1048576,0),MATCH(W$6,'Restaurant Base (Hidden)'!$A$1:$Z$1,0)),"")</f>
        <v>82,40 %</v>
      </c>
      <c r="X393" s="1">
        <f>+IFERROR(INDEX('Restaurant Base (Hidden)'!$A$2:$Z$1048576,MATCH($C393,'Restaurant Base (Hidden)'!$C$2:$C$1048576,0),MATCH(X$6,'Restaurant Base (Hidden)'!$A$1:$Z$1,0)),"")</f>
        <v>3</v>
      </c>
      <c r="Y393" s="65" t="str">
        <f>+IFERROR(INDEX('Restaurant Base (Hidden)'!$A$2:$Z$1048576,MATCH($C393,'Restaurant Base (Hidden)'!$C$2:$C$1048576,0),MATCH(Y$6,'Restaurant Base (Hidden)'!$A$1:$Z$1,0)),"")</f>
        <v>72,50 %</v>
      </c>
      <c r="Z393" s="106">
        <f>+IFERROR(INDEX('Restaurant Base (Hidden)'!$A$2:$Z$1048576,MATCH($C393,'Restaurant Base (Hidden)'!$C$2:$C$1048576,0),MATCH(Z$6,'Restaurant Base (Hidden)'!$A$1:$Z$1,0)),"")</f>
        <v>2</v>
      </c>
      <c r="AA393" s="65" t="str">
        <f>+IFERROR(INDEX('Restaurant Base (Hidden)'!$A$2:$Z$1048576,MATCH($C393,'Restaurant Base (Hidden)'!$C$2:$C$1048576,0),MATCH(AA$6,'Restaurant Base (Hidden)'!$A$1:$Z$1,0)),"")</f>
        <v>77,70 %</v>
      </c>
      <c r="AB393" s="1">
        <f>+IFERROR(INDEX('Restaurant Base (Hidden)'!$A$2:$Z$1048576,MATCH($C393,'Restaurant Base (Hidden)'!$C$2:$C$1048576,0),MATCH(AB$6,'Restaurant Base (Hidden)'!$A$1:$Z$1,0)),"")</f>
        <v>2</v>
      </c>
      <c r="AC393" s="20" t="str">
        <f>+IFERROR(INDEX('Restaurant Base (Hidden)'!$A$2:$Z$1048576,MATCH($C393,'Restaurant Base (Hidden)'!$C$2:$C$1048576,0),MATCH(AC$6,'Restaurant Base (Hidden)'!$A$1:$Z$1,0)),"")</f>
        <v/>
      </c>
      <c r="AD393" s="65" t="str">
        <f>+IFERROR(INDEX('Restaurant Base (Hidden)'!$A$2:$Z$1048576,MATCH($C393,'Restaurant Base (Hidden)'!$C$2:$C$1048576,0),MATCH(AD$6,'Restaurant Base (Hidden)'!$A$1:$Z$1,0)),"")</f>
        <v>90,20 %</v>
      </c>
      <c r="AE393" s="1">
        <f>+IFERROR(INDEX('Restaurant Base (Hidden)'!$A$2:$Z$1048576,MATCH($C393,'Restaurant Base (Hidden)'!$C$2:$C$1048576,0),MATCH(AE$6,'Restaurant Base (Hidden)'!$A$1:$Z$1,0)),"")</f>
        <v>4</v>
      </c>
      <c r="AF393" s="65" t="str">
        <f>+IFERROR(INDEX('Restaurant Base (Hidden)'!$A$2:$Z$1048576,MATCH($C393,'Restaurant Base (Hidden)'!$C$2:$C$1048576,0),MATCH(AF$6,'Restaurant Base (Hidden)'!$A$1:$Z$1,0)),"")</f>
        <v>77,20 %</v>
      </c>
      <c r="AG393" s="1">
        <f>+IFERROR(INDEX('Restaurant Base (Hidden)'!$A$2:$Z$1048576,MATCH($C393,'Restaurant Base (Hidden)'!$C$2:$C$1048576,0),MATCH(AG$6,'Restaurant Base (Hidden)'!$A$1:$Z$1,0)),"")</f>
        <v>2</v>
      </c>
    </row>
    <row r="394" spans="1:33" ht="16" customHeight="1" x14ac:dyDescent="0.4">
      <c r="A394" s="163" t="str">
        <f>IF('Restaurant Base (Hidden)'!A232=0,"", 'Restaurant Base (Hidden)'!A232)</f>
        <v>Sawyer Thornfield</v>
      </c>
      <c r="B394" s="163" t="str">
        <f>IF('Restaurant Base (Hidden)'!B232=0,"", 'Restaurant Base (Hidden)'!B232)</f>
        <v>Oakmont Dining Partners</v>
      </c>
      <c r="C394" s="163" t="str">
        <f>IF('Restaurant Base (Hidden)'!C232=0,"", 'Restaurant Base (Hidden)'!C232)</f>
        <v>Maple Hollow</v>
      </c>
      <c r="D394" s="104">
        <f t="shared" si="6"/>
        <v>386</v>
      </c>
      <c r="E394" s="105">
        <f>+IFERROR(INDEX('Restaurant Base (Hidden)'!$A$2:$Z$1048576,MATCH($C394,'Restaurant Base (Hidden)'!$C$2:$C$1048576,0),MATCH(E$6,'Restaurant Base (Hidden)'!$A$1:$Z$1,0)),"")</f>
        <v>2.1800000000000002</v>
      </c>
      <c r="F394" s="2" t="str">
        <f>+IFERROR(INDEX('Restaurant Base (Hidden)'!$A$2:$Z$1048576,MATCH($C394,'Restaurant Base (Hidden)'!$C$2:$C$1048576,0),MATCH(F$6,'Restaurant Base (Hidden)'!$A$1:$Z$1,0)),"")</f>
        <v/>
      </c>
      <c r="G394" s="20" t="str">
        <f>+IFERROR(INDEX('Restaurant Base (Hidden)'!$A$2:$Z$1048576,MATCH($C394,'Restaurant Base (Hidden)'!$C$2:$C$1048576,0),MATCH(G$6,'Restaurant Base (Hidden)'!$A$1:$Z$1,0)),"")</f>
        <v>4,433</v>
      </c>
      <c r="H394" s="50">
        <f>+IFERROR(INDEX('Restaurant Base (Hidden)'!$A$2:$Z$1048576,MATCH($C394,'Restaurant Base (Hidden)'!$C$2:$C$1048576,0),MATCH(H$6,'Restaurant Base (Hidden)'!$A$1:$Z$1,0)),"")</f>
        <v>4</v>
      </c>
      <c r="I394" s="20" t="str">
        <f>+IFERROR(INDEX('Restaurant Base (Hidden)'!$A$2:$Z$1048576,MATCH($C394,'Restaurant Base (Hidden)'!$C$2:$C$1048576,0),MATCH(I$6,'Restaurant Base (Hidden)'!$A$1:$Z$1,0)),"")</f>
        <v>85,80 %</v>
      </c>
      <c r="J394" s="49">
        <f>+IFERROR(INDEX('Restaurant Base (Hidden)'!$A$2:$Z$1048576,MATCH($C394,'Restaurant Base (Hidden)'!$C$2:$C$1048576,0),MATCH(J$6,'Restaurant Base (Hidden)'!$A$1:$Z$1,0)),"")</f>
        <v>3</v>
      </c>
      <c r="K394" s="20" t="str">
        <f>+IFERROR(INDEX('Restaurant Base (Hidden)'!$A$2:$Z$1048576,MATCH($C394,'Restaurant Base (Hidden)'!$C$2:$C$1048576,0),MATCH(K$6,'Restaurant Base (Hidden)'!$A$1:$Z$1,0)),"")</f>
        <v>0,145</v>
      </c>
      <c r="L394" s="51">
        <f>+IFERROR(INDEX('Restaurant Base (Hidden)'!$A$2:$Z$1048576,MATCH($C394,'Restaurant Base (Hidden)'!$C$2:$C$1048576,0),MATCH(L$6,'Restaurant Base (Hidden)'!$A$1:$Z$1,0)),"")</f>
        <v>2</v>
      </c>
      <c r="M394" s="2" t="str">
        <f>+IFERROR(INDEX('Restaurant Base (Hidden)'!$A$2:$Z$1048576,MATCH($C394,'Restaurant Base (Hidden)'!$C$2:$C$1048576,0),MATCH(M$6,'Restaurant Base (Hidden)'!$A$1:$Z$1,0)),"")</f>
        <v/>
      </c>
      <c r="N394" s="234" t="str">
        <f>+IFERROR(INDEX('Restaurant Base (Hidden)'!$A$2:$Z$1048576,MATCH($C394,'Restaurant Base (Hidden)'!$C$2:$C$1048576,0),MATCH(N$6,'Restaurant Base (Hidden)'!$A$1:$Z$1,0)),"")</f>
        <v>62,70 %</v>
      </c>
      <c r="O394" s="1">
        <f>+IFERROR(INDEX('Restaurant Base (Hidden)'!$A$2:$Z$1048576,MATCH($C394,'Restaurant Base (Hidden)'!$C$2:$C$1048576,0),MATCH(O$6,'Restaurant Base (Hidden)'!$A$1:$Z$1,0)),"")</f>
        <v>2</v>
      </c>
      <c r="P394" s="2" t="str">
        <f>+IFERROR(INDEX('Restaurant Base (Hidden)'!$A$2:$Z$1048576,MATCH($C394,'Restaurant Base (Hidden)'!$C$2:$C$1048576,0),MATCH(P$6,'Restaurant Base (Hidden)'!$A$1:$Z$1,0)),"")</f>
        <v/>
      </c>
      <c r="Q394" s="234" t="str">
        <f>+IFERROR(INDEX('Restaurant Base (Hidden)'!$A$2:$Z$1048576,MATCH($C394,'Restaurant Base (Hidden)'!$C$2:$C$1048576,0),MATCH(Q$6,'Restaurant Base (Hidden)'!$A$1:$Z$1,0)),"")</f>
        <v>68,00 %</v>
      </c>
      <c r="R394" s="1">
        <f>+IFERROR(INDEX('Restaurant Base (Hidden)'!$A$2:$Z$1048576,MATCH($C394,'Restaurant Base (Hidden)'!$C$2:$C$1048576,0),MATCH(R$6,'Restaurant Base (Hidden)'!$A$1:$Z$1,0)),"")</f>
        <v>3</v>
      </c>
      <c r="S394" s="2" t="str">
        <f>+IFERROR(INDEX('Restaurant Base (Hidden)'!$A$2:$Z$1048576,MATCH($C394,'Restaurant Base (Hidden)'!$C$2:$C$1048576,0),MATCH(S$6,'Restaurant Base (Hidden)'!$A$1:$Z$1,0)),"")</f>
        <v/>
      </c>
      <c r="T394" s="62">
        <f>+IFERROR(INDEX('Restaurant Base (Hidden)'!$A$2:$Z$1048576,MATCH($C394,'Restaurant Base (Hidden)'!$C$2:$C$1048576,0),MATCH(T$6,'Restaurant Base (Hidden)'!$A$1:$Z$1,0)),"")</f>
        <v>59.5</v>
      </c>
      <c r="U394" s="1">
        <f>+IFERROR(INDEX('Restaurant Base (Hidden)'!$A$2:$Z$1048576,MATCH($C394,'Restaurant Base (Hidden)'!$C$2:$C$1048576,0),MATCH(U$6,'Restaurant Base (Hidden)'!$A$1:$Z$1,0)),"")</f>
        <v>2</v>
      </c>
      <c r="V394" s="2" t="str">
        <f>+IFERROR(INDEX('Restaurant Base (Hidden)'!$A$2:$Z$1048576,MATCH($C394,'Restaurant Base (Hidden)'!$C$2:$C$1048576,0),MATCH(V$6,'Restaurant Base (Hidden)'!$A$1:$Z$1,0)),"")</f>
        <v/>
      </c>
      <c r="W394" s="65" t="str">
        <f>+IFERROR(INDEX('Restaurant Base (Hidden)'!$A$2:$Z$1048576,MATCH($C394,'Restaurant Base (Hidden)'!$C$2:$C$1048576,0),MATCH(W$6,'Restaurant Base (Hidden)'!$A$1:$Z$1,0)),"")</f>
        <v>55,80 %</v>
      </c>
      <c r="X394" s="1">
        <f>+IFERROR(INDEX('Restaurant Base (Hidden)'!$A$2:$Z$1048576,MATCH($C394,'Restaurant Base (Hidden)'!$C$2:$C$1048576,0),MATCH(X$6,'Restaurant Base (Hidden)'!$A$1:$Z$1,0)),"")</f>
        <v>1</v>
      </c>
      <c r="Y394" s="65" t="str">
        <f>+IFERROR(INDEX('Restaurant Base (Hidden)'!$A$2:$Z$1048576,MATCH($C394,'Restaurant Base (Hidden)'!$C$2:$C$1048576,0),MATCH(Y$6,'Restaurant Base (Hidden)'!$A$1:$Z$1,0)),"")</f>
        <v>64,50 %</v>
      </c>
      <c r="Z394" s="106">
        <f>+IFERROR(INDEX('Restaurant Base (Hidden)'!$A$2:$Z$1048576,MATCH($C394,'Restaurant Base (Hidden)'!$C$2:$C$1048576,0),MATCH(Z$6,'Restaurant Base (Hidden)'!$A$1:$Z$1,0)),"")</f>
        <v>2</v>
      </c>
      <c r="AA394" s="65" t="str">
        <f>+IFERROR(INDEX('Restaurant Base (Hidden)'!$A$2:$Z$1048576,MATCH($C394,'Restaurant Base (Hidden)'!$C$2:$C$1048576,0),MATCH(AA$6,'Restaurant Base (Hidden)'!$A$1:$Z$1,0)),"")</f>
        <v>60,10 %</v>
      </c>
      <c r="AB394" s="1">
        <f>+IFERROR(INDEX('Restaurant Base (Hidden)'!$A$2:$Z$1048576,MATCH($C394,'Restaurant Base (Hidden)'!$C$2:$C$1048576,0),MATCH(AB$6,'Restaurant Base (Hidden)'!$A$1:$Z$1,0)),"")</f>
        <v>2</v>
      </c>
      <c r="AC394" s="20" t="str">
        <f>+IFERROR(INDEX('Restaurant Base (Hidden)'!$A$2:$Z$1048576,MATCH($C394,'Restaurant Base (Hidden)'!$C$2:$C$1048576,0),MATCH(AC$6,'Restaurant Base (Hidden)'!$A$1:$Z$1,0)),"")</f>
        <v/>
      </c>
      <c r="AD394" s="65" t="str">
        <f>+IFERROR(INDEX('Restaurant Base (Hidden)'!$A$2:$Z$1048576,MATCH($C394,'Restaurant Base (Hidden)'!$C$2:$C$1048576,0),MATCH(AD$6,'Restaurant Base (Hidden)'!$A$1:$Z$1,0)),"")</f>
        <v>69,60 %</v>
      </c>
      <c r="AE394" s="1">
        <f>+IFERROR(INDEX('Restaurant Base (Hidden)'!$A$2:$Z$1048576,MATCH($C394,'Restaurant Base (Hidden)'!$C$2:$C$1048576,0),MATCH(AE$6,'Restaurant Base (Hidden)'!$A$1:$Z$1,0)),"")</f>
        <v>1</v>
      </c>
      <c r="AF394" s="65" t="str">
        <f>+IFERROR(INDEX('Restaurant Base (Hidden)'!$A$2:$Z$1048576,MATCH($C394,'Restaurant Base (Hidden)'!$C$2:$C$1048576,0),MATCH(AF$6,'Restaurant Base (Hidden)'!$A$1:$Z$1,0)),"")</f>
        <v>65,60 %</v>
      </c>
      <c r="AG394" s="1">
        <f>+IFERROR(INDEX('Restaurant Base (Hidden)'!$A$2:$Z$1048576,MATCH($C394,'Restaurant Base (Hidden)'!$C$2:$C$1048576,0),MATCH(AG$6,'Restaurant Base (Hidden)'!$A$1:$Z$1,0)),"")</f>
        <v>1</v>
      </c>
    </row>
    <row r="395" spans="1:33" ht="16" customHeight="1" x14ac:dyDescent="0.4">
      <c r="A395" s="163" t="str">
        <f>IF('Restaurant Base (Hidden)'!A357=0,"", 'Restaurant Base (Hidden)'!A357)</f>
        <v>Harper Langford</v>
      </c>
      <c r="B395" s="163" t="str">
        <f>IF('Restaurant Base (Hidden)'!B357=0,"", 'Restaurant Base (Hidden)'!B357)</f>
        <v>Riverstone Food Partners</v>
      </c>
      <c r="C395" s="163" t="str">
        <f>IF('Restaurant Base (Hidden)'!C357=0,"", 'Restaurant Base (Hidden)'!C357)</f>
        <v>Bright Way</v>
      </c>
      <c r="D395" s="104">
        <f t="shared" si="6"/>
        <v>389</v>
      </c>
      <c r="E395" s="105">
        <f>+IFERROR(INDEX('Restaurant Base (Hidden)'!$A$2:$Z$1048576,MATCH($C395,'Restaurant Base (Hidden)'!$C$2:$C$1048576,0),MATCH(E$6,'Restaurant Base (Hidden)'!$A$1:$Z$1,0)),"")</f>
        <v>2.17</v>
      </c>
      <c r="F395" s="2" t="str">
        <f>+IFERROR(INDEX('Restaurant Base (Hidden)'!$A$2:$Z$1048576,MATCH($C395,'Restaurant Base (Hidden)'!$C$2:$C$1048576,0),MATCH(F$6,'Restaurant Base (Hidden)'!$A$1:$Z$1,0)),"")</f>
        <v/>
      </c>
      <c r="G395" s="20" t="str">
        <f>+IFERROR(INDEX('Restaurant Base (Hidden)'!$A$2:$Z$1048576,MATCH($C395,'Restaurant Base (Hidden)'!$C$2:$C$1048576,0),MATCH(G$6,'Restaurant Base (Hidden)'!$A$1:$Z$1,0)),"")</f>
        <v>4,250</v>
      </c>
      <c r="H395" s="50">
        <f>+IFERROR(INDEX('Restaurant Base (Hidden)'!$A$2:$Z$1048576,MATCH($C395,'Restaurant Base (Hidden)'!$C$2:$C$1048576,0),MATCH(H$6,'Restaurant Base (Hidden)'!$A$1:$Z$1,0)),"")</f>
        <v>3</v>
      </c>
      <c r="I395" s="20" t="str">
        <f>+IFERROR(INDEX('Restaurant Base (Hidden)'!$A$2:$Z$1048576,MATCH($C395,'Restaurant Base (Hidden)'!$C$2:$C$1048576,0),MATCH(I$6,'Restaurant Base (Hidden)'!$A$1:$Z$1,0)),"")</f>
        <v>90,20 %</v>
      </c>
      <c r="J395" s="49">
        <f>+IFERROR(INDEX('Restaurant Base (Hidden)'!$A$2:$Z$1048576,MATCH($C395,'Restaurant Base (Hidden)'!$C$2:$C$1048576,0),MATCH(J$6,'Restaurant Base (Hidden)'!$A$1:$Z$1,0)),"")</f>
        <v>4</v>
      </c>
      <c r="K395" s="20" t="str">
        <f>+IFERROR(INDEX('Restaurant Base (Hidden)'!$A$2:$Z$1048576,MATCH($C395,'Restaurant Base (Hidden)'!$C$2:$C$1048576,0),MATCH(K$6,'Restaurant Base (Hidden)'!$A$1:$Z$1,0)),"")</f>
        <v>0,135</v>
      </c>
      <c r="L395" s="51">
        <f>+IFERROR(INDEX('Restaurant Base (Hidden)'!$A$2:$Z$1048576,MATCH($C395,'Restaurant Base (Hidden)'!$C$2:$C$1048576,0),MATCH(L$6,'Restaurant Base (Hidden)'!$A$1:$Z$1,0)),"")</f>
        <v>2</v>
      </c>
      <c r="M395" s="2" t="str">
        <f>+IFERROR(INDEX('Restaurant Base (Hidden)'!$A$2:$Z$1048576,MATCH($C395,'Restaurant Base (Hidden)'!$C$2:$C$1048576,0),MATCH(M$6,'Restaurant Base (Hidden)'!$A$1:$Z$1,0)),"")</f>
        <v/>
      </c>
      <c r="N395" s="234" t="str">
        <f>+IFERROR(INDEX('Restaurant Base (Hidden)'!$A$2:$Z$1048576,MATCH($C395,'Restaurant Base (Hidden)'!$C$2:$C$1048576,0),MATCH(N$6,'Restaurant Base (Hidden)'!$A$1:$Z$1,0)),"")</f>
        <v>57,70 %</v>
      </c>
      <c r="O395" s="1">
        <f>+IFERROR(INDEX('Restaurant Base (Hidden)'!$A$2:$Z$1048576,MATCH($C395,'Restaurant Base (Hidden)'!$C$2:$C$1048576,0),MATCH(O$6,'Restaurant Base (Hidden)'!$A$1:$Z$1,0)),"")</f>
        <v>1</v>
      </c>
      <c r="P395" s="2" t="str">
        <f>+IFERROR(INDEX('Restaurant Base (Hidden)'!$A$2:$Z$1048576,MATCH($C395,'Restaurant Base (Hidden)'!$C$2:$C$1048576,0),MATCH(P$6,'Restaurant Base (Hidden)'!$A$1:$Z$1,0)),"")</f>
        <v/>
      </c>
      <c r="Q395" s="234" t="str">
        <f>+IFERROR(INDEX('Restaurant Base (Hidden)'!$A$2:$Z$1048576,MATCH($C395,'Restaurant Base (Hidden)'!$C$2:$C$1048576,0),MATCH(Q$6,'Restaurant Base (Hidden)'!$A$1:$Z$1,0)),"")</f>
        <v>56,20 %</v>
      </c>
      <c r="R395" s="1">
        <f>+IFERROR(INDEX('Restaurant Base (Hidden)'!$A$2:$Z$1048576,MATCH($C395,'Restaurant Base (Hidden)'!$C$2:$C$1048576,0),MATCH(R$6,'Restaurant Base (Hidden)'!$A$1:$Z$1,0)),"")</f>
        <v>1</v>
      </c>
      <c r="S395" s="2" t="str">
        <f>+IFERROR(INDEX('Restaurant Base (Hidden)'!$A$2:$Z$1048576,MATCH($C395,'Restaurant Base (Hidden)'!$C$2:$C$1048576,0),MATCH(S$6,'Restaurant Base (Hidden)'!$A$1:$Z$1,0)),"")</f>
        <v/>
      </c>
      <c r="T395" s="62">
        <f>+IFERROR(INDEX('Restaurant Base (Hidden)'!$A$2:$Z$1048576,MATCH($C395,'Restaurant Base (Hidden)'!$C$2:$C$1048576,0),MATCH(T$6,'Restaurant Base (Hidden)'!$A$1:$Z$1,0)),"")</f>
        <v>62.1</v>
      </c>
      <c r="U395" s="1">
        <f>+IFERROR(INDEX('Restaurant Base (Hidden)'!$A$2:$Z$1048576,MATCH($C395,'Restaurant Base (Hidden)'!$C$2:$C$1048576,0),MATCH(U$6,'Restaurant Base (Hidden)'!$A$1:$Z$1,0)),"")</f>
        <v>3</v>
      </c>
      <c r="V395" s="2" t="str">
        <f>+IFERROR(INDEX('Restaurant Base (Hidden)'!$A$2:$Z$1048576,MATCH($C395,'Restaurant Base (Hidden)'!$C$2:$C$1048576,0),MATCH(V$6,'Restaurant Base (Hidden)'!$A$1:$Z$1,0)),"")</f>
        <v/>
      </c>
      <c r="W395" s="65" t="str">
        <f>+IFERROR(INDEX('Restaurant Base (Hidden)'!$A$2:$Z$1048576,MATCH($C395,'Restaurant Base (Hidden)'!$C$2:$C$1048576,0),MATCH(W$6,'Restaurant Base (Hidden)'!$A$1:$Z$1,0)),"")</f>
        <v>55,90 %</v>
      </c>
      <c r="X395" s="1">
        <f>+IFERROR(INDEX('Restaurant Base (Hidden)'!$A$2:$Z$1048576,MATCH($C395,'Restaurant Base (Hidden)'!$C$2:$C$1048576,0),MATCH(X$6,'Restaurant Base (Hidden)'!$A$1:$Z$1,0)),"")</f>
        <v>1</v>
      </c>
      <c r="Y395" s="65" t="str">
        <f>+IFERROR(INDEX('Restaurant Base (Hidden)'!$A$2:$Z$1048576,MATCH($C395,'Restaurant Base (Hidden)'!$C$2:$C$1048576,0),MATCH(Y$6,'Restaurant Base (Hidden)'!$A$1:$Z$1,0)),"")</f>
        <v>78,20 %</v>
      </c>
      <c r="Z395" s="106">
        <f>+IFERROR(INDEX('Restaurant Base (Hidden)'!$A$2:$Z$1048576,MATCH($C395,'Restaurant Base (Hidden)'!$C$2:$C$1048576,0),MATCH(Z$6,'Restaurant Base (Hidden)'!$A$1:$Z$1,0)),"")</f>
        <v>2</v>
      </c>
      <c r="AA395" s="65" t="str">
        <f>+IFERROR(INDEX('Restaurant Base (Hidden)'!$A$2:$Z$1048576,MATCH($C395,'Restaurant Base (Hidden)'!$C$2:$C$1048576,0),MATCH(AA$6,'Restaurant Base (Hidden)'!$A$1:$Z$1,0)),"")</f>
        <v>85,50 %</v>
      </c>
      <c r="AB395" s="1">
        <f>+IFERROR(INDEX('Restaurant Base (Hidden)'!$A$2:$Z$1048576,MATCH($C395,'Restaurant Base (Hidden)'!$C$2:$C$1048576,0),MATCH(AB$6,'Restaurant Base (Hidden)'!$A$1:$Z$1,0)),"")</f>
        <v>3</v>
      </c>
      <c r="AC395" s="20" t="str">
        <f>+IFERROR(INDEX('Restaurant Base (Hidden)'!$A$2:$Z$1048576,MATCH($C395,'Restaurant Base (Hidden)'!$C$2:$C$1048576,0),MATCH(AC$6,'Restaurant Base (Hidden)'!$A$1:$Z$1,0)),"")</f>
        <v/>
      </c>
      <c r="AD395" s="65" t="str">
        <f>+IFERROR(INDEX('Restaurant Base (Hidden)'!$A$2:$Z$1048576,MATCH($C395,'Restaurant Base (Hidden)'!$C$2:$C$1048576,0),MATCH(AD$6,'Restaurant Base (Hidden)'!$A$1:$Z$1,0)),"")</f>
        <v>58,70 %</v>
      </c>
      <c r="AE395" s="1">
        <f>+IFERROR(INDEX('Restaurant Base (Hidden)'!$A$2:$Z$1048576,MATCH($C395,'Restaurant Base (Hidden)'!$C$2:$C$1048576,0),MATCH(AE$6,'Restaurant Base (Hidden)'!$A$1:$Z$1,0)),"")</f>
        <v>1</v>
      </c>
      <c r="AF395" s="65" t="str">
        <f>+IFERROR(INDEX('Restaurant Base (Hidden)'!$A$2:$Z$1048576,MATCH($C395,'Restaurant Base (Hidden)'!$C$2:$C$1048576,0),MATCH(AF$6,'Restaurant Base (Hidden)'!$A$1:$Z$1,0)),"")</f>
        <v>92,20 %</v>
      </c>
      <c r="AG395" s="1">
        <f>+IFERROR(INDEX('Restaurant Base (Hidden)'!$A$2:$Z$1048576,MATCH($C395,'Restaurant Base (Hidden)'!$C$2:$C$1048576,0),MATCH(AG$6,'Restaurant Base (Hidden)'!$A$1:$Z$1,0)),"")</f>
        <v>3</v>
      </c>
    </row>
    <row r="396" spans="1:33" ht="16" customHeight="1" x14ac:dyDescent="0.4">
      <c r="A396" s="163" t="str">
        <f>IF('Restaurant Base (Hidden)'!A102=0,"", 'Restaurant Base (Hidden)'!A102)</f>
        <v>Morgan Rivington</v>
      </c>
      <c r="B396" s="163" t="str">
        <f>IF('Restaurant Base (Hidden)'!B102=0,"", 'Restaurant Base (Hidden)'!B102)</f>
        <v>Eastmere Foods</v>
      </c>
      <c r="C396" s="163" t="str">
        <f>IF('Restaurant Base (Hidden)'!C102=0,"", 'Restaurant Base (Hidden)'!C102)</f>
        <v>Pine View</v>
      </c>
      <c r="D396" s="104">
        <f t="shared" si="6"/>
        <v>390</v>
      </c>
      <c r="E396" s="105">
        <f>+IFERROR(INDEX('Restaurant Base (Hidden)'!$A$2:$Z$1048576,MATCH($C396,'Restaurant Base (Hidden)'!$C$2:$C$1048576,0),MATCH(E$6,'Restaurant Base (Hidden)'!$A$1:$Z$1,0)),"")</f>
        <v>2.16</v>
      </c>
      <c r="F396" s="2" t="str">
        <f>+IFERROR(INDEX('Restaurant Base (Hidden)'!$A$2:$Z$1048576,MATCH($C396,'Restaurant Base (Hidden)'!$C$2:$C$1048576,0),MATCH(F$6,'Restaurant Base (Hidden)'!$A$1:$Z$1,0)),"")</f>
        <v/>
      </c>
      <c r="G396" s="20" t="str">
        <f>+IFERROR(INDEX('Restaurant Base (Hidden)'!$A$2:$Z$1048576,MATCH($C396,'Restaurant Base (Hidden)'!$C$2:$C$1048576,0),MATCH(G$6,'Restaurant Base (Hidden)'!$A$1:$Z$1,0)),"")</f>
        <v>4,200</v>
      </c>
      <c r="H396" s="50">
        <f>+IFERROR(INDEX('Restaurant Base (Hidden)'!$A$2:$Z$1048576,MATCH($C396,'Restaurant Base (Hidden)'!$C$2:$C$1048576,0),MATCH(H$6,'Restaurant Base (Hidden)'!$A$1:$Z$1,0)),"")</f>
        <v>3</v>
      </c>
      <c r="I396" s="20" t="str">
        <f>+IFERROR(INDEX('Restaurant Base (Hidden)'!$A$2:$Z$1048576,MATCH($C396,'Restaurant Base (Hidden)'!$C$2:$C$1048576,0),MATCH(I$6,'Restaurant Base (Hidden)'!$A$1:$Z$1,0)),"")</f>
        <v>80,30 %</v>
      </c>
      <c r="J396" s="49">
        <f>+IFERROR(INDEX('Restaurant Base (Hidden)'!$A$2:$Z$1048576,MATCH($C396,'Restaurant Base (Hidden)'!$C$2:$C$1048576,0),MATCH(J$6,'Restaurant Base (Hidden)'!$A$1:$Z$1,0)),"")</f>
        <v>2</v>
      </c>
      <c r="K396" s="20" t="str">
        <f>+IFERROR(INDEX('Restaurant Base (Hidden)'!$A$2:$Z$1048576,MATCH($C396,'Restaurant Base (Hidden)'!$C$2:$C$1048576,0),MATCH(K$6,'Restaurant Base (Hidden)'!$A$1:$Z$1,0)),"")</f>
        <v>0,090</v>
      </c>
      <c r="L396" s="51">
        <f>+IFERROR(INDEX('Restaurant Base (Hidden)'!$A$2:$Z$1048576,MATCH($C396,'Restaurant Base (Hidden)'!$C$2:$C$1048576,0),MATCH(L$6,'Restaurant Base (Hidden)'!$A$1:$Z$1,0)),"")</f>
        <v>4</v>
      </c>
      <c r="M396" s="2" t="str">
        <f>+IFERROR(INDEX('Restaurant Base (Hidden)'!$A$2:$Z$1048576,MATCH($C396,'Restaurant Base (Hidden)'!$C$2:$C$1048576,0),MATCH(M$6,'Restaurant Base (Hidden)'!$A$1:$Z$1,0)),"")</f>
        <v/>
      </c>
      <c r="N396" s="234" t="str">
        <f>+IFERROR(INDEX('Restaurant Base (Hidden)'!$A$2:$Z$1048576,MATCH($C396,'Restaurant Base (Hidden)'!$C$2:$C$1048576,0),MATCH(N$6,'Restaurant Base (Hidden)'!$A$1:$Z$1,0)),"")</f>
        <v>60,60 %</v>
      </c>
      <c r="O396" s="1">
        <f>+IFERROR(INDEX('Restaurant Base (Hidden)'!$A$2:$Z$1048576,MATCH($C396,'Restaurant Base (Hidden)'!$C$2:$C$1048576,0),MATCH(O$6,'Restaurant Base (Hidden)'!$A$1:$Z$1,0)),"")</f>
        <v>2</v>
      </c>
      <c r="P396" s="2" t="str">
        <f>+IFERROR(INDEX('Restaurant Base (Hidden)'!$A$2:$Z$1048576,MATCH($C396,'Restaurant Base (Hidden)'!$C$2:$C$1048576,0),MATCH(P$6,'Restaurant Base (Hidden)'!$A$1:$Z$1,0)),"")</f>
        <v/>
      </c>
      <c r="Q396" s="234" t="str">
        <f>+IFERROR(INDEX('Restaurant Base (Hidden)'!$A$2:$Z$1048576,MATCH($C396,'Restaurant Base (Hidden)'!$C$2:$C$1048576,0),MATCH(Q$6,'Restaurant Base (Hidden)'!$A$1:$Z$1,0)),"")</f>
        <v>56,40 %</v>
      </c>
      <c r="R396" s="1">
        <f>+IFERROR(INDEX('Restaurant Base (Hidden)'!$A$2:$Z$1048576,MATCH($C396,'Restaurant Base (Hidden)'!$C$2:$C$1048576,0),MATCH(R$6,'Restaurant Base (Hidden)'!$A$1:$Z$1,0)),"")</f>
        <v>1</v>
      </c>
      <c r="S396" s="2" t="str">
        <f>+IFERROR(INDEX('Restaurant Base (Hidden)'!$A$2:$Z$1048576,MATCH($C396,'Restaurant Base (Hidden)'!$C$2:$C$1048576,0),MATCH(S$6,'Restaurant Base (Hidden)'!$A$1:$Z$1,0)),"")</f>
        <v/>
      </c>
      <c r="T396" s="62">
        <f>+IFERROR(INDEX('Restaurant Base (Hidden)'!$A$2:$Z$1048576,MATCH($C396,'Restaurant Base (Hidden)'!$C$2:$C$1048576,0),MATCH(T$6,'Restaurant Base (Hidden)'!$A$1:$Z$1,0)),"")</f>
        <v>66.5</v>
      </c>
      <c r="U396" s="1">
        <f>+IFERROR(INDEX('Restaurant Base (Hidden)'!$A$2:$Z$1048576,MATCH($C396,'Restaurant Base (Hidden)'!$C$2:$C$1048576,0),MATCH(U$6,'Restaurant Base (Hidden)'!$A$1:$Z$1,0)),"")</f>
        <v>4</v>
      </c>
      <c r="V396" s="2" t="str">
        <f>+IFERROR(INDEX('Restaurant Base (Hidden)'!$A$2:$Z$1048576,MATCH($C396,'Restaurant Base (Hidden)'!$C$2:$C$1048576,0),MATCH(V$6,'Restaurant Base (Hidden)'!$A$1:$Z$1,0)),"")</f>
        <v/>
      </c>
      <c r="W396" s="65" t="str">
        <f>+IFERROR(INDEX('Restaurant Base (Hidden)'!$A$2:$Z$1048576,MATCH($C396,'Restaurant Base (Hidden)'!$C$2:$C$1048576,0),MATCH(W$6,'Restaurant Base (Hidden)'!$A$1:$Z$1,0)),"")</f>
        <v>73,80 %</v>
      </c>
      <c r="X396" s="1">
        <f>+IFERROR(INDEX('Restaurant Base (Hidden)'!$A$2:$Z$1048576,MATCH($C396,'Restaurant Base (Hidden)'!$C$2:$C$1048576,0),MATCH(X$6,'Restaurant Base (Hidden)'!$A$1:$Z$1,0)),"")</f>
        <v>2</v>
      </c>
      <c r="Y396" s="65" t="str">
        <f>+IFERROR(INDEX('Restaurant Base (Hidden)'!$A$2:$Z$1048576,MATCH($C396,'Restaurant Base (Hidden)'!$C$2:$C$1048576,0),MATCH(Y$6,'Restaurant Base (Hidden)'!$A$1:$Z$1,0)),"")</f>
        <v>56,10 %</v>
      </c>
      <c r="Z396" s="106">
        <f>+IFERROR(INDEX('Restaurant Base (Hidden)'!$A$2:$Z$1048576,MATCH($C396,'Restaurant Base (Hidden)'!$C$2:$C$1048576,0),MATCH(Z$6,'Restaurant Base (Hidden)'!$A$1:$Z$1,0)),"")</f>
        <v>1</v>
      </c>
      <c r="AA396" s="65" t="str">
        <f>+IFERROR(INDEX('Restaurant Base (Hidden)'!$A$2:$Z$1048576,MATCH($C396,'Restaurant Base (Hidden)'!$C$2:$C$1048576,0),MATCH(AA$6,'Restaurant Base (Hidden)'!$A$1:$Z$1,0)),"")</f>
        <v>96,30 %</v>
      </c>
      <c r="AB396" s="1">
        <f>+IFERROR(INDEX('Restaurant Base (Hidden)'!$A$2:$Z$1048576,MATCH($C396,'Restaurant Base (Hidden)'!$C$2:$C$1048576,0),MATCH(AB$6,'Restaurant Base (Hidden)'!$A$1:$Z$1,0)),"")</f>
        <v>4</v>
      </c>
      <c r="AC396" s="20" t="str">
        <f>+IFERROR(INDEX('Restaurant Base (Hidden)'!$A$2:$Z$1048576,MATCH($C396,'Restaurant Base (Hidden)'!$C$2:$C$1048576,0),MATCH(AC$6,'Restaurant Base (Hidden)'!$A$1:$Z$1,0)),"")</f>
        <v/>
      </c>
      <c r="AD396" s="65" t="str">
        <f>+IFERROR(INDEX('Restaurant Base (Hidden)'!$A$2:$Z$1048576,MATCH($C396,'Restaurant Base (Hidden)'!$C$2:$C$1048576,0),MATCH(AD$6,'Restaurant Base (Hidden)'!$A$1:$Z$1,0)),"")</f>
        <v>57,40 %</v>
      </c>
      <c r="AE396" s="1">
        <f>+IFERROR(INDEX('Restaurant Base (Hidden)'!$A$2:$Z$1048576,MATCH($C396,'Restaurant Base (Hidden)'!$C$2:$C$1048576,0),MATCH(AE$6,'Restaurant Base (Hidden)'!$A$1:$Z$1,0)),"")</f>
        <v>1</v>
      </c>
      <c r="AF396" s="65" t="str">
        <f>+IFERROR(INDEX('Restaurant Base (Hidden)'!$A$2:$Z$1048576,MATCH($C396,'Restaurant Base (Hidden)'!$C$2:$C$1048576,0),MATCH(AF$6,'Restaurant Base (Hidden)'!$A$1:$Z$1,0)),"")</f>
        <v>58,40 %</v>
      </c>
      <c r="AG396" s="1">
        <f>+IFERROR(INDEX('Restaurant Base (Hidden)'!$A$2:$Z$1048576,MATCH($C396,'Restaurant Base (Hidden)'!$C$2:$C$1048576,0),MATCH(AG$6,'Restaurant Base (Hidden)'!$A$1:$Z$1,0)),"")</f>
        <v>1</v>
      </c>
    </row>
    <row r="397" spans="1:33" ht="16" customHeight="1" x14ac:dyDescent="0.4">
      <c r="A397" s="163" t="str">
        <f>IF('Restaurant Base (Hidden)'!A161=0,"", 'Restaurant Base (Hidden)'!A161)</f>
        <v>Parker Sterling</v>
      </c>
      <c r="B397" s="163" t="str">
        <f>IF('Restaurant Base (Hidden)'!B161=0,"", 'Restaurant Base (Hidden)'!B161)</f>
        <v>Sunridge Food Partners</v>
      </c>
      <c r="C397" s="163" t="str">
        <f>IF('Restaurant Base (Hidden)'!C161=0,"", 'Restaurant Base (Hidden)'!C161)</f>
        <v>Western Ridge</v>
      </c>
      <c r="D397" s="104">
        <f t="shared" si="6"/>
        <v>391</v>
      </c>
      <c r="E397" s="105">
        <f>+IFERROR(INDEX('Restaurant Base (Hidden)'!$A$2:$Z$1048576,MATCH($C397,'Restaurant Base (Hidden)'!$C$2:$C$1048576,0),MATCH(E$6,'Restaurant Base (Hidden)'!$A$1:$Z$1,0)),"")</f>
        <v>2.13</v>
      </c>
      <c r="F397" s="2" t="str">
        <f>+IFERROR(INDEX('Restaurant Base (Hidden)'!$A$2:$Z$1048576,MATCH($C397,'Restaurant Base (Hidden)'!$C$2:$C$1048576,0),MATCH(F$6,'Restaurant Base (Hidden)'!$A$1:$Z$1,0)),"")</f>
        <v/>
      </c>
      <c r="G397" s="20" t="str">
        <f>+IFERROR(INDEX('Restaurant Base (Hidden)'!$A$2:$Z$1048576,MATCH($C397,'Restaurant Base (Hidden)'!$C$2:$C$1048576,0),MATCH(G$6,'Restaurant Base (Hidden)'!$A$1:$Z$1,0)),"")</f>
        <v>4,241</v>
      </c>
      <c r="H397" s="50">
        <f>+IFERROR(INDEX('Restaurant Base (Hidden)'!$A$2:$Z$1048576,MATCH($C397,'Restaurant Base (Hidden)'!$C$2:$C$1048576,0),MATCH(H$6,'Restaurant Base (Hidden)'!$A$1:$Z$1,0)),"")</f>
        <v>3</v>
      </c>
      <c r="I397" s="20" t="str">
        <f>+IFERROR(INDEX('Restaurant Base (Hidden)'!$A$2:$Z$1048576,MATCH($C397,'Restaurant Base (Hidden)'!$C$2:$C$1048576,0),MATCH(I$6,'Restaurant Base (Hidden)'!$A$1:$Z$1,0)),"")</f>
        <v>62,40 %</v>
      </c>
      <c r="J397" s="49">
        <f>+IFERROR(INDEX('Restaurant Base (Hidden)'!$A$2:$Z$1048576,MATCH($C397,'Restaurant Base (Hidden)'!$C$2:$C$1048576,0),MATCH(J$6,'Restaurant Base (Hidden)'!$A$1:$Z$1,0)),"")</f>
        <v>1</v>
      </c>
      <c r="K397" s="20" t="str">
        <f>+IFERROR(INDEX('Restaurant Base (Hidden)'!$A$2:$Z$1048576,MATCH($C397,'Restaurant Base (Hidden)'!$C$2:$C$1048576,0),MATCH(K$6,'Restaurant Base (Hidden)'!$A$1:$Z$1,0)),"")</f>
        <v>0,179</v>
      </c>
      <c r="L397" s="51">
        <f>+IFERROR(INDEX('Restaurant Base (Hidden)'!$A$2:$Z$1048576,MATCH($C397,'Restaurant Base (Hidden)'!$C$2:$C$1048576,0),MATCH(L$6,'Restaurant Base (Hidden)'!$A$1:$Z$1,0)),"")</f>
        <v>2</v>
      </c>
      <c r="M397" s="2" t="str">
        <f>+IFERROR(INDEX('Restaurant Base (Hidden)'!$A$2:$Z$1048576,MATCH($C397,'Restaurant Base (Hidden)'!$C$2:$C$1048576,0),MATCH(M$6,'Restaurant Base (Hidden)'!$A$1:$Z$1,0)),"")</f>
        <v/>
      </c>
      <c r="N397" s="234" t="str">
        <f>+IFERROR(INDEX('Restaurant Base (Hidden)'!$A$2:$Z$1048576,MATCH($C397,'Restaurant Base (Hidden)'!$C$2:$C$1048576,0),MATCH(N$6,'Restaurant Base (Hidden)'!$A$1:$Z$1,0)),"")</f>
        <v>66,60 %</v>
      </c>
      <c r="O397" s="1">
        <f>+IFERROR(INDEX('Restaurant Base (Hidden)'!$A$2:$Z$1048576,MATCH($C397,'Restaurant Base (Hidden)'!$C$2:$C$1048576,0),MATCH(O$6,'Restaurant Base (Hidden)'!$A$1:$Z$1,0)),"")</f>
        <v>3</v>
      </c>
      <c r="P397" s="2" t="str">
        <f>+IFERROR(INDEX('Restaurant Base (Hidden)'!$A$2:$Z$1048576,MATCH($C397,'Restaurant Base (Hidden)'!$C$2:$C$1048576,0),MATCH(P$6,'Restaurant Base (Hidden)'!$A$1:$Z$1,0)),"")</f>
        <v/>
      </c>
      <c r="Q397" s="234" t="str">
        <f>+IFERROR(INDEX('Restaurant Base (Hidden)'!$A$2:$Z$1048576,MATCH($C397,'Restaurant Base (Hidden)'!$C$2:$C$1048576,0),MATCH(Q$6,'Restaurant Base (Hidden)'!$A$1:$Z$1,0)),"")</f>
        <v>55,60 %</v>
      </c>
      <c r="R397" s="1">
        <f>+IFERROR(INDEX('Restaurant Base (Hidden)'!$A$2:$Z$1048576,MATCH($C397,'Restaurant Base (Hidden)'!$C$2:$C$1048576,0),MATCH(R$6,'Restaurant Base (Hidden)'!$A$1:$Z$1,0)),"")</f>
        <v>1</v>
      </c>
      <c r="S397" s="2" t="str">
        <f>+IFERROR(INDEX('Restaurant Base (Hidden)'!$A$2:$Z$1048576,MATCH($C397,'Restaurant Base (Hidden)'!$C$2:$C$1048576,0),MATCH(S$6,'Restaurant Base (Hidden)'!$A$1:$Z$1,0)),"")</f>
        <v/>
      </c>
      <c r="T397" s="62">
        <f>+IFERROR(INDEX('Restaurant Base (Hidden)'!$A$2:$Z$1048576,MATCH($C397,'Restaurant Base (Hidden)'!$C$2:$C$1048576,0),MATCH(T$6,'Restaurant Base (Hidden)'!$A$1:$Z$1,0)),"")</f>
        <v>63.8</v>
      </c>
      <c r="U397" s="1">
        <f>+IFERROR(INDEX('Restaurant Base (Hidden)'!$A$2:$Z$1048576,MATCH($C397,'Restaurant Base (Hidden)'!$C$2:$C$1048576,0),MATCH(U$6,'Restaurant Base (Hidden)'!$A$1:$Z$1,0)),"")</f>
        <v>3</v>
      </c>
      <c r="V397" s="2" t="str">
        <f>+IFERROR(INDEX('Restaurant Base (Hidden)'!$A$2:$Z$1048576,MATCH($C397,'Restaurant Base (Hidden)'!$C$2:$C$1048576,0),MATCH(V$6,'Restaurant Base (Hidden)'!$A$1:$Z$1,0)),"")</f>
        <v/>
      </c>
      <c r="W397" s="65" t="str">
        <f>+IFERROR(INDEX('Restaurant Base (Hidden)'!$A$2:$Z$1048576,MATCH($C397,'Restaurant Base (Hidden)'!$C$2:$C$1048576,0),MATCH(W$6,'Restaurant Base (Hidden)'!$A$1:$Z$1,0)),"")</f>
        <v>72,80 %</v>
      </c>
      <c r="X397" s="1">
        <f>+IFERROR(INDEX('Restaurant Base (Hidden)'!$A$2:$Z$1048576,MATCH($C397,'Restaurant Base (Hidden)'!$C$2:$C$1048576,0),MATCH(X$6,'Restaurant Base (Hidden)'!$A$1:$Z$1,0)),"")</f>
        <v>2</v>
      </c>
      <c r="Y397" s="65" t="str">
        <f>+IFERROR(INDEX('Restaurant Base (Hidden)'!$A$2:$Z$1048576,MATCH($C397,'Restaurant Base (Hidden)'!$C$2:$C$1048576,0),MATCH(Y$6,'Restaurant Base (Hidden)'!$A$1:$Z$1,0)),"")</f>
        <v>79,20 %</v>
      </c>
      <c r="Z397" s="106">
        <f>+IFERROR(INDEX('Restaurant Base (Hidden)'!$A$2:$Z$1048576,MATCH($C397,'Restaurant Base (Hidden)'!$C$2:$C$1048576,0),MATCH(Z$6,'Restaurant Base (Hidden)'!$A$1:$Z$1,0)),"")</f>
        <v>2</v>
      </c>
      <c r="AA397" s="65" t="str">
        <f>+IFERROR(INDEX('Restaurant Base (Hidden)'!$A$2:$Z$1048576,MATCH($C397,'Restaurant Base (Hidden)'!$C$2:$C$1048576,0),MATCH(AA$6,'Restaurant Base (Hidden)'!$A$1:$Z$1,0)),"")</f>
        <v>91,50 %</v>
      </c>
      <c r="AB397" s="1">
        <f>+IFERROR(INDEX('Restaurant Base (Hidden)'!$A$2:$Z$1048576,MATCH($C397,'Restaurant Base (Hidden)'!$C$2:$C$1048576,0),MATCH(AB$6,'Restaurant Base (Hidden)'!$A$1:$Z$1,0)),"")</f>
        <v>3</v>
      </c>
      <c r="AC397" s="20" t="str">
        <f>+IFERROR(INDEX('Restaurant Base (Hidden)'!$A$2:$Z$1048576,MATCH($C397,'Restaurant Base (Hidden)'!$C$2:$C$1048576,0),MATCH(AC$6,'Restaurant Base (Hidden)'!$A$1:$Z$1,0)),"")</f>
        <v/>
      </c>
      <c r="AD397" s="65" t="str">
        <f>+IFERROR(INDEX('Restaurant Base (Hidden)'!$A$2:$Z$1048576,MATCH($C397,'Restaurant Base (Hidden)'!$C$2:$C$1048576,0),MATCH(AD$6,'Restaurant Base (Hidden)'!$A$1:$Z$1,0)),"")</f>
        <v>78,00 %</v>
      </c>
      <c r="AE397" s="1">
        <f>+IFERROR(INDEX('Restaurant Base (Hidden)'!$A$2:$Z$1048576,MATCH($C397,'Restaurant Base (Hidden)'!$C$2:$C$1048576,0),MATCH(AE$6,'Restaurant Base (Hidden)'!$A$1:$Z$1,0)),"")</f>
        <v>2</v>
      </c>
      <c r="AF397" s="65" t="str">
        <f>+IFERROR(INDEX('Restaurant Base (Hidden)'!$A$2:$Z$1048576,MATCH($C397,'Restaurant Base (Hidden)'!$C$2:$C$1048576,0),MATCH(AF$6,'Restaurant Base (Hidden)'!$A$1:$Z$1,0)),"")</f>
        <v>78,40 %</v>
      </c>
      <c r="AG397" s="1">
        <f>+IFERROR(INDEX('Restaurant Base (Hidden)'!$A$2:$Z$1048576,MATCH($C397,'Restaurant Base (Hidden)'!$C$2:$C$1048576,0),MATCH(AG$6,'Restaurant Base (Hidden)'!$A$1:$Z$1,0)),"")</f>
        <v>2</v>
      </c>
    </row>
    <row r="398" spans="1:33" ht="16" customHeight="1" x14ac:dyDescent="0.4">
      <c r="A398" s="163" t="str">
        <f>IF('Restaurant Base (Hidden)'!A211=0,"", 'Restaurant Base (Hidden)'!A211)</f>
        <v>Finley Kensington</v>
      </c>
      <c r="B398" s="163" t="str">
        <f>IF('Restaurant Base (Hidden)'!B211=0,"", 'Restaurant Base (Hidden)'!B211)</f>
        <v>Harborline Dining</v>
      </c>
      <c r="C398" s="163" t="str">
        <f>IF('Restaurant Base (Hidden)'!C211=0,"", 'Restaurant Base (Hidden)'!C211)</f>
        <v>Golden Heath</v>
      </c>
      <c r="D398" s="104">
        <f t="shared" si="6"/>
        <v>391</v>
      </c>
      <c r="E398" s="105">
        <f>+IFERROR(INDEX('Restaurant Base (Hidden)'!$A$2:$Z$1048576,MATCH($C398,'Restaurant Base (Hidden)'!$C$2:$C$1048576,0),MATCH(E$6,'Restaurant Base (Hidden)'!$A$1:$Z$1,0)),"")</f>
        <v>2.13</v>
      </c>
      <c r="F398" s="2" t="str">
        <f>+IFERROR(INDEX('Restaurant Base (Hidden)'!$A$2:$Z$1048576,MATCH($C398,'Restaurant Base (Hidden)'!$C$2:$C$1048576,0),MATCH(F$6,'Restaurant Base (Hidden)'!$A$1:$Z$1,0)),"")</f>
        <v/>
      </c>
      <c r="G398" s="20" t="str">
        <f>+IFERROR(INDEX('Restaurant Base (Hidden)'!$A$2:$Z$1048576,MATCH($C398,'Restaurant Base (Hidden)'!$C$2:$C$1048576,0),MATCH(G$6,'Restaurant Base (Hidden)'!$A$1:$Z$1,0)),"")</f>
        <v>4,546</v>
      </c>
      <c r="H398" s="50">
        <f>+IFERROR(INDEX('Restaurant Base (Hidden)'!$A$2:$Z$1048576,MATCH($C398,'Restaurant Base (Hidden)'!$C$2:$C$1048576,0),MATCH(H$6,'Restaurant Base (Hidden)'!$A$1:$Z$1,0)),"")</f>
        <v>5</v>
      </c>
      <c r="I398" s="20" t="str">
        <f>+IFERROR(INDEX('Restaurant Base (Hidden)'!$A$2:$Z$1048576,MATCH($C398,'Restaurant Base (Hidden)'!$C$2:$C$1048576,0),MATCH(I$6,'Restaurant Base (Hidden)'!$A$1:$Z$1,0)),"")</f>
        <v>77,40 %</v>
      </c>
      <c r="J398" s="49">
        <f>+IFERROR(INDEX('Restaurant Base (Hidden)'!$A$2:$Z$1048576,MATCH($C398,'Restaurant Base (Hidden)'!$C$2:$C$1048576,0),MATCH(J$6,'Restaurant Base (Hidden)'!$A$1:$Z$1,0)),"")</f>
        <v>1</v>
      </c>
      <c r="K398" s="20" t="str">
        <f>+IFERROR(INDEX('Restaurant Base (Hidden)'!$A$2:$Z$1048576,MATCH($C398,'Restaurant Base (Hidden)'!$C$2:$C$1048576,0),MATCH(K$6,'Restaurant Base (Hidden)'!$A$1:$Z$1,0)),"")</f>
        <v>0,179</v>
      </c>
      <c r="L398" s="51">
        <f>+IFERROR(INDEX('Restaurant Base (Hidden)'!$A$2:$Z$1048576,MATCH($C398,'Restaurant Base (Hidden)'!$C$2:$C$1048576,0),MATCH(L$6,'Restaurant Base (Hidden)'!$A$1:$Z$1,0)),"")</f>
        <v>2</v>
      </c>
      <c r="M398" s="2" t="str">
        <f>+IFERROR(INDEX('Restaurant Base (Hidden)'!$A$2:$Z$1048576,MATCH($C398,'Restaurant Base (Hidden)'!$C$2:$C$1048576,0),MATCH(M$6,'Restaurant Base (Hidden)'!$A$1:$Z$1,0)),"")</f>
        <v/>
      </c>
      <c r="N398" s="234" t="str">
        <f>+IFERROR(INDEX('Restaurant Base (Hidden)'!$A$2:$Z$1048576,MATCH($C398,'Restaurant Base (Hidden)'!$C$2:$C$1048576,0),MATCH(N$6,'Restaurant Base (Hidden)'!$A$1:$Z$1,0)),"")</f>
        <v>58,10 %</v>
      </c>
      <c r="O398" s="1">
        <f>+IFERROR(INDEX('Restaurant Base (Hidden)'!$A$2:$Z$1048576,MATCH($C398,'Restaurant Base (Hidden)'!$C$2:$C$1048576,0),MATCH(O$6,'Restaurant Base (Hidden)'!$A$1:$Z$1,0)),"")</f>
        <v>1</v>
      </c>
      <c r="P398" s="2" t="str">
        <f>+IFERROR(INDEX('Restaurant Base (Hidden)'!$A$2:$Z$1048576,MATCH($C398,'Restaurant Base (Hidden)'!$C$2:$C$1048576,0),MATCH(P$6,'Restaurant Base (Hidden)'!$A$1:$Z$1,0)),"")</f>
        <v/>
      </c>
      <c r="Q398" s="234" t="str">
        <f>+IFERROR(INDEX('Restaurant Base (Hidden)'!$A$2:$Z$1048576,MATCH($C398,'Restaurant Base (Hidden)'!$C$2:$C$1048576,0),MATCH(Q$6,'Restaurant Base (Hidden)'!$A$1:$Z$1,0)),"")</f>
        <v>63,70 %</v>
      </c>
      <c r="R398" s="1">
        <f>+IFERROR(INDEX('Restaurant Base (Hidden)'!$A$2:$Z$1048576,MATCH($C398,'Restaurant Base (Hidden)'!$C$2:$C$1048576,0),MATCH(R$6,'Restaurant Base (Hidden)'!$A$1:$Z$1,0)),"")</f>
        <v>2</v>
      </c>
      <c r="S398" s="2" t="str">
        <f>+IFERROR(INDEX('Restaurant Base (Hidden)'!$A$2:$Z$1048576,MATCH($C398,'Restaurant Base (Hidden)'!$C$2:$C$1048576,0),MATCH(S$6,'Restaurant Base (Hidden)'!$A$1:$Z$1,0)),"")</f>
        <v/>
      </c>
      <c r="T398" s="62">
        <f>+IFERROR(INDEX('Restaurant Base (Hidden)'!$A$2:$Z$1048576,MATCH($C398,'Restaurant Base (Hidden)'!$C$2:$C$1048576,0),MATCH(T$6,'Restaurant Base (Hidden)'!$A$1:$Z$1,0)),"")</f>
        <v>74.5</v>
      </c>
      <c r="U398" s="1">
        <f>+IFERROR(INDEX('Restaurant Base (Hidden)'!$A$2:$Z$1048576,MATCH($C398,'Restaurant Base (Hidden)'!$C$2:$C$1048576,0),MATCH(U$6,'Restaurant Base (Hidden)'!$A$1:$Z$1,0)),"")</f>
        <v>5</v>
      </c>
      <c r="V398" s="2" t="str">
        <f>+IFERROR(INDEX('Restaurant Base (Hidden)'!$A$2:$Z$1048576,MATCH($C398,'Restaurant Base (Hidden)'!$C$2:$C$1048576,0),MATCH(V$6,'Restaurant Base (Hidden)'!$A$1:$Z$1,0)),"")</f>
        <v/>
      </c>
      <c r="W398" s="65" t="str">
        <f>+IFERROR(INDEX('Restaurant Base (Hidden)'!$A$2:$Z$1048576,MATCH($C398,'Restaurant Base (Hidden)'!$C$2:$C$1048576,0),MATCH(W$6,'Restaurant Base (Hidden)'!$A$1:$Z$1,0)),"")</f>
        <v>55,30 %</v>
      </c>
      <c r="X398" s="1">
        <f>+IFERROR(INDEX('Restaurant Base (Hidden)'!$A$2:$Z$1048576,MATCH($C398,'Restaurant Base (Hidden)'!$C$2:$C$1048576,0),MATCH(X$6,'Restaurant Base (Hidden)'!$A$1:$Z$1,0)),"")</f>
        <v>1</v>
      </c>
      <c r="Y398" s="65" t="str">
        <f>+IFERROR(INDEX('Restaurant Base (Hidden)'!$A$2:$Z$1048576,MATCH($C398,'Restaurant Base (Hidden)'!$C$2:$C$1048576,0),MATCH(Y$6,'Restaurant Base (Hidden)'!$A$1:$Z$1,0)),"")</f>
        <v>77,80 %</v>
      </c>
      <c r="Z398" s="106">
        <f>+IFERROR(INDEX('Restaurant Base (Hidden)'!$A$2:$Z$1048576,MATCH($C398,'Restaurant Base (Hidden)'!$C$2:$C$1048576,0),MATCH(Z$6,'Restaurant Base (Hidden)'!$A$1:$Z$1,0)),"")</f>
        <v>2</v>
      </c>
      <c r="AA398" s="65" t="str">
        <f>+IFERROR(INDEX('Restaurant Base (Hidden)'!$A$2:$Z$1048576,MATCH($C398,'Restaurant Base (Hidden)'!$C$2:$C$1048576,0),MATCH(AA$6,'Restaurant Base (Hidden)'!$A$1:$Z$1,0)),"")</f>
        <v>93,20 %</v>
      </c>
      <c r="AB398" s="1">
        <f>+IFERROR(INDEX('Restaurant Base (Hidden)'!$A$2:$Z$1048576,MATCH($C398,'Restaurant Base (Hidden)'!$C$2:$C$1048576,0),MATCH(AB$6,'Restaurant Base (Hidden)'!$A$1:$Z$1,0)),"")</f>
        <v>3</v>
      </c>
      <c r="AC398" s="20" t="str">
        <f>+IFERROR(INDEX('Restaurant Base (Hidden)'!$A$2:$Z$1048576,MATCH($C398,'Restaurant Base (Hidden)'!$C$2:$C$1048576,0),MATCH(AC$6,'Restaurant Base (Hidden)'!$A$1:$Z$1,0)),"")</f>
        <v/>
      </c>
      <c r="AD398" s="65" t="str">
        <f>+IFERROR(INDEX('Restaurant Base (Hidden)'!$A$2:$Z$1048576,MATCH($C398,'Restaurant Base (Hidden)'!$C$2:$C$1048576,0),MATCH(AD$6,'Restaurant Base (Hidden)'!$A$1:$Z$1,0)),"")</f>
        <v>58,80 %</v>
      </c>
      <c r="AE398" s="1">
        <f>+IFERROR(INDEX('Restaurant Base (Hidden)'!$A$2:$Z$1048576,MATCH($C398,'Restaurant Base (Hidden)'!$C$2:$C$1048576,0),MATCH(AE$6,'Restaurant Base (Hidden)'!$A$1:$Z$1,0)),"")</f>
        <v>1</v>
      </c>
      <c r="AF398" s="65" t="str">
        <f>+IFERROR(INDEX('Restaurant Base (Hidden)'!$A$2:$Z$1048576,MATCH($C398,'Restaurant Base (Hidden)'!$C$2:$C$1048576,0),MATCH(AF$6,'Restaurant Base (Hidden)'!$A$1:$Z$1,0)),"")</f>
        <v>66,60 %</v>
      </c>
      <c r="AG398" s="1">
        <f>+IFERROR(INDEX('Restaurant Base (Hidden)'!$A$2:$Z$1048576,MATCH($C398,'Restaurant Base (Hidden)'!$C$2:$C$1048576,0),MATCH(AG$6,'Restaurant Base (Hidden)'!$A$1:$Z$1,0)),"")</f>
        <v>1</v>
      </c>
    </row>
    <row r="399" spans="1:33" ht="16" customHeight="1" x14ac:dyDescent="0.4">
      <c r="A399" s="163" t="str">
        <f>IF('Restaurant Base (Hidden)'!A34=0,"", 'Restaurant Base (Hidden)'!A34)</f>
        <v>Cameron Creston</v>
      </c>
      <c r="B399" s="163" t="str">
        <f>IF('Restaurant Base (Hidden)'!B34=0,"", 'Restaurant Base (Hidden)'!B34)</f>
        <v>Ridgeway Restaurants</v>
      </c>
      <c r="C399" s="163" t="str">
        <f>IF('Restaurant Base (Hidden)'!C34=0,"", 'Restaurant Base (Hidden)'!C34)</f>
        <v>Valley Way</v>
      </c>
      <c r="D399" s="104">
        <f t="shared" si="6"/>
        <v>393</v>
      </c>
      <c r="E399" s="105">
        <f>+IFERROR(INDEX('Restaurant Base (Hidden)'!$A$2:$Z$1048576,MATCH($C399,'Restaurant Base (Hidden)'!$C$2:$C$1048576,0),MATCH(E$6,'Restaurant Base (Hidden)'!$A$1:$Z$1,0)),"")</f>
        <v>2.11</v>
      </c>
      <c r="F399" s="64" t="str">
        <f>+IFERROR(INDEX('Restaurant Base (Hidden)'!$A$2:$Z$1048576,MATCH($C399,'Restaurant Base (Hidden)'!$C$2:$C$1048576,0),MATCH(F$6,'Restaurant Base (Hidden)'!$A$1:$Z$1,0)),"")</f>
        <v/>
      </c>
      <c r="G399" s="20" t="str">
        <f>+IFERROR(INDEX('Restaurant Base (Hidden)'!$A$2:$Z$1048576,MATCH($C399,'Restaurant Base (Hidden)'!$C$2:$C$1048576,0),MATCH(G$6,'Restaurant Base (Hidden)'!$A$1:$Z$1,0)),"")</f>
        <v>4,130</v>
      </c>
      <c r="H399" s="50">
        <f>+IFERROR(INDEX('Restaurant Base (Hidden)'!$A$2:$Z$1048576,MATCH($C399,'Restaurant Base (Hidden)'!$C$2:$C$1048576,0),MATCH(H$6,'Restaurant Base (Hidden)'!$A$1:$Z$1,0)),"")</f>
        <v>2</v>
      </c>
      <c r="I399" s="20" t="str">
        <f>+IFERROR(INDEX('Restaurant Base (Hidden)'!$A$2:$Z$1048576,MATCH($C399,'Restaurant Base (Hidden)'!$C$2:$C$1048576,0),MATCH(I$6,'Restaurant Base (Hidden)'!$A$1:$Z$1,0)),"")</f>
        <v>88,50 %</v>
      </c>
      <c r="J399" s="49">
        <f>+IFERROR(INDEX('Restaurant Base (Hidden)'!$A$2:$Z$1048576,MATCH($C399,'Restaurant Base (Hidden)'!$C$2:$C$1048576,0),MATCH(J$6,'Restaurant Base (Hidden)'!$A$1:$Z$1,0)),"")</f>
        <v>4</v>
      </c>
      <c r="K399" s="20" t="str">
        <f>+IFERROR(INDEX('Restaurant Base (Hidden)'!$A$2:$Z$1048576,MATCH($C399,'Restaurant Base (Hidden)'!$C$2:$C$1048576,0),MATCH(K$6,'Restaurant Base (Hidden)'!$A$1:$Z$1,0)),"")</f>
        <v>0,189</v>
      </c>
      <c r="L399" s="51">
        <f>+IFERROR(INDEX('Restaurant Base (Hidden)'!$A$2:$Z$1048576,MATCH($C399,'Restaurant Base (Hidden)'!$C$2:$C$1048576,0),MATCH(L$6,'Restaurant Base (Hidden)'!$A$1:$Z$1,0)),"")</f>
        <v>1</v>
      </c>
      <c r="M399" s="2" t="str">
        <f>+IFERROR(INDEX('Restaurant Base (Hidden)'!$A$2:$Z$1048576,MATCH($C399,'Restaurant Base (Hidden)'!$C$2:$C$1048576,0),MATCH(M$6,'Restaurant Base (Hidden)'!$A$1:$Z$1,0)),"")</f>
        <v/>
      </c>
      <c r="N399" s="234" t="str">
        <f>+IFERROR(INDEX('Restaurant Base (Hidden)'!$A$2:$Z$1048576,MATCH($C399,'Restaurant Base (Hidden)'!$C$2:$C$1048576,0),MATCH(N$6,'Restaurant Base (Hidden)'!$A$1:$Z$1,0)),"")</f>
        <v>60,90 %</v>
      </c>
      <c r="O399" s="1">
        <f>+IFERROR(INDEX('Restaurant Base (Hidden)'!$A$2:$Z$1048576,MATCH($C399,'Restaurant Base (Hidden)'!$C$2:$C$1048576,0),MATCH(O$6,'Restaurant Base (Hidden)'!$A$1:$Z$1,0)),"")</f>
        <v>2</v>
      </c>
      <c r="P399" s="2" t="str">
        <f>+IFERROR(INDEX('Restaurant Base (Hidden)'!$A$2:$Z$1048576,MATCH($C399,'Restaurant Base (Hidden)'!$C$2:$C$1048576,0),MATCH(P$6,'Restaurant Base (Hidden)'!$A$1:$Z$1,0)),"")</f>
        <v/>
      </c>
      <c r="Q399" s="234" t="str">
        <f>+IFERROR(INDEX('Restaurant Base (Hidden)'!$A$2:$Z$1048576,MATCH($C399,'Restaurant Base (Hidden)'!$C$2:$C$1048576,0),MATCH(Q$6,'Restaurant Base (Hidden)'!$A$1:$Z$1,0)),"")</f>
        <v>60,90 %</v>
      </c>
      <c r="R399" s="1">
        <f>+IFERROR(INDEX('Restaurant Base (Hidden)'!$A$2:$Z$1048576,MATCH($C399,'Restaurant Base (Hidden)'!$C$2:$C$1048576,0),MATCH(R$6,'Restaurant Base (Hidden)'!$A$1:$Z$1,0)),"")</f>
        <v>1</v>
      </c>
      <c r="S399" s="2" t="str">
        <f>+IFERROR(INDEX('Restaurant Base (Hidden)'!$A$2:$Z$1048576,MATCH($C399,'Restaurant Base (Hidden)'!$C$2:$C$1048576,0),MATCH(S$6,'Restaurant Base (Hidden)'!$A$1:$Z$1,0)),"")</f>
        <v/>
      </c>
      <c r="T399" s="62">
        <f>+IFERROR(INDEX('Restaurant Base (Hidden)'!$A$2:$Z$1048576,MATCH($C399,'Restaurant Base (Hidden)'!$C$2:$C$1048576,0),MATCH(T$6,'Restaurant Base (Hidden)'!$A$1:$Z$1,0)),"")</f>
        <v>63.1</v>
      </c>
      <c r="U399" s="1">
        <f>+IFERROR(INDEX('Restaurant Base (Hidden)'!$A$2:$Z$1048576,MATCH($C399,'Restaurant Base (Hidden)'!$C$2:$C$1048576,0),MATCH(U$6,'Restaurant Base (Hidden)'!$A$1:$Z$1,0)),"")</f>
        <v>3</v>
      </c>
      <c r="V399" s="2" t="str">
        <f>+IFERROR(INDEX('Restaurant Base (Hidden)'!$A$2:$Z$1048576,MATCH($C399,'Restaurant Base (Hidden)'!$C$2:$C$1048576,0),MATCH(V$6,'Restaurant Base (Hidden)'!$A$1:$Z$1,0)),"")</f>
        <v/>
      </c>
      <c r="W399" s="65" t="str">
        <f>+IFERROR(INDEX('Restaurant Base (Hidden)'!$A$2:$Z$1048576,MATCH($C399,'Restaurant Base (Hidden)'!$C$2:$C$1048576,0),MATCH(W$6,'Restaurant Base (Hidden)'!$A$1:$Z$1,0)),"")</f>
        <v>81,00 %</v>
      </c>
      <c r="X399" s="1">
        <f>+IFERROR(INDEX('Restaurant Base (Hidden)'!$A$2:$Z$1048576,MATCH($C399,'Restaurant Base (Hidden)'!$C$2:$C$1048576,0),MATCH(X$6,'Restaurant Base (Hidden)'!$A$1:$Z$1,0)),"")</f>
        <v>3</v>
      </c>
      <c r="Y399" s="65" t="str">
        <f>+IFERROR(INDEX('Restaurant Base (Hidden)'!$A$2:$Z$1048576,MATCH($C399,'Restaurant Base (Hidden)'!$C$2:$C$1048576,0),MATCH(Y$6,'Restaurant Base (Hidden)'!$A$1:$Z$1,0)),"")</f>
        <v>70,40 %</v>
      </c>
      <c r="Z399" s="106">
        <f>+IFERROR(INDEX('Restaurant Base (Hidden)'!$A$2:$Z$1048576,MATCH($C399,'Restaurant Base (Hidden)'!$C$2:$C$1048576,0),MATCH(Z$6,'Restaurant Base (Hidden)'!$A$1:$Z$1,0)),"")</f>
        <v>2</v>
      </c>
      <c r="AA399" s="65" t="str">
        <f>+IFERROR(INDEX('Restaurant Base (Hidden)'!$A$2:$Z$1048576,MATCH($C399,'Restaurant Base (Hidden)'!$C$2:$C$1048576,0),MATCH(AA$6,'Restaurant Base (Hidden)'!$A$1:$Z$1,0)),"")</f>
        <v>76,10 %</v>
      </c>
      <c r="AB399" s="1">
        <f>+IFERROR(INDEX('Restaurant Base (Hidden)'!$A$2:$Z$1048576,MATCH($C399,'Restaurant Base (Hidden)'!$C$2:$C$1048576,0),MATCH(AB$6,'Restaurant Base (Hidden)'!$A$1:$Z$1,0)),"")</f>
        <v>2</v>
      </c>
      <c r="AC399" s="20" t="str">
        <f>+IFERROR(INDEX('Restaurant Base (Hidden)'!$A$2:$Z$1048576,MATCH($C399,'Restaurant Base (Hidden)'!$C$2:$C$1048576,0),MATCH(AC$6,'Restaurant Base (Hidden)'!$A$1:$Z$1,0)),"")</f>
        <v/>
      </c>
      <c r="AD399" s="65" t="str">
        <f>+IFERROR(INDEX('Restaurant Base (Hidden)'!$A$2:$Z$1048576,MATCH($C399,'Restaurant Base (Hidden)'!$C$2:$C$1048576,0),MATCH(AD$6,'Restaurant Base (Hidden)'!$A$1:$Z$1,0)),"")</f>
        <v>64,20 %</v>
      </c>
      <c r="AE399" s="1">
        <f>+IFERROR(INDEX('Restaurant Base (Hidden)'!$A$2:$Z$1048576,MATCH($C399,'Restaurant Base (Hidden)'!$C$2:$C$1048576,0),MATCH(AE$6,'Restaurant Base (Hidden)'!$A$1:$Z$1,0)),"")</f>
        <v>1</v>
      </c>
      <c r="AF399" s="65" t="str">
        <f>+IFERROR(INDEX('Restaurant Base (Hidden)'!$A$2:$Z$1048576,MATCH($C399,'Restaurant Base (Hidden)'!$C$2:$C$1048576,0),MATCH(AF$6,'Restaurant Base (Hidden)'!$A$1:$Z$1,0)),"")</f>
        <v>83,80 %</v>
      </c>
      <c r="AG399" s="1">
        <f>+IFERROR(INDEX('Restaurant Base (Hidden)'!$A$2:$Z$1048576,MATCH($C399,'Restaurant Base (Hidden)'!$C$2:$C$1048576,0),MATCH(AG$6,'Restaurant Base (Hidden)'!$A$1:$Z$1,0)),"")</f>
        <v>2</v>
      </c>
    </row>
    <row r="400" spans="1:33" ht="16" customHeight="1" x14ac:dyDescent="0.4">
      <c r="A400" s="163" t="str">
        <f>IF('Restaurant Base (Hidden)'!A53=0,"", 'Restaurant Base (Hidden)'!A53)</f>
        <v>Emerson Greenleigh</v>
      </c>
      <c r="B400" s="163" t="str">
        <f>IF('Restaurant Base (Hidden)'!B53=0,"", 'Restaurant Base (Hidden)'!B53)</f>
        <v>Maplewood Hospitality</v>
      </c>
      <c r="C400" s="163" t="str">
        <f>IF('Restaurant Base (Hidden)'!C53=0,"", 'Restaurant Base (Hidden)'!C53)</f>
        <v>Glen Gardens</v>
      </c>
      <c r="D400" s="104">
        <f t="shared" si="6"/>
        <v>393</v>
      </c>
      <c r="E400" s="105">
        <f>+IFERROR(INDEX('Restaurant Base (Hidden)'!$A$2:$Z$1048576,MATCH($C400,'Restaurant Base (Hidden)'!$C$2:$C$1048576,0),MATCH(E$6,'Restaurant Base (Hidden)'!$A$1:$Z$1,0)),"")</f>
        <v>2.11</v>
      </c>
      <c r="F400" s="64" t="str">
        <f>+IFERROR(INDEX('Restaurant Base (Hidden)'!$A$2:$Z$1048576,MATCH($C400,'Restaurant Base (Hidden)'!$C$2:$C$1048576,0),MATCH(F$6,'Restaurant Base (Hidden)'!$A$1:$Z$1,0)),"")</f>
        <v/>
      </c>
      <c r="G400" s="20" t="str">
        <f>+IFERROR(INDEX('Restaurant Base (Hidden)'!$A$2:$Z$1048576,MATCH($C400,'Restaurant Base (Hidden)'!$C$2:$C$1048576,0),MATCH(G$6,'Restaurant Base (Hidden)'!$A$1:$Z$1,0)),"")</f>
        <v>4,616</v>
      </c>
      <c r="H400" s="50">
        <f>+IFERROR(INDEX('Restaurant Base (Hidden)'!$A$2:$Z$1048576,MATCH($C400,'Restaurant Base (Hidden)'!$C$2:$C$1048576,0),MATCH(H$6,'Restaurant Base (Hidden)'!$A$1:$Z$1,0)),"")</f>
        <v>5</v>
      </c>
      <c r="I400" s="20" t="str">
        <f>+IFERROR(INDEX('Restaurant Base (Hidden)'!$A$2:$Z$1048576,MATCH($C400,'Restaurant Base (Hidden)'!$C$2:$C$1048576,0),MATCH(I$6,'Restaurant Base (Hidden)'!$A$1:$Z$1,0)),"")</f>
        <v>59,10 %</v>
      </c>
      <c r="J400" s="49">
        <f>+IFERROR(INDEX('Restaurant Base (Hidden)'!$A$2:$Z$1048576,MATCH($C400,'Restaurant Base (Hidden)'!$C$2:$C$1048576,0),MATCH(J$6,'Restaurant Base (Hidden)'!$A$1:$Z$1,0)),"")</f>
        <v>1</v>
      </c>
      <c r="K400" s="20" t="str">
        <f>+IFERROR(INDEX('Restaurant Base (Hidden)'!$A$2:$Z$1048576,MATCH($C400,'Restaurant Base (Hidden)'!$C$2:$C$1048576,0),MATCH(K$6,'Restaurant Base (Hidden)'!$A$1:$Z$1,0)),"")</f>
        <v>0,208</v>
      </c>
      <c r="L400" s="51">
        <f>+IFERROR(INDEX('Restaurant Base (Hidden)'!$A$2:$Z$1048576,MATCH($C400,'Restaurant Base (Hidden)'!$C$2:$C$1048576,0),MATCH(L$6,'Restaurant Base (Hidden)'!$A$1:$Z$1,0)),"")</f>
        <v>1</v>
      </c>
      <c r="M400" s="2" t="str">
        <f>+IFERROR(INDEX('Restaurant Base (Hidden)'!$A$2:$Z$1048576,MATCH($C400,'Restaurant Base (Hidden)'!$C$2:$C$1048576,0),MATCH(M$6,'Restaurant Base (Hidden)'!$A$1:$Z$1,0)),"")</f>
        <v/>
      </c>
      <c r="N400" s="234" t="str">
        <f>+IFERROR(INDEX('Restaurant Base (Hidden)'!$A$2:$Z$1048576,MATCH($C400,'Restaurant Base (Hidden)'!$C$2:$C$1048576,0),MATCH(N$6,'Restaurant Base (Hidden)'!$A$1:$Z$1,0)),"")</f>
        <v>63,80 %</v>
      </c>
      <c r="O400" s="1">
        <f>+IFERROR(INDEX('Restaurant Base (Hidden)'!$A$2:$Z$1048576,MATCH($C400,'Restaurant Base (Hidden)'!$C$2:$C$1048576,0),MATCH(O$6,'Restaurant Base (Hidden)'!$A$1:$Z$1,0)),"")</f>
        <v>2</v>
      </c>
      <c r="P400" s="2" t="str">
        <f>+IFERROR(INDEX('Restaurant Base (Hidden)'!$A$2:$Z$1048576,MATCH($C400,'Restaurant Base (Hidden)'!$C$2:$C$1048576,0),MATCH(P$6,'Restaurant Base (Hidden)'!$A$1:$Z$1,0)),"")</f>
        <v/>
      </c>
      <c r="Q400" s="234" t="str">
        <f>+IFERROR(INDEX('Restaurant Base (Hidden)'!$A$2:$Z$1048576,MATCH($C400,'Restaurant Base (Hidden)'!$C$2:$C$1048576,0),MATCH(Q$6,'Restaurant Base (Hidden)'!$A$1:$Z$1,0)),"")</f>
        <v>61,20 %</v>
      </c>
      <c r="R400" s="1">
        <f>+IFERROR(INDEX('Restaurant Base (Hidden)'!$A$2:$Z$1048576,MATCH($C400,'Restaurant Base (Hidden)'!$C$2:$C$1048576,0),MATCH(R$6,'Restaurant Base (Hidden)'!$A$1:$Z$1,0)),"")</f>
        <v>2</v>
      </c>
      <c r="S400" s="2" t="str">
        <f>+IFERROR(INDEX('Restaurant Base (Hidden)'!$A$2:$Z$1048576,MATCH($C400,'Restaurant Base (Hidden)'!$C$2:$C$1048576,0),MATCH(S$6,'Restaurant Base (Hidden)'!$A$1:$Z$1,0)),"")</f>
        <v/>
      </c>
      <c r="T400" s="62">
        <f>+IFERROR(INDEX('Restaurant Base (Hidden)'!$A$2:$Z$1048576,MATCH($C400,'Restaurant Base (Hidden)'!$C$2:$C$1048576,0),MATCH(T$6,'Restaurant Base (Hidden)'!$A$1:$Z$1,0)),"")</f>
        <v>59.1</v>
      </c>
      <c r="U400" s="1">
        <f>+IFERROR(INDEX('Restaurant Base (Hidden)'!$A$2:$Z$1048576,MATCH($C400,'Restaurant Base (Hidden)'!$C$2:$C$1048576,0),MATCH(U$6,'Restaurant Base (Hidden)'!$A$1:$Z$1,0)),"")</f>
        <v>2</v>
      </c>
      <c r="V400" s="2" t="str">
        <f>+IFERROR(INDEX('Restaurant Base (Hidden)'!$A$2:$Z$1048576,MATCH($C400,'Restaurant Base (Hidden)'!$C$2:$C$1048576,0),MATCH(V$6,'Restaurant Base (Hidden)'!$A$1:$Z$1,0)),"")</f>
        <v/>
      </c>
      <c r="W400" s="65" t="str">
        <f>+IFERROR(INDEX('Restaurant Base (Hidden)'!$A$2:$Z$1048576,MATCH($C400,'Restaurant Base (Hidden)'!$C$2:$C$1048576,0),MATCH(W$6,'Restaurant Base (Hidden)'!$A$1:$Z$1,0)),"")</f>
        <v>68,10 %</v>
      </c>
      <c r="X400" s="1">
        <f>+IFERROR(INDEX('Restaurant Base (Hidden)'!$A$2:$Z$1048576,MATCH($C400,'Restaurant Base (Hidden)'!$C$2:$C$1048576,0),MATCH(X$6,'Restaurant Base (Hidden)'!$A$1:$Z$1,0)),"")</f>
        <v>2</v>
      </c>
      <c r="Y400" s="65" t="str">
        <f>+IFERROR(INDEX('Restaurant Base (Hidden)'!$A$2:$Z$1048576,MATCH($C400,'Restaurant Base (Hidden)'!$C$2:$C$1048576,0),MATCH(Y$6,'Restaurant Base (Hidden)'!$A$1:$Z$1,0)),"")</f>
        <v>98,40 %</v>
      </c>
      <c r="Z400" s="106">
        <f>+IFERROR(INDEX('Restaurant Base (Hidden)'!$A$2:$Z$1048576,MATCH($C400,'Restaurant Base (Hidden)'!$C$2:$C$1048576,0),MATCH(Z$6,'Restaurant Base (Hidden)'!$A$1:$Z$1,0)),"")</f>
        <v>5</v>
      </c>
      <c r="AA400" s="65" t="str">
        <f>+IFERROR(INDEX('Restaurant Base (Hidden)'!$A$2:$Z$1048576,MATCH($C400,'Restaurant Base (Hidden)'!$C$2:$C$1048576,0),MATCH(AA$6,'Restaurant Base (Hidden)'!$A$1:$Z$1,0)),"")</f>
        <v>80,10 %</v>
      </c>
      <c r="AB400" s="1">
        <f>+IFERROR(INDEX('Restaurant Base (Hidden)'!$A$2:$Z$1048576,MATCH($C400,'Restaurant Base (Hidden)'!$C$2:$C$1048576,0),MATCH(AB$6,'Restaurant Base (Hidden)'!$A$1:$Z$1,0)),"")</f>
        <v>2</v>
      </c>
      <c r="AC400" s="20" t="str">
        <f>+IFERROR(INDEX('Restaurant Base (Hidden)'!$A$2:$Z$1048576,MATCH($C400,'Restaurant Base (Hidden)'!$C$2:$C$1048576,0),MATCH(AC$6,'Restaurant Base (Hidden)'!$A$1:$Z$1,0)),"")</f>
        <v/>
      </c>
      <c r="AD400" s="65" t="str">
        <f>+IFERROR(INDEX('Restaurant Base (Hidden)'!$A$2:$Z$1048576,MATCH($C400,'Restaurant Base (Hidden)'!$C$2:$C$1048576,0),MATCH(AD$6,'Restaurant Base (Hidden)'!$A$1:$Z$1,0)),"")</f>
        <v>74,20 %</v>
      </c>
      <c r="AE400" s="1">
        <f>+IFERROR(INDEX('Restaurant Base (Hidden)'!$A$2:$Z$1048576,MATCH($C400,'Restaurant Base (Hidden)'!$C$2:$C$1048576,0),MATCH(AE$6,'Restaurant Base (Hidden)'!$A$1:$Z$1,0)),"")</f>
        <v>2</v>
      </c>
      <c r="AF400" s="65" t="str">
        <f>+IFERROR(INDEX('Restaurant Base (Hidden)'!$A$2:$Z$1048576,MATCH($C400,'Restaurant Base (Hidden)'!$C$2:$C$1048576,0),MATCH(AF$6,'Restaurant Base (Hidden)'!$A$1:$Z$1,0)),"")</f>
        <v>57,20 %</v>
      </c>
      <c r="AG400" s="1">
        <f>+IFERROR(INDEX('Restaurant Base (Hidden)'!$A$2:$Z$1048576,MATCH($C400,'Restaurant Base (Hidden)'!$C$2:$C$1048576,0),MATCH(AG$6,'Restaurant Base (Hidden)'!$A$1:$Z$1,0)),"")</f>
        <v>1</v>
      </c>
    </row>
    <row r="401" spans="1:33" ht="16" customHeight="1" x14ac:dyDescent="0.4">
      <c r="A401" s="163" t="str">
        <f>IF('Restaurant Base (Hidden)'!A387=0,"", 'Restaurant Base (Hidden)'!A387)</f>
        <v>Hayden Merriton</v>
      </c>
      <c r="B401" s="163" t="str">
        <f>IF('Restaurant Base (Hidden)'!B387=0,"", 'Restaurant Base (Hidden)'!B387)</f>
        <v>Meadowgate Hospitality</v>
      </c>
      <c r="C401" s="163" t="str">
        <f>IF('Restaurant Base (Hidden)'!C387=0,"", 'Restaurant Base (Hidden)'!C387)</f>
        <v>Eastwood Fields</v>
      </c>
      <c r="D401" s="104">
        <f t="shared" si="6"/>
        <v>393</v>
      </c>
      <c r="E401" s="105">
        <f>+IFERROR(INDEX('Restaurant Base (Hidden)'!$A$2:$Z$1048576,MATCH($C401,'Restaurant Base (Hidden)'!$C$2:$C$1048576,0),MATCH(E$6,'Restaurant Base (Hidden)'!$A$1:$Z$1,0)),"")</f>
        <v>2.11</v>
      </c>
      <c r="F401" s="2" t="str">
        <f>+IFERROR(INDEX('Restaurant Base (Hidden)'!$A$2:$Z$1048576,MATCH($C401,'Restaurant Base (Hidden)'!$C$2:$C$1048576,0),MATCH(F$6,'Restaurant Base (Hidden)'!$A$1:$Z$1,0)),"")</f>
        <v/>
      </c>
      <c r="G401" s="20" t="str">
        <f>+IFERROR(INDEX('Restaurant Base (Hidden)'!$A$2:$Z$1048576,MATCH($C401,'Restaurant Base (Hidden)'!$C$2:$C$1048576,0),MATCH(G$6,'Restaurant Base (Hidden)'!$A$1:$Z$1,0)),"")</f>
        <v>4,330</v>
      </c>
      <c r="H401" s="50">
        <f>+IFERROR(INDEX('Restaurant Base (Hidden)'!$A$2:$Z$1048576,MATCH($C401,'Restaurant Base (Hidden)'!$C$2:$C$1048576,0),MATCH(H$6,'Restaurant Base (Hidden)'!$A$1:$Z$1,0)),"")</f>
        <v>3</v>
      </c>
      <c r="I401" s="20" t="str">
        <f>+IFERROR(INDEX('Restaurant Base (Hidden)'!$A$2:$Z$1048576,MATCH($C401,'Restaurant Base (Hidden)'!$C$2:$C$1048576,0),MATCH(I$6,'Restaurant Base (Hidden)'!$A$1:$Z$1,0)),"")</f>
        <v>71,10 %</v>
      </c>
      <c r="J401" s="49">
        <f>+IFERROR(INDEX('Restaurant Base (Hidden)'!$A$2:$Z$1048576,MATCH($C401,'Restaurant Base (Hidden)'!$C$2:$C$1048576,0),MATCH(J$6,'Restaurant Base (Hidden)'!$A$1:$Z$1,0)),"")</f>
        <v>1</v>
      </c>
      <c r="K401" s="20" t="str">
        <f>+IFERROR(INDEX('Restaurant Base (Hidden)'!$A$2:$Z$1048576,MATCH($C401,'Restaurant Base (Hidden)'!$C$2:$C$1048576,0),MATCH(K$6,'Restaurant Base (Hidden)'!$A$1:$Z$1,0)),"")</f>
        <v>0,137</v>
      </c>
      <c r="L401" s="51">
        <f>+IFERROR(INDEX('Restaurant Base (Hidden)'!$A$2:$Z$1048576,MATCH($C401,'Restaurant Base (Hidden)'!$C$2:$C$1048576,0),MATCH(L$6,'Restaurant Base (Hidden)'!$A$1:$Z$1,0)),"")</f>
        <v>2</v>
      </c>
      <c r="M401" s="2" t="str">
        <f>+IFERROR(INDEX('Restaurant Base (Hidden)'!$A$2:$Z$1048576,MATCH($C401,'Restaurant Base (Hidden)'!$C$2:$C$1048576,0),MATCH(M$6,'Restaurant Base (Hidden)'!$A$1:$Z$1,0)),"")</f>
        <v/>
      </c>
      <c r="N401" s="234" t="str">
        <f>+IFERROR(INDEX('Restaurant Base (Hidden)'!$A$2:$Z$1048576,MATCH($C401,'Restaurant Base (Hidden)'!$C$2:$C$1048576,0),MATCH(N$6,'Restaurant Base (Hidden)'!$A$1:$Z$1,0)),"")</f>
        <v>76,90 %</v>
      </c>
      <c r="O401" s="1">
        <f>+IFERROR(INDEX('Restaurant Base (Hidden)'!$A$2:$Z$1048576,MATCH($C401,'Restaurant Base (Hidden)'!$C$2:$C$1048576,0),MATCH(O$6,'Restaurant Base (Hidden)'!$A$1:$Z$1,0)),"")</f>
        <v>5</v>
      </c>
      <c r="P401" s="2" t="str">
        <f>+IFERROR(INDEX('Restaurant Base (Hidden)'!$A$2:$Z$1048576,MATCH($C401,'Restaurant Base (Hidden)'!$C$2:$C$1048576,0),MATCH(P$6,'Restaurant Base (Hidden)'!$A$1:$Z$1,0)),"")</f>
        <v/>
      </c>
      <c r="Q401" s="234" t="str">
        <f>+IFERROR(INDEX('Restaurant Base (Hidden)'!$A$2:$Z$1048576,MATCH($C401,'Restaurant Base (Hidden)'!$C$2:$C$1048576,0),MATCH(Q$6,'Restaurant Base (Hidden)'!$A$1:$Z$1,0)),"")</f>
        <v>57,30 %</v>
      </c>
      <c r="R401" s="1">
        <f>+IFERROR(INDEX('Restaurant Base (Hidden)'!$A$2:$Z$1048576,MATCH($C401,'Restaurant Base (Hidden)'!$C$2:$C$1048576,0),MATCH(R$6,'Restaurant Base (Hidden)'!$A$1:$Z$1,0)),"")</f>
        <v>1</v>
      </c>
      <c r="S401" s="2" t="str">
        <f>+IFERROR(INDEX('Restaurant Base (Hidden)'!$A$2:$Z$1048576,MATCH($C401,'Restaurant Base (Hidden)'!$C$2:$C$1048576,0),MATCH(S$6,'Restaurant Base (Hidden)'!$A$1:$Z$1,0)),"")</f>
        <v/>
      </c>
      <c r="T401" s="62">
        <f>+IFERROR(INDEX('Restaurant Base (Hidden)'!$A$2:$Z$1048576,MATCH($C401,'Restaurant Base (Hidden)'!$C$2:$C$1048576,0),MATCH(T$6,'Restaurant Base (Hidden)'!$A$1:$Z$1,0)),"")</f>
        <v>62.1</v>
      </c>
      <c r="U401" s="1">
        <f>+IFERROR(INDEX('Restaurant Base (Hidden)'!$A$2:$Z$1048576,MATCH($C401,'Restaurant Base (Hidden)'!$C$2:$C$1048576,0),MATCH(U$6,'Restaurant Base (Hidden)'!$A$1:$Z$1,0)),"")</f>
        <v>3</v>
      </c>
      <c r="V401" s="2" t="str">
        <f>+IFERROR(INDEX('Restaurant Base (Hidden)'!$A$2:$Z$1048576,MATCH($C401,'Restaurant Base (Hidden)'!$C$2:$C$1048576,0),MATCH(V$6,'Restaurant Base (Hidden)'!$A$1:$Z$1,0)),"")</f>
        <v/>
      </c>
      <c r="W401" s="65" t="str">
        <f>+IFERROR(INDEX('Restaurant Base (Hidden)'!$A$2:$Z$1048576,MATCH($C401,'Restaurant Base (Hidden)'!$C$2:$C$1048576,0),MATCH(W$6,'Restaurant Base (Hidden)'!$A$1:$Z$1,0)),"")</f>
        <v>55,90 %</v>
      </c>
      <c r="X401" s="1">
        <f>+IFERROR(INDEX('Restaurant Base (Hidden)'!$A$2:$Z$1048576,MATCH($C401,'Restaurant Base (Hidden)'!$C$2:$C$1048576,0),MATCH(X$6,'Restaurant Base (Hidden)'!$A$1:$Z$1,0)),"")</f>
        <v>1</v>
      </c>
      <c r="Y401" s="65" t="str">
        <f>+IFERROR(INDEX('Restaurant Base (Hidden)'!$A$2:$Z$1048576,MATCH($C401,'Restaurant Base (Hidden)'!$C$2:$C$1048576,0),MATCH(Y$6,'Restaurant Base (Hidden)'!$A$1:$Z$1,0)),"")</f>
        <v>70,60 %</v>
      </c>
      <c r="Z401" s="106">
        <f>+IFERROR(INDEX('Restaurant Base (Hidden)'!$A$2:$Z$1048576,MATCH($C401,'Restaurant Base (Hidden)'!$C$2:$C$1048576,0),MATCH(Z$6,'Restaurant Base (Hidden)'!$A$1:$Z$1,0)),"")</f>
        <v>2</v>
      </c>
      <c r="AA401" s="65" t="str">
        <f>+IFERROR(INDEX('Restaurant Base (Hidden)'!$A$2:$Z$1048576,MATCH($C401,'Restaurant Base (Hidden)'!$C$2:$C$1048576,0),MATCH(AA$6,'Restaurant Base (Hidden)'!$A$1:$Z$1,0)),"")</f>
        <v>64,90 %</v>
      </c>
      <c r="AB401" s="1">
        <f>+IFERROR(INDEX('Restaurant Base (Hidden)'!$A$2:$Z$1048576,MATCH($C401,'Restaurant Base (Hidden)'!$C$2:$C$1048576,0),MATCH(AB$6,'Restaurant Base (Hidden)'!$A$1:$Z$1,0)),"")</f>
        <v>2</v>
      </c>
      <c r="AC401" s="20" t="str">
        <f>+IFERROR(INDEX('Restaurant Base (Hidden)'!$A$2:$Z$1048576,MATCH($C401,'Restaurant Base (Hidden)'!$C$2:$C$1048576,0),MATCH(AC$6,'Restaurant Base (Hidden)'!$A$1:$Z$1,0)),"")</f>
        <v/>
      </c>
      <c r="AD401" s="65" t="str">
        <f>+IFERROR(INDEX('Restaurant Base (Hidden)'!$A$2:$Z$1048576,MATCH($C401,'Restaurant Base (Hidden)'!$C$2:$C$1048576,0),MATCH(AD$6,'Restaurant Base (Hidden)'!$A$1:$Z$1,0)),"")</f>
        <v>62,90 %</v>
      </c>
      <c r="AE401" s="1">
        <f>+IFERROR(INDEX('Restaurant Base (Hidden)'!$A$2:$Z$1048576,MATCH($C401,'Restaurant Base (Hidden)'!$C$2:$C$1048576,0),MATCH(AE$6,'Restaurant Base (Hidden)'!$A$1:$Z$1,0)),"")</f>
        <v>1</v>
      </c>
      <c r="AF401" s="65" t="str">
        <f>+IFERROR(INDEX('Restaurant Base (Hidden)'!$A$2:$Z$1048576,MATCH($C401,'Restaurant Base (Hidden)'!$C$2:$C$1048576,0),MATCH(AF$6,'Restaurant Base (Hidden)'!$A$1:$Z$1,0)),"")</f>
        <v>59,70 %</v>
      </c>
      <c r="AG401" s="1">
        <f>+IFERROR(INDEX('Restaurant Base (Hidden)'!$A$2:$Z$1048576,MATCH($C401,'Restaurant Base (Hidden)'!$C$2:$C$1048576,0),MATCH(AG$6,'Restaurant Base (Hidden)'!$A$1:$Z$1,0)),"")</f>
        <v>1</v>
      </c>
    </row>
    <row r="402" spans="1:33" ht="16" customHeight="1" x14ac:dyDescent="0.4">
      <c r="A402" s="163" t="str">
        <f>IF('Restaurant Base (Hidden)'!A243=0,"", 'Restaurant Base (Hidden)'!A243)</f>
        <v>Jamie Northcott</v>
      </c>
      <c r="B402" s="163" t="str">
        <f>IF('Restaurant Base (Hidden)'!B243=0,"", 'Restaurant Base (Hidden)'!B243)</f>
        <v>Bluecrest Food Partners</v>
      </c>
      <c r="C402" s="163" t="str">
        <f>IF('Restaurant Base (Hidden)'!C243=0,"", 'Restaurant Base (Hidden)'!C243)</f>
        <v>Fox Harbor</v>
      </c>
      <c r="D402" s="104">
        <f t="shared" si="6"/>
        <v>396</v>
      </c>
      <c r="E402" s="105">
        <f>+IFERROR(INDEX('Restaurant Base (Hidden)'!$A$2:$Z$1048576,MATCH($C402,'Restaurant Base (Hidden)'!$C$2:$C$1048576,0),MATCH(E$6,'Restaurant Base (Hidden)'!$A$1:$Z$1,0)),"")</f>
        <v>2.08</v>
      </c>
      <c r="F402" s="2" t="str">
        <f>+IFERROR(INDEX('Restaurant Base (Hidden)'!$A$2:$Z$1048576,MATCH($C402,'Restaurant Base (Hidden)'!$C$2:$C$1048576,0),MATCH(F$6,'Restaurant Base (Hidden)'!$A$1:$Z$1,0)),"")</f>
        <v/>
      </c>
      <c r="G402" s="20" t="str">
        <f>+IFERROR(INDEX('Restaurant Base (Hidden)'!$A$2:$Z$1048576,MATCH($C402,'Restaurant Base (Hidden)'!$C$2:$C$1048576,0),MATCH(G$6,'Restaurant Base (Hidden)'!$A$1:$Z$1,0)),"")</f>
        <v>4,727</v>
      </c>
      <c r="H402" s="50">
        <f>+IFERROR(INDEX('Restaurant Base (Hidden)'!$A$2:$Z$1048576,MATCH($C402,'Restaurant Base (Hidden)'!$C$2:$C$1048576,0),MATCH(H$6,'Restaurant Base (Hidden)'!$A$1:$Z$1,0)),"")</f>
        <v>5</v>
      </c>
      <c r="I402" s="20" t="str">
        <f>+IFERROR(INDEX('Restaurant Base (Hidden)'!$A$2:$Z$1048576,MATCH($C402,'Restaurant Base (Hidden)'!$C$2:$C$1048576,0),MATCH(I$6,'Restaurant Base (Hidden)'!$A$1:$Z$1,0)),"")</f>
        <v>76,00 %</v>
      </c>
      <c r="J402" s="49">
        <f>+IFERROR(INDEX('Restaurant Base (Hidden)'!$A$2:$Z$1048576,MATCH($C402,'Restaurant Base (Hidden)'!$C$2:$C$1048576,0),MATCH(J$6,'Restaurant Base (Hidden)'!$A$1:$Z$1,0)),"")</f>
        <v>1</v>
      </c>
      <c r="K402" s="20" t="str">
        <f>+IFERROR(INDEX('Restaurant Base (Hidden)'!$A$2:$Z$1048576,MATCH($C402,'Restaurant Base (Hidden)'!$C$2:$C$1048576,0),MATCH(K$6,'Restaurant Base (Hidden)'!$A$1:$Z$1,0)),"")</f>
        <v>0,180</v>
      </c>
      <c r="L402" s="51">
        <f>+IFERROR(INDEX('Restaurant Base (Hidden)'!$A$2:$Z$1048576,MATCH($C402,'Restaurant Base (Hidden)'!$C$2:$C$1048576,0),MATCH(L$6,'Restaurant Base (Hidden)'!$A$1:$Z$1,0)),"")</f>
        <v>2</v>
      </c>
      <c r="M402" s="2" t="str">
        <f>+IFERROR(INDEX('Restaurant Base (Hidden)'!$A$2:$Z$1048576,MATCH($C402,'Restaurant Base (Hidden)'!$C$2:$C$1048576,0),MATCH(M$6,'Restaurant Base (Hidden)'!$A$1:$Z$1,0)),"")</f>
        <v/>
      </c>
      <c r="N402" s="234" t="str">
        <f>+IFERROR(INDEX('Restaurant Base (Hidden)'!$A$2:$Z$1048576,MATCH($C402,'Restaurant Base (Hidden)'!$C$2:$C$1048576,0),MATCH(N$6,'Restaurant Base (Hidden)'!$A$1:$Z$1,0)),"")</f>
        <v>58,20 %</v>
      </c>
      <c r="O402" s="1">
        <f>+IFERROR(INDEX('Restaurant Base (Hidden)'!$A$2:$Z$1048576,MATCH($C402,'Restaurant Base (Hidden)'!$C$2:$C$1048576,0),MATCH(O$6,'Restaurant Base (Hidden)'!$A$1:$Z$1,0)),"")</f>
        <v>1</v>
      </c>
      <c r="P402" s="2" t="str">
        <f>+IFERROR(INDEX('Restaurant Base (Hidden)'!$A$2:$Z$1048576,MATCH($C402,'Restaurant Base (Hidden)'!$C$2:$C$1048576,0),MATCH(P$6,'Restaurant Base (Hidden)'!$A$1:$Z$1,0)),"")</f>
        <v/>
      </c>
      <c r="Q402" s="234" t="str">
        <f>+IFERROR(INDEX('Restaurant Base (Hidden)'!$A$2:$Z$1048576,MATCH($C402,'Restaurant Base (Hidden)'!$C$2:$C$1048576,0),MATCH(Q$6,'Restaurant Base (Hidden)'!$A$1:$Z$1,0)),"")</f>
        <v>65,10 %</v>
      </c>
      <c r="R402" s="1">
        <f>+IFERROR(INDEX('Restaurant Base (Hidden)'!$A$2:$Z$1048576,MATCH($C402,'Restaurant Base (Hidden)'!$C$2:$C$1048576,0),MATCH(R$6,'Restaurant Base (Hidden)'!$A$1:$Z$1,0)),"")</f>
        <v>3</v>
      </c>
      <c r="S402" s="2" t="str">
        <f>+IFERROR(INDEX('Restaurant Base (Hidden)'!$A$2:$Z$1048576,MATCH($C402,'Restaurant Base (Hidden)'!$C$2:$C$1048576,0),MATCH(S$6,'Restaurant Base (Hidden)'!$A$1:$Z$1,0)),"")</f>
        <v/>
      </c>
      <c r="T402" s="62">
        <f>+IFERROR(INDEX('Restaurant Base (Hidden)'!$A$2:$Z$1048576,MATCH($C402,'Restaurant Base (Hidden)'!$C$2:$C$1048576,0),MATCH(T$6,'Restaurant Base (Hidden)'!$A$1:$Z$1,0)),"")</f>
        <v>58.5</v>
      </c>
      <c r="U402" s="1">
        <f>+IFERROR(INDEX('Restaurant Base (Hidden)'!$A$2:$Z$1048576,MATCH($C402,'Restaurant Base (Hidden)'!$C$2:$C$1048576,0),MATCH(U$6,'Restaurant Base (Hidden)'!$A$1:$Z$1,0)),"")</f>
        <v>2</v>
      </c>
      <c r="V402" s="2" t="str">
        <f>+IFERROR(INDEX('Restaurant Base (Hidden)'!$A$2:$Z$1048576,MATCH($C402,'Restaurant Base (Hidden)'!$C$2:$C$1048576,0),MATCH(V$6,'Restaurant Base (Hidden)'!$A$1:$Z$1,0)),"")</f>
        <v/>
      </c>
      <c r="W402" s="65" t="str">
        <f>+IFERROR(INDEX('Restaurant Base (Hidden)'!$A$2:$Z$1048576,MATCH($C402,'Restaurant Base (Hidden)'!$C$2:$C$1048576,0),MATCH(W$6,'Restaurant Base (Hidden)'!$A$1:$Z$1,0)),"")</f>
        <v>87,20 %</v>
      </c>
      <c r="X402" s="1">
        <f>+IFERROR(INDEX('Restaurant Base (Hidden)'!$A$2:$Z$1048576,MATCH($C402,'Restaurant Base (Hidden)'!$C$2:$C$1048576,0),MATCH(X$6,'Restaurant Base (Hidden)'!$A$1:$Z$1,0)),"")</f>
        <v>3</v>
      </c>
      <c r="Y402" s="65" t="str">
        <f>+IFERROR(INDEX('Restaurant Base (Hidden)'!$A$2:$Z$1048576,MATCH($C402,'Restaurant Base (Hidden)'!$C$2:$C$1048576,0),MATCH(Y$6,'Restaurant Base (Hidden)'!$A$1:$Z$1,0)),"")</f>
        <v>63,50 %</v>
      </c>
      <c r="Z402" s="106">
        <f>+IFERROR(INDEX('Restaurant Base (Hidden)'!$A$2:$Z$1048576,MATCH($C402,'Restaurant Base (Hidden)'!$C$2:$C$1048576,0),MATCH(Z$6,'Restaurant Base (Hidden)'!$A$1:$Z$1,0)),"")</f>
        <v>2</v>
      </c>
      <c r="AA402" s="65" t="str">
        <f>+IFERROR(INDEX('Restaurant Base (Hidden)'!$A$2:$Z$1048576,MATCH($C402,'Restaurant Base (Hidden)'!$C$2:$C$1048576,0),MATCH(AA$6,'Restaurant Base (Hidden)'!$A$1:$Z$1,0)),"")</f>
        <v>79,30 %</v>
      </c>
      <c r="AB402" s="1">
        <f>+IFERROR(INDEX('Restaurant Base (Hidden)'!$A$2:$Z$1048576,MATCH($C402,'Restaurant Base (Hidden)'!$C$2:$C$1048576,0),MATCH(AB$6,'Restaurant Base (Hidden)'!$A$1:$Z$1,0)),"")</f>
        <v>2</v>
      </c>
      <c r="AC402" s="20" t="str">
        <f>+IFERROR(INDEX('Restaurant Base (Hidden)'!$A$2:$Z$1048576,MATCH($C402,'Restaurant Base (Hidden)'!$C$2:$C$1048576,0),MATCH(AC$6,'Restaurant Base (Hidden)'!$A$1:$Z$1,0)),"")</f>
        <v/>
      </c>
      <c r="AD402" s="65" t="str">
        <f>+IFERROR(INDEX('Restaurant Base (Hidden)'!$A$2:$Z$1048576,MATCH($C402,'Restaurant Base (Hidden)'!$C$2:$C$1048576,0),MATCH(AD$6,'Restaurant Base (Hidden)'!$A$1:$Z$1,0)),"")</f>
        <v>71,00 %</v>
      </c>
      <c r="AE402" s="1">
        <f>+IFERROR(INDEX('Restaurant Base (Hidden)'!$A$2:$Z$1048576,MATCH($C402,'Restaurant Base (Hidden)'!$C$2:$C$1048576,0),MATCH(AE$6,'Restaurant Base (Hidden)'!$A$1:$Z$1,0)),"")</f>
        <v>1</v>
      </c>
      <c r="AF402" s="65" t="str">
        <f>+IFERROR(INDEX('Restaurant Base (Hidden)'!$A$2:$Z$1048576,MATCH($C402,'Restaurant Base (Hidden)'!$C$2:$C$1048576,0),MATCH(AF$6,'Restaurant Base (Hidden)'!$A$1:$Z$1,0)),"")</f>
        <v>78,60 %</v>
      </c>
      <c r="AG402" s="1">
        <f>+IFERROR(INDEX('Restaurant Base (Hidden)'!$A$2:$Z$1048576,MATCH($C402,'Restaurant Base (Hidden)'!$C$2:$C$1048576,0),MATCH(AG$6,'Restaurant Base (Hidden)'!$A$1:$Z$1,0)),"")</f>
        <v>2</v>
      </c>
    </row>
    <row r="403" spans="1:33" ht="16" customHeight="1" x14ac:dyDescent="0.4">
      <c r="A403" s="163" t="str">
        <f>IF('Restaurant Base (Hidden)'!A217=0,"", 'Restaurant Base (Hidden)'!A217)</f>
        <v>Logan Redford</v>
      </c>
      <c r="B403" s="163" t="str">
        <f>IF('Restaurant Base (Hidden)'!B217=0,"", 'Restaurant Base (Hidden)'!B217)</f>
        <v>Greenhaven Restaurants</v>
      </c>
      <c r="C403" s="163" t="str">
        <f>IF('Restaurant Base (Hidden)'!C217=0,"", 'Restaurant Base (Hidden)'!C217)</f>
        <v>Briar View</v>
      </c>
      <c r="D403" s="104">
        <f t="shared" si="6"/>
        <v>397</v>
      </c>
      <c r="E403" s="105">
        <f>+IFERROR(INDEX('Restaurant Base (Hidden)'!$A$2:$Z$1048576,MATCH($C403,'Restaurant Base (Hidden)'!$C$2:$C$1048576,0),MATCH(E$6,'Restaurant Base (Hidden)'!$A$1:$Z$1,0)),"")</f>
        <v>2.06</v>
      </c>
      <c r="F403" s="2" t="str">
        <f>+IFERROR(INDEX('Restaurant Base (Hidden)'!$A$2:$Z$1048576,MATCH($C403,'Restaurant Base (Hidden)'!$C$2:$C$1048576,0),MATCH(F$6,'Restaurant Base (Hidden)'!$A$1:$Z$1,0)),"")</f>
        <v/>
      </c>
      <c r="G403" s="20" t="str">
        <f>+IFERROR(INDEX('Restaurant Base (Hidden)'!$A$2:$Z$1048576,MATCH($C403,'Restaurant Base (Hidden)'!$C$2:$C$1048576,0),MATCH(G$6,'Restaurant Base (Hidden)'!$A$1:$Z$1,0)),"")</f>
        <v>4,464</v>
      </c>
      <c r="H403" s="50">
        <f>+IFERROR(INDEX('Restaurant Base (Hidden)'!$A$2:$Z$1048576,MATCH($C403,'Restaurant Base (Hidden)'!$C$2:$C$1048576,0),MATCH(H$6,'Restaurant Base (Hidden)'!$A$1:$Z$1,0)),"")</f>
        <v>4</v>
      </c>
      <c r="I403" s="20" t="str">
        <f>+IFERROR(INDEX('Restaurant Base (Hidden)'!$A$2:$Z$1048576,MATCH($C403,'Restaurant Base (Hidden)'!$C$2:$C$1048576,0),MATCH(I$6,'Restaurant Base (Hidden)'!$A$1:$Z$1,0)),"")</f>
        <v>59,20 %</v>
      </c>
      <c r="J403" s="49">
        <f>+IFERROR(INDEX('Restaurant Base (Hidden)'!$A$2:$Z$1048576,MATCH($C403,'Restaurant Base (Hidden)'!$C$2:$C$1048576,0),MATCH(J$6,'Restaurant Base (Hidden)'!$A$1:$Z$1,0)),"")</f>
        <v>1</v>
      </c>
      <c r="K403" s="20" t="str">
        <f>+IFERROR(INDEX('Restaurant Base (Hidden)'!$A$2:$Z$1048576,MATCH($C403,'Restaurant Base (Hidden)'!$C$2:$C$1048576,0),MATCH(K$6,'Restaurant Base (Hidden)'!$A$1:$Z$1,0)),"")</f>
        <v>0,060</v>
      </c>
      <c r="L403" s="51">
        <f>+IFERROR(INDEX('Restaurant Base (Hidden)'!$A$2:$Z$1048576,MATCH($C403,'Restaurant Base (Hidden)'!$C$2:$C$1048576,0),MATCH(L$6,'Restaurant Base (Hidden)'!$A$1:$Z$1,0)),"")</f>
        <v>5</v>
      </c>
      <c r="M403" s="2" t="str">
        <f>+IFERROR(INDEX('Restaurant Base (Hidden)'!$A$2:$Z$1048576,MATCH($C403,'Restaurant Base (Hidden)'!$C$2:$C$1048576,0),MATCH(M$6,'Restaurant Base (Hidden)'!$A$1:$Z$1,0)),"")</f>
        <v/>
      </c>
      <c r="N403" s="234" t="str">
        <f>+IFERROR(INDEX('Restaurant Base (Hidden)'!$A$2:$Z$1048576,MATCH($C403,'Restaurant Base (Hidden)'!$C$2:$C$1048576,0),MATCH(N$6,'Restaurant Base (Hidden)'!$A$1:$Z$1,0)),"")</f>
        <v>70,50 %</v>
      </c>
      <c r="O403" s="1">
        <f>+IFERROR(INDEX('Restaurant Base (Hidden)'!$A$2:$Z$1048576,MATCH($C403,'Restaurant Base (Hidden)'!$C$2:$C$1048576,0),MATCH(O$6,'Restaurant Base (Hidden)'!$A$1:$Z$1,0)),"")</f>
        <v>4</v>
      </c>
      <c r="P403" s="2" t="str">
        <f>+IFERROR(INDEX('Restaurant Base (Hidden)'!$A$2:$Z$1048576,MATCH($C403,'Restaurant Base (Hidden)'!$C$2:$C$1048576,0),MATCH(P$6,'Restaurant Base (Hidden)'!$A$1:$Z$1,0)),"")</f>
        <v/>
      </c>
      <c r="Q403" s="234" t="str">
        <f>+IFERROR(INDEX('Restaurant Base (Hidden)'!$A$2:$Z$1048576,MATCH($C403,'Restaurant Base (Hidden)'!$C$2:$C$1048576,0),MATCH(Q$6,'Restaurant Base (Hidden)'!$A$1:$Z$1,0)),"")</f>
        <v>60,90 %</v>
      </c>
      <c r="R403" s="1">
        <f>+IFERROR(INDEX('Restaurant Base (Hidden)'!$A$2:$Z$1048576,MATCH($C403,'Restaurant Base (Hidden)'!$C$2:$C$1048576,0),MATCH(R$6,'Restaurant Base (Hidden)'!$A$1:$Z$1,0)),"")</f>
        <v>1</v>
      </c>
      <c r="S403" s="2" t="str">
        <f>+IFERROR(INDEX('Restaurant Base (Hidden)'!$A$2:$Z$1048576,MATCH($C403,'Restaurant Base (Hidden)'!$C$2:$C$1048576,0),MATCH(S$6,'Restaurant Base (Hidden)'!$A$1:$Z$1,0)),"")</f>
        <v/>
      </c>
      <c r="T403" s="62">
        <f>+IFERROR(INDEX('Restaurant Base (Hidden)'!$A$2:$Z$1048576,MATCH($C403,'Restaurant Base (Hidden)'!$C$2:$C$1048576,0),MATCH(T$6,'Restaurant Base (Hidden)'!$A$1:$Z$1,0)),"")</f>
        <v>55.9</v>
      </c>
      <c r="U403" s="1">
        <f>+IFERROR(INDEX('Restaurant Base (Hidden)'!$A$2:$Z$1048576,MATCH($C403,'Restaurant Base (Hidden)'!$C$2:$C$1048576,0),MATCH(U$6,'Restaurant Base (Hidden)'!$A$1:$Z$1,0)),"")</f>
        <v>1</v>
      </c>
      <c r="V403" s="2" t="str">
        <f>+IFERROR(INDEX('Restaurant Base (Hidden)'!$A$2:$Z$1048576,MATCH($C403,'Restaurant Base (Hidden)'!$C$2:$C$1048576,0),MATCH(V$6,'Restaurant Base (Hidden)'!$A$1:$Z$1,0)),"")</f>
        <v/>
      </c>
      <c r="W403" s="65" t="str">
        <f>+IFERROR(INDEX('Restaurant Base (Hidden)'!$A$2:$Z$1048576,MATCH($C403,'Restaurant Base (Hidden)'!$C$2:$C$1048576,0),MATCH(W$6,'Restaurant Base (Hidden)'!$A$1:$Z$1,0)),"")</f>
        <v>88,60 %</v>
      </c>
      <c r="X403" s="1">
        <f>+IFERROR(INDEX('Restaurant Base (Hidden)'!$A$2:$Z$1048576,MATCH($C403,'Restaurant Base (Hidden)'!$C$2:$C$1048576,0),MATCH(X$6,'Restaurant Base (Hidden)'!$A$1:$Z$1,0)),"")</f>
        <v>3</v>
      </c>
      <c r="Y403" s="65" t="str">
        <f>+IFERROR(INDEX('Restaurant Base (Hidden)'!$A$2:$Z$1048576,MATCH($C403,'Restaurant Base (Hidden)'!$C$2:$C$1048576,0),MATCH(Y$6,'Restaurant Base (Hidden)'!$A$1:$Z$1,0)),"")</f>
        <v>59,20 %</v>
      </c>
      <c r="Z403" s="106">
        <f>+IFERROR(INDEX('Restaurant Base (Hidden)'!$A$2:$Z$1048576,MATCH($C403,'Restaurant Base (Hidden)'!$C$2:$C$1048576,0),MATCH(Z$6,'Restaurant Base (Hidden)'!$A$1:$Z$1,0)),"")</f>
        <v>1</v>
      </c>
      <c r="AA403" s="65" t="str">
        <f>+IFERROR(INDEX('Restaurant Base (Hidden)'!$A$2:$Z$1048576,MATCH($C403,'Restaurant Base (Hidden)'!$C$2:$C$1048576,0),MATCH(AA$6,'Restaurant Base (Hidden)'!$A$1:$Z$1,0)),"")</f>
        <v>73,20 %</v>
      </c>
      <c r="AB403" s="1">
        <f>+IFERROR(INDEX('Restaurant Base (Hidden)'!$A$2:$Z$1048576,MATCH($C403,'Restaurant Base (Hidden)'!$C$2:$C$1048576,0),MATCH(AB$6,'Restaurant Base (Hidden)'!$A$1:$Z$1,0)),"")</f>
        <v>2</v>
      </c>
      <c r="AC403" s="20" t="str">
        <f>+IFERROR(INDEX('Restaurant Base (Hidden)'!$A$2:$Z$1048576,MATCH($C403,'Restaurant Base (Hidden)'!$C$2:$C$1048576,0),MATCH(AC$6,'Restaurant Base (Hidden)'!$A$1:$Z$1,0)),"")</f>
        <v/>
      </c>
      <c r="AD403" s="65" t="str">
        <f>+IFERROR(INDEX('Restaurant Base (Hidden)'!$A$2:$Z$1048576,MATCH($C403,'Restaurant Base (Hidden)'!$C$2:$C$1048576,0),MATCH(AD$6,'Restaurant Base (Hidden)'!$A$1:$Z$1,0)),"")</f>
        <v>58,20 %</v>
      </c>
      <c r="AE403" s="1">
        <f>+IFERROR(INDEX('Restaurant Base (Hidden)'!$A$2:$Z$1048576,MATCH($C403,'Restaurant Base (Hidden)'!$C$2:$C$1048576,0),MATCH(AE$6,'Restaurant Base (Hidden)'!$A$1:$Z$1,0)),"")</f>
        <v>1</v>
      </c>
      <c r="AF403" s="65" t="str">
        <f>+IFERROR(INDEX('Restaurant Base (Hidden)'!$A$2:$Z$1048576,MATCH($C403,'Restaurant Base (Hidden)'!$C$2:$C$1048576,0),MATCH(AF$6,'Restaurant Base (Hidden)'!$A$1:$Z$1,0)),"")</f>
        <v>65,00 %</v>
      </c>
      <c r="AG403" s="1">
        <f>+IFERROR(INDEX('Restaurant Base (Hidden)'!$A$2:$Z$1048576,MATCH($C403,'Restaurant Base (Hidden)'!$C$2:$C$1048576,0),MATCH(AG$6,'Restaurant Base (Hidden)'!$A$1:$Z$1,0)),"")</f>
        <v>1</v>
      </c>
    </row>
    <row r="404" spans="1:33" ht="16" customHeight="1" x14ac:dyDescent="0.4">
      <c r="A404" s="163" t="str">
        <f>IF('Restaurant Base (Hidden)'!A147=0,"", 'Restaurant Base (Hidden)'!A147)</f>
        <v>Avery Ashford</v>
      </c>
      <c r="B404" s="163" t="str">
        <f>IF('Restaurant Base (Hidden)'!B147=0,"", 'Restaurant Base (Hidden)'!B147)</f>
        <v>Meadowgate Hospitality</v>
      </c>
      <c r="C404" s="163" t="str">
        <f>IF('Restaurant Base (Hidden)'!C147=0,"", 'Restaurant Base (Hidden)'!C147)</f>
        <v>Crystal Park</v>
      </c>
      <c r="D404" s="104">
        <f t="shared" si="6"/>
        <v>398</v>
      </c>
      <c r="E404" s="105">
        <f>+IFERROR(INDEX('Restaurant Base (Hidden)'!$A$2:$Z$1048576,MATCH($C404,'Restaurant Base (Hidden)'!$C$2:$C$1048576,0),MATCH(E$6,'Restaurant Base (Hidden)'!$A$1:$Z$1,0)),"")</f>
        <v>2.0499999999999998</v>
      </c>
      <c r="F404" s="2" t="str">
        <f>+IFERROR(INDEX('Restaurant Base (Hidden)'!$A$2:$Z$1048576,MATCH($C404,'Restaurant Base (Hidden)'!$C$2:$C$1048576,0),MATCH(F$6,'Restaurant Base (Hidden)'!$A$1:$Z$1,0)),"")</f>
        <v/>
      </c>
      <c r="G404" s="20" t="str">
        <f>+IFERROR(INDEX('Restaurant Base (Hidden)'!$A$2:$Z$1048576,MATCH($C404,'Restaurant Base (Hidden)'!$C$2:$C$1048576,0),MATCH(G$6,'Restaurant Base (Hidden)'!$A$1:$Z$1,0)),"")</f>
        <v>4,256</v>
      </c>
      <c r="H404" s="50">
        <f>+IFERROR(INDEX('Restaurant Base (Hidden)'!$A$2:$Z$1048576,MATCH($C404,'Restaurant Base (Hidden)'!$C$2:$C$1048576,0),MATCH(H$6,'Restaurant Base (Hidden)'!$A$1:$Z$1,0)),"")</f>
        <v>3</v>
      </c>
      <c r="I404" s="20" t="str">
        <f>+IFERROR(INDEX('Restaurant Base (Hidden)'!$A$2:$Z$1048576,MATCH($C404,'Restaurant Base (Hidden)'!$C$2:$C$1048576,0),MATCH(I$6,'Restaurant Base (Hidden)'!$A$1:$Z$1,0)),"")</f>
        <v>77,20 %</v>
      </c>
      <c r="J404" s="49">
        <f>+IFERROR(INDEX('Restaurant Base (Hidden)'!$A$2:$Z$1048576,MATCH($C404,'Restaurant Base (Hidden)'!$C$2:$C$1048576,0),MATCH(J$6,'Restaurant Base (Hidden)'!$A$1:$Z$1,0)),"")</f>
        <v>1</v>
      </c>
      <c r="K404" s="20" t="str">
        <f>+IFERROR(INDEX('Restaurant Base (Hidden)'!$A$2:$Z$1048576,MATCH($C404,'Restaurant Base (Hidden)'!$C$2:$C$1048576,0),MATCH(K$6,'Restaurant Base (Hidden)'!$A$1:$Z$1,0)),"")</f>
        <v>0,156</v>
      </c>
      <c r="L404" s="51">
        <f>+IFERROR(INDEX('Restaurant Base (Hidden)'!$A$2:$Z$1048576,MATCH($C404,'Restaurant Base (Hidden)'!$C$2:$C$1048576,0),MATCH(L$6,'Restaurant Base (Hidden)'!$A$1:$Z$1,0)),"")</f>
        <v>2</v>
      </c>
      <c r="M404" s="2" t="str">
        <f>+IFERROR(INDEX('Restaurant Base (Hidden)'!$A$2:$Z$1048576,MATCH($C404,'Restaurant Base (Hidden)'!$C$2:$C$1048576,0),MATCH(M$6,'Restaurant Base (Hidden)'!$A$1:$Z$1,0)),"")</f>
        <v/>
      </c>
      <c r="N404" s="234" t="str">
        <f>+IFERROR(INDEX('Restaurant Base (Hidden)'!$A$2:$Z$1048576,MATCH($C404,'Restaurant Base (Hidden)'!$C$2:$C$1048576,0),MATCH(N$6,'Restaurant Base (Hidden)'!$A$1:$Z$1,0)),"")</f>
        <v>62,50 %</v>
      </c>
      <c r="O404" s="1">
        <f>+IFERROR(INDEX('Restaurant Base (Hidden)'!$A$2:$Z$1048576,MATCH($C404,'Restaurant Base (Hidden)'!$C$2:$C$1048576,0),MATCH(O$6,'Restaurant Base (Hidden)'!$A$1:$Z$1,0)),"")</f>
        <v>2</v>
      </c>
      <c r="P404" s="2" t="str">
        <f>+IFERROR(INDEX('Restaurant Base (Hidden)'!$A$2:$Z$1048576,MATCH($C404,'Restaurant Base (Hidden)'!$C$2:$C$1048576,0),MATCH(P$6,'Restaurant Base (Hidden)'!$A$1:$Z$1,0)),"")</f>
        <v/>
      </c>
      <c r="Q404" s="234" t="str">
        <f>+IFERROR(INDEX('Restaurant Base (Hidden)'!$A$2:$Z$1048576,MATCH($C404,'Restaurant Base (Hidden)'!$C$2:$C$1048576,0),MATCH(Q$6,'Restaurant Base (Hidden)'!$A$1:$Z$1,0)),"")</f>
        <v>60,90 %</v>
      </c>
      <c r="R404" s="1">
        <f>+IFERROR(INDEX('Restaurant Base (Hidden)'!$A$2:$Z$1048576,MATCH($C404,'Restaurant Base (Hidden)'!$C$2:$C$1048576,0),MATCH(R$6,'Restaurant Base (Hidden)'!$A$1:$Z$1,0)),"")</f>
        <v>1</v>
      </c>
      <c r="S404" s="2" t="str">
        <f>+IFERROR(INDEX('Restaurant Base (Hidden)'!$A$2:$Z$1048576,MATCH($C404,'Restaurant Base (Hidden)'!$C$2:$C$1048576,0),MATCH(S$6,'Restaurant Base (Hidden)'!$A$1:$Z$1,0)),"")</f>
        <v/>
      </c>
      <c r="T404" s="62">
        <f>+IFERROR(INDEX('Restaurant Base (Hidden)'!$A$2:$Z$1048576,MATCH($C404,'Restaurant Base (Hidden)'!$C$2:$C$1048576,0),MATCH(T$6,'Restaurant Base (Hidden)'!$A$1:$Z$1,0)),"")</f>
        <v>76.900000000000006</v>
      </c>
      <c r="U404" s="1">
        <f>+IFERROR(INDEX('Restaurant Base (Hidden)'!$A$2:$Z$1048576,MATCH($C404,'Restaurant Base (Hidden)'!$C$2:$C$1048576,0),MATCH(U$6,'Restaurant Base (Hidden)'!$A$1:$Z$1,0)),"")</f>
        <v>5</v>
      </c>
      <c r="V404" s="2" t="str">
        <f>+IFERROR(INDEX('Restaurant Base (Hidden)'!$A$2:$Z$1048576,MATCH($C404,'Restaurant Base (Hidden)'!$C$2:$C$1048576,0),MATCH(V$6,'Restaurant Base (Hidden)'!$A$1:$Z$1,0)),"")</f>
        <v/>
      </c>
      <c r="W404" s="65" t="str">
        <f>+IFERROR(INDEX('Restaurant Base (Hidden)'!$A$2:$Z$1048576,MATCH($C404,'Restaurant Base (Hidden)'!$C$2:$C$1048576,0),MATCH(W$6,'Restaurant Base (Hidden)'!$A$1:$Z$1,0)),"")</f>
        <v>91,30 %</v>
      </c>
      <c r="X404" s="1">
        <f>+IFERROR(INDEX('Restaurant Base (Hidden)'!$A$2:$Z$1048576,MATCH($C404,'Restaurant Base (Hidden)'!$C$2:$C$1048576,0),MATCH(X$6,'Restaurant Base (Hidden)'!$A$1:$Z$1,0)),"")</f>
        <v>3</v>
      </c>
      <c r="Y404" s="65" t="str">
        <f>+IFERROR(INDEX('Restaurant Base (Hidden)'!$A$2:$Z$1048576,MATCH($C404,'Restaurant Base (Hidden)'!$C$2:$C$1048576,0),MATCH(Y$6,'Restaurant Base (Hidden)'!$A$1:$Z$1,0)),"")</f>
        <v>68,00 %</v>
      </c>
      <c r="Z404" s="106">
        <f>+IFERROR(INDEX('Restaurant Base (Hidden)'!$A$2:$Z$1048576,MATCH($C404,'Restaurant Base (Hidden)'!$C$2:$C$1048576,0),MATCH(Z$6,'Restaurant Base (Hidden)'!$A$1:$Z$1,0)),"")</f>
        <v>2</v>
      </c>
      <c r="AA404" s="65" t="str">
        <f>+IFERROR(INDEX('Restaurant Base (Hidden)'!$A$2:$Z$1048576,MATCH($C404,'Restaurant Base (Hidden)'!$C$2:$C$1048576,0),MATCH(AA$6,'Restaurant Base (Hidden)'!$A$1:$Z$1,0)),"")</f>
        <v>57,40 %</v>
      </c>
      <c r="AB404" s="1">
        <f>+IFERROR(INDEX('Restaurant Base (Hidden)'!$A$2:$Z$1048576,MATCH($C404,'Restaurant Base (Hidden)'!$C$2:$C$1048576,0),MATCH(AB$6,'Restaurant Base (Hidden)'!$A$1:$Z$1,0)),"")</f>
        <v>1</v>
      </c>
      <c r="AC404" s="20" t="str">
        <f>+IFERROR(INDEX('Restaurant Base (Hidden)'!$A$2:$Z$1048576,MATCH($C404,'Restaurant Base (Hidden)'!$C$2:$C$1048576,0),MATCH(AC$6,'Restaurant Base (Hidden)'!$A$1:$Z$1,0)),"")</f>
        <v/>
      </c>
      <c r="AD404" s="65" t="str">
        <f>+IFERROR(INDEX('Restaurant Base (Hidden)'!$A$2:$Z$1048576,MATCH($C404,'Restaurant Base (Hidden)'!$C$2:$C$1048576,0),MATCH(AD$6,'Restaurant Base (Hidden)'!$A$1:$Z$1,0)),"")</f>
        <v>62,40 %</v>
      </c>
      <c r="AE404" s="1">
        <f>+IFERROR(INDEX('Restaurant Base (Hidden)'!$A$2:$Z$1048576,MATCH($C404,'Restaurant Base (Hidden)'!$C$2:$C$1048576,0),MATCH(AE$6,'Restaurant Base (Hidden)'!$A$1:$Z$1,0)),"")</f>
        <v>1</v>
      </c>
      <c r="AF404" s="65" t="str">
        <f>+IFERROR(INDEX('Restaurant Base (Hidden)'!$A$2:$Z$1048576,MATCH($C404,'Restaurant Base (Hidden)'!$C$2:$C$1048576,0),MATCH(AF$6,'Restaurant Base (Hidden)'!$A$1:$Z$1,0)),"")</f>
        <v>75,70 %</v>
      </c>
      <c r="AG404" s="1">
        <f>+IFERROR(INDEX('Restaurant Base (Hidden)'!$A$2:$Z$1048576,MATCH($C404,'Restaurant Base (Hidden)'!$C$2:$C$1048576,0),MATCH(AG$6,'Restaurant Base (Hidden)'!$A$1:$Z$1,0)),"")</f>
        <v>2</v>
      </c>
    </row>
    <row r="405" spans="1:33" ht="16" customHeight="1" x14ac:dyDescent="0.4">
      <c r="A405" s="163" t="str">
        <f>IF('Restaurant Base (Hidden)'!A305=0,"", 'Restaurant Base (Hidden)'!A305)</f>
        <v>Morgan Rivington</v>
      </c>
      <c r="B405" s="163" t="str">
        <f>IF('Restaurant Base (Hidden)'!B305=0,"", 'Restaurant Base (Hidden)'!B305)</f>
        <v>Lakeshore Food Partners</v>
      </c>
      <c r="C405" s="163" t="str">
        <f>IF('Restaurant Base (Hidden)'!C305=0,"", 'Restaurant Base (Hidden)'!C305)</f>
        <v>Oak Harbor</v>
      </c>
      <c r="D405" s="104">
        <f t="shared" si="6"/>
        <v>399</v>
      </c>
      <c r="E405" s="105">
        <f>+IFERROR(INDEX('Restaurant Base (Hidden)'!$A$2:$Z$1048576,MATCH($C405,'Restaurant Base (Hidden)'!$C$2:$C$1048576,0),MATCH(E$6,'Restaurant Base (Hidden)'!$A$1:$Z$1,0)),"")</f>
        <v>2</v>
      </c>
      <c r="F405" s="2" t="str">
        <f>+IFERROR(INDEX('Restaurant Base (Hidden)'!$A$2:$Z$1048576,MATCH($C405,'Restaurant Base (Hidden)'!$C$2:$C$1048576,0),MATCH(F$6,'Restaurant Base (Hidden)'!$A$1:$Z$1,0)),"")</f>
        <v/>
      </c>
      <c r="G405" s="20" t="str">
        <f>+IFERROR(INDEX('Restaurant Base (Hidden)'!$A$2:$Z$1048576,MATCH($C405,'Restaurant Base (Hidden)'!$C$2:$C$1048576,0),MATCH(G$6,'Restaurant Base (Hidden)'!$A$1:$Z$1,0)),"")</f>
        <v>4,238</v>
      </c>
      <c r="H405" s="50">
        <f>+IFERROR(INDEX('Restaurant Base (Hidden)'!$A$2:$Z$1048576,MATCH($C405,'Restaurant Base (Hidden)'!$C$2:$C$1048576,0),MATCH(H$6,'Restaurant Base (Hidden)'!$A$1:$Z$1,0)),"")</f>
        <v>3</v>
      </c>
      <c r="I405" s="20" t="str">
        <f>+IFERROR(INDEX('Restaurant Base (Hidden)'!$A$2:$Z$1048576,MATCH($C405,'Restaurant Base (Hidden)'!$C$2:$C$1048576,0),MATCH(I$6,'Restaurant Base (Hidden)'!$A$1:$Z$1,0)),"")</f>
        <v>68,90 %</v>
      </c>
      <c r="J405" s="49">
        <f>+IFERROR(INDEX('Restaurant Base (Hidden)'!$A$2:$Z$1048576,MATCH($C405,'Restaurant Base (Hidden)'!$C$2:$C$1048576,0),MATCH(J$6,'Restaurant Base (Hidden)'!$A$1:$Z$1,0)),"")</f>
        <v>1</v>
      </c>
      <c r="K405" s="20" t="str">
        <f>+IFERROR(INDEX('Restaurant Base (Hidden)'!$A$2:$Z$1048576,MATCH($C405,'Restaurant Base (Hidden)'!$C$2:$C$1048576,0),MATCH(K$6,'Restaurant Base (Hidden)'!$A$1:$Z$1,0)),"")</f>
        <v>0,173</v>
      </c>
      <c r="L405" s="51">
        <f>+IFERROR(INDEX('Restaurant Base (Hidden)'!$A$2:$Z$1048576,MATCH($C405,'Restaurant Base (Hidden)'!$C$2:$C$1048576,0),MATCH(L$6,'Restaurant Base (Hidden)'!$A$1:$Z$1,0)),"")</f>
        <v>2</v>
      </c>
      <c r="M405" s="2" t="str">
        <f>+IFERROR(INDEX('Restaurant Base (Hidden)'!$A$2:$Z$1048576,MATCH($C405,'Restaurant Base (Hidden)'!$C$2:$C$1048576,0),MATCH(M$6,'Restaurant Base (Hidden)'!$A$1:$Z$1,0)),"")</f>
        <v/>
      </c>
      <c r="N405" s="234" t="str">
        <f>+IFERROR(INDEX('Restaurant Base (Hidden)'!$A$2:$Z$1048576,MATCH($C405,'Restaurant Base (Hidden)'!$C$2:$C$1048576,0),MATCH(N$6,'Restaurant Base (Hidden)'!$A$1:$Z$1,0)),"")</f>
        <v>63,70 %</v>
      </c>
      <c r="O405" s="1">
        <f>+IFERROR(INDEX('Restaurant Base (Hidden)'!$A$2:$Z$1048576,MATCH($C405,'Restaurant Base (Hidden)'!$C$2:$C$1048576,0),MATCH(O$6,'Restaurant Base (Hidden)'!$A$1:$Z$1,0)),"")</f>
        <v>2</v>
      </c>
      <c r="P405" s="2" t="str">
        <f>+IFERROR(INDEX('Restaurant Base (Hidden)'!$A$2:$Z$1048576,MATCH($C405,'Restaurant Base (Hidden)'!$C$2:$C$1048576,0),MATCH(P$6,'Restaurant Base (Hidden)'!$A$1:$Z$1,0)),"")</f>
        <v/>
      </c>
      <c r="Q405" s="234" t="str">
        <f>+IFERROR(INDEX('Restaurant Base (Hidden)'!$A$2:$Z$1048576,MATCH($C405,'Restaurant Base (Hidden)'!$C$2:$C$1048576,0),MATCH(Q$6,'Restaurant Base (Hidden)'!$A$1:$Z$1,0)),"")</f>
        <v>61,60 %</v>
      </c>
      <c r="R405" s="1">
        <f>+IFERROR(INDEX('Restaurant Base (Hidden)'!$A$2:$Z$1048576,MATCH($C405,'Restaurant Base (Hidden)'!$C$2:$C$1048576,0),MATCH(R$6,'Restaurant Base (Hidden)'!$A$1:$Z$1,0)),"")</f>
        <v>2</v>
      </c>
      <c r="S405" s="2" t="str">
        <f>+IFERROR(INDEX('Restaurant Base (Hidden)'!$A$2:$Z$1048576,MATCH($C405,'Restaurant Base (Hidden)'!$C$2:$C$1048576,0),MATCH(S$6,'Restaurant Base (Hidden)'!$A$1:$Z$1,0)),"")</f>
        <v/>
      </c>
      <c r="T405" s="62">
        <f>+IFERROR(INDEX('Restaurant Base (Hidden)'!$A$2:$Z$1048576,MATCH($C405,'Restaurant Base (Hidden)'!$C$2:$C$1048576,0),MATCH(T$6,'Restaurant Base (Hidden)'!$A$1:$Z$1,0)),"")</f>
        <v>58.6</v>
      </c>
      <c r="U405" s="1">
        <f>+IFERROR(INDEX('Restaurant Base (Hidden)'!$A$2:$Z$1048576,MATCH($C405,'Restaurant Base (Hidden)'!$C$2:$C$1048576,0),MATCH(U$6,'Restaurant Base (Hidden)'!$A$1:$Z$1,0)),"")</f>
        <v>2</v>
      </c>
      <c r="V405" s="2" t="str">
        <f>+IFERROR(INDEX('Restaurant Base (Hidden)'!$A$2:$Z$1048576,MATCH($C405,'Restaurant Base (Hidden)'!$C$2:$C$1048576,0),MATCH(V$6,'Restaurant Base (Hidden)'!$A$1:$Z$1,0)),"")</f>
        <v/>
      </c>
      <c r="W405" s="65" t="str">
        <f>+IFERROR(INDEX('Restaurant Base (Hidden)'!$A$2:$Z$1048576,MATCH($C405,'Restaurant Base (Hidden)'!$C$2:$C$1048576,0),MATCH(W$6,'Restaurant Base (Hidden)'!$A$1:$Z$1,0)),"")</f>
        <v>78,80 %</v>
      </c>
      <c r="X405" s="1">
        <f>+IFERROR(INDEX('Restaurant Base (Hidden)'!$A$2:$Z$1048576,MATCH($C405,'Restaurant Base (Hidden)'!$C$2:$C$1048576,0),MATCH(X$6,'Restaurant Base (Hidden)'!$A$1:$Z$1,0)),"")</f>
        <v>2</v>
      </c>
      <c r="Y405" s="65" t="str">
        <f>+IFERROR(INDEX('Restaurant Base (Hidden)'!$A$2:$Z$1048576,MATCH($C405,'Restaurant Base (Hidden)'!$C$2:$C$1048576,0),MATCH(Y$6,'Restaurant Base (Hidden)'!$A$1:$Z$1,0)),"")</f>
        <v>89,20 %</v>
      </c>
      <c r="Z405" s="106">
        <f>+IFERROR(INDEX('Restaurant Base (Hidden)'!$A$2:$Z$1048576,MATCH($C405,'Restaurant Base (Hidden)'!$C$2:$C$1048576,0),MATCH(Z$6,'Restaurant Base (Hidden)'!$A$1:$Z$1,0)),"")</f>
        <v>3</v>
      </c>
      <c r="AA405" s="65" t="str">
        <f>+IFERROR(INDEX('Restaurant Base (Hidden)'!$A$2:$Z$1048576,MATCH($C405,'Restaurant Base (Hidden)'!$C$2:$C$1048576,0),MATCH(AA$6,'Restaurant Base (Hidden)'!$A$1:$Z$1,0)),"")</f>
        <v>67,90 %</v>
      </c>
      <c r="AB405" s="1">
        <f>+IFERROR(INDEX('Restaurant Base (Hidden)'!$A$2:$Z$1048576,MATCH($C405,'Restaurant Base (Hidden)'!$C$2:$C$1048576,0),MATCH(AB$6,'Restaurant Base (Hidden)'!$A$1:$Z$1,0)),"")</f>
        <v>2</v>
      </c>
      <c r="AC405" s="20" t="str">
        <f>+IFERROR(INDEX('Restaurant Base (Hidden)'!$A$2:$Z$1048576,MATCH($C405,'Restaurant Base (Hidden)'!$C$2:$C$1048576,0),MATCH(AC$6,'Restaurant Base (Hidden)'!$A$1:$Z$1,0)),"")</f>
        <v/>
      </c>
      <c r="AD405" s="65" t="str">
        <f>+IFERROR(INDEX('Restaurant Base (Hidden)'!$A$2:$Z$1048576,MATCH($C405,'Restaurant Base (Hidden)'!$C$2:$C$1048576,0),MATCH(AD$6,'Restaurant Base (Hidden)'!$A$1:$Z$1,0)),"")</f>
        <v>84,90 %</v>
      </c>
      <c r="AE405" s="1">
        <f>+IFERROR(INDEX('Restaurant Base (Hidden)'!$A$2:$Z$1048576,MATCH($C405,'Restaurant Base (Hidden)'!$C$2:$C$1048576,0),MATCH(AE$6,'Restaurant Base (Hidden)'!$A$1:$Z$1,0)),"")</f>
        <v>3</v>
      </c>
      <c r="AF405" s="65" t="str">
        <f>+IFERROR(INDEX('Restaurant Base (Hidden)'!$A$2:$Z$1048576,MATCH($C405,'Restaurant Base (Hidden)'!$C$2:$C$1048576,0),MATCH(AF$6,'Restaurant Base (Hidden)'!$A$1:$Z$1,0)),"")</f>
        <v>55,10 %</v>
      </c>
      <c r="AG405" s="1">
        <f>+IFERROR(INDEX('Restaurant Base (Hidden)'!$A$2:$Z$1048576,MATCH($C405,'Restaurant Base (Hidden)'!$C$2:$C$1048576,0),MATCH(AG$6,'Restaurant Base (Hidden)'!$A$1:$Z$1,0)),"")</f>
        <v>1</v>
      </c>
    </row>
    <row r="406" spans="1:33" ht="16" customHeight="1" x14ac:dyDescent="0.4">
      <c r="A406" s="163" t="str">
        <f>IF('Restaurant Base (Hidden)'!A366=0,"", 'Restaurant Base (Hidden)'!A366)</f>
        <v>Reese Whitmore</v>
      </c>
      <c r="B406" s="163" t="str">
        <f>IF('Restaurant Base (Hidden)'!B366=0,"", 'Restaurant Base (Hidden)'!B366)</f>
        <v>Westhaven Foods</v>
      </c>
      <c r="C406" s="163" t="str">
        <f>IF('Restaurant Base (Hidden)'!C366=0,"", 'Restaurant Base (Hidden)'!C366)</f>
        <v>Bluebell Way</v>
      </c>
      <c r="D406" s="104">
        <f t="shared" si="6"/>
        <v>400</v>
      </c>
      <c r="E406" s="105">
        <f>+IFERROR(INDEX('Restaurant Base (Hidden)'!$A$2:$Z$1048576,MATCH($C406,'Restaurant Base (Hidden)'!$C$2:$C$1048576,0),MATCH(E$6,'Restaurant Base (Hidden)'!$A$1:$Z$1,0)),"")</f>
        <v>1.94</v>
      </c>
      <c r="F406" s="2" t="str">
        <f>+IFERROR(INDEX('Restaurant Base (Hidden)'!$A$2:$Z$1048576,MATCH($C406,'Restaurant Base (Hidden)'!$C$2:$C$1048576,0),MATCH(F$6,'Restaurant Base (Hidden)'!$A$1:$Z$1,0)),"")</f>
        <v/>
      </c>
      <c r="G406" s="20" t="str">
        <f>+IFERROR(INDEX('Restaurant Base (Hidden)'!$A$2:$Z$1048576,MATCH($C406,'Restaurant Base (Hidden)'!$C$2:$C$1048576,0),MATCH(G$6,'Restaurant Base (Hidden)'!$A$1:$Z$1,0)),"")</f>
        <v>4,039</v>
      </c>
      <c r="H406" s="50">
        <f>+IFERROR(INDEX('Restaurant Base (Hidden)'!$A$2:$Z$1048576,MATCH($C406,'Restaurant Base (Hidden)'!$C$2:$C$1048576,0),MATCH(H$6,'Restaurant Base (Hidden)'!$A$1:$Z$1,0)),"")</f>
        <v>1</v>
      </c>
      <c r="I406" s="20" t="str">
        <f>+IFERROR(INDEX('Restaurant Base (Hidden)'!$A$2:$Z$1048576,MATCH($C406,'Restaurant Base (Hidden)'!$C$2:$C$1048576,0),MATCH(I$6,'Restaurant Base (Hidden)'!$A$1:$Z$1,0)),"")</f>
        <v>66,50 %</v>
      </c>
      <c r="J406" s="49">
        <f>+IFERROR(INDEX('Restaurant Base (Hidden)'!$A$2:$Z$1048576,MATCH($C406,'Restaurant Base (Hidden)'!$C$2:$C$1048576,0),MATCH(J$6,'Restaurant Base (Hidden)'!$A$1:$Z$1,0)),"")</f>
        <v>1</v>
      </c>
      <c r="K406" s="20" t="str">
        <f>+IFERROR(INDEX('Restaurant Base (Hidden)'!$A$2:$Z$1048576,MATCH($C406,'Restaurant Base (Hidden)'!$C$2:$C$1048576,0),MATCH(K$6,'Restaurant Base (Hidden)'!$A$1:$Z$1,0)),"")</f>
        <v>0,039</v>
      </c>
      <c r="L406" s="51">
        <f>+IFERROR(INDEX('Restaurant Base (Hidden)'!$A$2:$Z$1048576,MATCH($C406,'Restaurant Base (Hidden)'!$C$2:$C$1048576,0),MATCH(L$6,'Restaurant Base (Hidden)'!$A$1:$Z$1,0)),"")</f>
        <v>5</v>
      </c>
      <c r="M406" s="2" t="str">
        <f>+IFERROR(INDEX('Restaurant Base (Hidden)'!$A$2:$Z$1048576,MATCH($C406,'Restaurant Base (Hidden)'!$C$2:$C$1048576,0),MATCH(M$6,'Restaurant Base (Hidden)'!$A$1:$Z$1,0)),"")</f>
        <v/>
      </c>
      <c r="N406" s="234" t="str">
        <f>+IFERROR(INDEX('Restaurant Base (Hidden)'!$A$2:$Z$1048576,MATCH($C406,'Restaurant Base (Hidden)'!$C$2:$C$1048576,0),MATCH(N$6,'Restaurant Base (Hidden)'!$A$1:$Z$1,0)),"")</f>
        <v>68,50 %</v>
      </c>
      <c r="O406" s="1">
        <f>+IFERROR(INDEX('Restaurant Base (Hidden)'!$A$2:$Z$1048576,MATCH($C406,'Restaurant Base (Hidden)'!$C$2:$C$1048576,0),MATCH(O$6,'Restaurant Base (Hidden)'!$A$1:$Z$1,0)),"")</f>
        <v>4</v>
      </c>
      <c r="P406" s="2" t="str">
        <f>+IFERROR(INDEX('Restaurant Base (Hidden)'!$A$2:$Z$1048576,MATCH($C406,'Restaurant Base (Hidden)'!$C$2:$C$1048576,0),MATCH(P$6,'Restaurant Base (Hidden)'!$A$1:$Z$1,0)),"")</f>
        <v/>
      </c>
      <c r="Q406" s="234" t="str">
        <f>+IFERROR(INDEX('Restaurant Base (Hidden)'!$A$2:$Z$1048576,MATCH($C406,'Restaurant Base (Hidden)'!$C$2:$C$1048576,0),MATCH(Q$6,'Restaurant Base (Hidden)'!$A$1:$Z$1,0)),"")</f>
        <v>60,90 %</v>
      </c>
      <c r="R406" s="1">
        <f>+IFERROR(INDEX('Restaurant Base (Hidden)'!$A$2:$Z$1048576,MATCH($C406,'Restaurant Base (Hidden)'!$C$2:$C$1048576,0),MATCH(R$6,'Restaurant Base (Hidden)'!$A$1:$Z$1,0)),"")</f>
        <v>1</v>
      </c>
      <c r="S406" s="2" t="str">
        <f>+IFERROR(INDEX('Restaurant Base (Hidden)'!$A$2:$Z$1048576,MATCH($C406,'Restaurant Base (Hidden)'!$C$2:$C$1048576,0),MATCH(S$6,'Restaurant Base (Hidden)'!$A$1:$Z$1,0)),"")</f>
        <v/>
      </c>
      <c r="T406" s="62">
        <f>+IFERROR(INDEX('Restaurant Base (Hidden)'!$A$2:$Z$1048576,MATCH($C406,'Restaurant Base (Hidden)'!$C$2:$C$1048576,0),MATCH(T$6,'Restaurant Base (Hidden)'!$A$1:$Z$1,0)),"")</f>
        <v>59.2</v>
      </c>
      <c r="U406" s="1">
        <f>+IFERROR(INDEX('Restaurant Base (Hidden)'!$A$2:$Z$1048576,MATCH($C406,'Restaurant Base (Hidden)'!$C$2:$C$1048576,0),MATCH(U$6,'Restaurant Base (Hidden)'!$A$1:$Z$1,0)),"")</f>
        <v>2</v>
      </c>
      <c r="V406" s="2" t="str">
        <f>+IFERROR(INDEX('Restaurant Base (Hidden)'!$A$2:$Z$1048576,MATCH($C406,'Restaurant Base (Hidden)'!$C$2:$C$1048576,0),MATCH(V$6,'Restaurant Base (Hidden)'!$A$1:$Z$1,0)),"")</f>
        <v/>
      </c>
      <c r="W406" s="65" t="str">
        <f>+IFERROR(INDEX('Restaurant Base (Hidden)'!$A$2:$Z$1048576,MATCH($C406,'Restaurant Base (Hidden)'!$C$2:$C$1048576,0),MATCH(W$6,'Restaurant Base (Hidden)'!$A$1:$Z$1,0)),"")</f>
        <v>56,00 %</v>
      </c>
      <c r="X406" s="1">
        <f>+IFERROR(INDEX('Restaurant Base (Hidden)'!$A$2:$Z$1048576,MATCH($C406,'Restaurant Base (Hidden)'!$C$2:$C$1048576,0),MATCH(X$6,'Restaurant Base (Hidden)'!$A$1:$Z$1,0)),"")</f>
        <v>1</v>
      </c>
      <c r="Y406" s="65" t="str">
        <f>+IFERROR(INDEX('Restaurant Base (Hidden)'!$A$2:$Z$1048576,MATCH($C406,'Restaurant Base (Hidden)'!$C$2:$C$1048576,0),MATCH(Y$6,'Restaurant Base (Hidden)'!$A$1:$Z$1,0)),"")</f>
        <v>65,70 %</v>
      </c>
      <c r="Z406" s="106">
        <f>+IFERROR(INDEX('Restaurant Base (Hidden)'!$A$2:$Z$1048576,MATCH($C406,'Restaurant Base (Hidden)'!$C$2:$C$1048576,0),MATCH(Z$6,'Restaurant Base (Hidden)'!$A$1:$Z$1,0)),"")</f>
        <v>2</v>
      </c>
      <c r="AA406" s="65" t="str">
        <f>+IFERROR(INDEX('Restaurant Base (Hidden)'!$A$2:$Z$1048576,MATCH($C406,'Restaurant Base (Hidden)'!$C$2:$C$1048576,0),MATCH(AA$6,'Restaurant Base (Hidden)'!$A$1:$Z$1,0)),"")</f>
        <v>87,90 %</v>
      </c>
      <c r="AB406" s="1">
        <f>+IFERROR(INDEX('Restaurant Base (Hidden)'!$A$2:$Z$1048576,MATCH($C406,'Restaurant Base (Hidden)'!$C$2:$C$1048576,0),MATCH(AB$6,'Restaurant Base (Hidden)'!$A$1:$Z$1,0)),"")</f>
        <v>3</v>
      </c>
      <c r="AC406" s="20" t="str">
        <f>+IFERROR(INDEX('Restaurant Base (Hidden)'!$A$2:$Z$1048576,MATCH($C406,'Restaurant Base (Hidden)'!$C$2:$C$1048576,0),MATCH(AC$6,'Restaurant Base (Hidden)'!$A$1:$Z$1,0)),"")</f>
        <v/>
      </c>
      <c r="AD406" s="65" t="str">
        <f>+IFERROR(INDEX('Restaurant Base (Hidden)'!$A$2:$Z$1048576,MATCH($C406,'Restaurant Base (Hidden)'!$C$2:$C$1048576,0),MATCH(AD$6,'Restaurant Base (Hidden)'!$A$1:$Z$1,0)),"")</f>
        <v>69,60 %</v>
      </c>
      <c r="AE406" s="1">
        <f>+IFERROR(INDEX('Restaurant Base (Hidden)'!$A$2:$Z$1048576,MATCH($C406,'Restaurant Base (Hidden)'!$C$2:$C$1048576,0),MATCH(AE$6,'Restaurant Base (Hidden)'!$A$1:$Z$1,0)),"")</f>
        <v>1</v>
      </c>
      <c r="AF406" s="65" t="str">
        <f>+IFERROR(INDEX('Restaurant Base (Hidden)'!$A$2:$Z$1048576,MATCH($C406,'Restaurant Base (Hidden)'!$C$2:$C$1048576,0),MATCH(AF$6,'Restaurant Base (Hidden)'!$A$1:$Z$1,0)),"")</f>
        <v>74,70 %</v>
      </c>
      <c r="AG406" s="1">
        <f>+IFERROR(INDEX('Restaurant Base (Hidden)'!$A$2:$Z$1048576,MATCH($C406,'Restaurant Base (Hidden)'!$C$2:$C$1048576,0),MATCH(AG$6,'Restaurant Base (Hidden)'!$A$1:$Z$1,0)),"")</f>
        <v>1</v>
      </c>
    </row>
    <row r="407" spans="1:33" ht="16" customHeight="1" x14ac:dyDescent="0.4">
      <c r="A407" s="163" t="str">
        <f>IF('Restaurant Base (Hidden)'!A8=0,"", 'Restaurant Base (Hidden)'!A8)</f>
        <v>Finley Kensington</v>
      </c>
      <c r="B407" s="163" t="str">
        <f>IF('Restaurant Base (Hidden)'!B8=0,"", 'Restaurant Base (Hidden)'!B8)</f>
        <v>Cedarstone Hospitality</v>
      </c>
      <c r="C407" s="163" t="str">
        <f>IF('Restaurant Base (Hidden)'!C8=0,"", 'Restaurant Base (Hidden)'!C8)</f>
        <v>Westwood Crossing</v>
      </c>
      <c r="D407" s="104">
        <f t="shared" si="6"/>
        <v>401</v>
      </c>
      <c r="E407" s="105">
        <f>+IFERROR(INDEX('Restaurant Base (Hidden)'!$A$2:$Z$1048576,MATCH($C407,'Restaurant Base (Hidden)'!$C$2:$C$1048576,0),MATCH(E$6,'Restaurant Base (Hidden)'!$A$1:$Z$1,0)),"")</f>
        <v>1.84</v>
      </c>
      <c r="F407" s="64" t="str">
        <f>+IFERROR(INDEX('Restaurant Base (Hidden)'!$A$2:$Z$1048576,MATCH($C407,'Restaurant Base (Hidden)'!$C$2:$C$1048576,0),MATCH(F$6,'Restaurant Base (Hidden)'!$A$1:$Z$1,0)),"")</f>
        <v/>
      </c>
      <c r="G407" s="20" t="str">
        <f>+IFERROR(INDEX('Restaurant Base (Hidden)'!$A$2:$Z$1048576,MATCH($C407,'Restaurant Base (Hidden)'!$C$2:$C$1048576,0),MATCH(G$6,'Restaurant Base (Hidden)'!$A$1:$Z$1,0)),"")</f>
        <v>4,011</v>
      </c>
      <c r="H407" s="50">
        <f>+IFERROR(INDEX('Restaurant Base (Hidden)'!$A$2:$Z$1048576,MATCH($C407,'Restaurant Base (Hidden)'!$C$2:$C$1048576,0),MATCH(H$6,'Restaurant Base (Hidden)'!$A$1:$Z$1,0)),"")</f>
        <v>1</v>
      </c>
      <c r="I407" s="20" t="str">
        <f>+IFERROR(INDEX('Restaurant Base (Hidden)'!$A$2:$Z$1048576,MATCH($C407,'Restaurant Base (Hidden)'!$C$2:$C$1048576,0),MATCH(I$6,'Restaurant Base (Hidden)'!$A$1:$Z$1,0)),"")</f>
        <v>72,60 %</v>
      </c>
      <c r="J407" s="49">
        <f>+IFERROR(INDEX('Restaurant Base (Hidden)'!$A$2:$Z$1048576,MATCH($C407,'Restaurant Base (Hidden)'!$C$2:$C$1048576,0),MATCH(J$6,'Restaurant Base (Hidden)'!$A$1:$Z$1,0)),"")</f>
        <v>1</v>
      </c>
      <c r="K407" s="20" t="str">
        <f>+IFERROR(INDEX('Restaurant Base (Hidden)'!$A$2:$Z$1048576,MATCH($C407,'Restaurant Base (Hidden)'!$C$2:$C$1048576,0),MATCH(K$6,'Restaurant Base (Hidden)'!$A$1:$Z$1,0)),"")</f>
        <v>0,041</v>
      </c>
      <c r="L407" s="51">
        <f>+IFERROR(INDEX('Restaurant Base (Hidden)'!$A$2:$Z$1048576,MATCH($C407,'Restaurant Base (Hidden)'!$C$2:$C$1048576,0),MATCH(L$6,'Restaurant Base (Hidden)'!$A$1:$Z$1,0)),"")</f>
        <v>5</v>
      </c>
      <c r="M407" s="2" t="str">
        <f>+IFERROR(INDEX('Restaurant Base (Hidden)'!$A$2:$Z$1048576,MATCH($C407,'Restaurant Base (Hidden)'!$C$2:$C$1048576,0),MATCH(M$6,'Restaurant Base (Hidden)'!$A$1:$Z$1,0)),"")</f>
        <v/>
      </c>
      <c r="N407" s="234" t="str">
        <f>+IFERROR(INDEX('Restaurant Base (Hidden)'!$A$2:$Z$1048576,MATCH($C407,'Restaurant Base (Hidden)'!$C$2:$C$1048576,0),MATCH(N$6,'Restaurant Base (Hidden)'!$A$1:$Z$1,0)),"")</f>
        <v>57,80 %</v>
      </c>
      <c r="O407" s="1">
        <f>+IFERROR(INDEX('Restaurant Base (Hidden)'!$A$2:$Z$1048576,MATCH($C407,'Restaurant Base (Hidden)'!$C$2:$C$1048576,0),MATCH(O$6,'Restaurant Base (Hidden)'!$A$1:$Z$1,0)),"")</f>
        <v>1</v>
      </c>
      <c r="P407" s="2" t="str">
        <f>+IFERROR(INDEX('Restaurant Base (Hidden)'!$A$2:$Z$1048576,MATCH($C407,'Restaurant Base (Hidden)'!$C$2:$C$1048576,0),MATCH(P$6,'Restaurant Base (Hidden)'!$A$1:$Z$1,0)),"")</f>
        <v/>
      </c>
      <c r="Q407" s="234" t="str">
        <f>+IFERROR(INDEX('Restaurant Base (Hidden)'!$A$2:$Z$1048576,MATCH($C407,'Restaurant Base (Hidden)'!$C$2:$C$1048576,0),MATCH(Q$6,'Restaurant Base (Hidden)'!$A$1:$Z$1,0)),"")</f>
        <v>56,10 %</v>
      </c>
      <c r="R407" s="1">
        <f>+IFERROR(INDEX('Restaurant Base (Hidden)'!$A$2:$Z$1048576,MATCH($C407,'Restaurant Base (Hidden)'!$C$2:$C$1048576,0),MATCH(R$6,'Restaurant Base (Hidden)'!$A$1:$Z$1,0)),"")</f>
        <v>1</v>
      </c>
      <c r="S407" s="2" t="str">
        <f>+IFERROR(INDEX('Restaurant Base (Hidden)'!$A$2:$Z$1048576,MATCH($C407,'Restaurant Base (Hidden)'!$C$2:$C$1048576,0),MATCH(S$6,'Restaurant Base (Hidden)'!$A$1:$Z$1,0)),"")</f>
        <v/>
      </c>
      <c r="T407" s="62">
        <f>+IFERROR(INDEX('Restaurant Base (Hidden)'!$A$2:$Z$1048576,MATCH($C407,'Restaurant Base (Hidden)'!$C$2:$C$1048576,0),MATCH(T$6,'Restaurant Base (Hidden)'!$A$1:$Z$1,0)),"")</f>
        <v>69.900000000000006</v>
      </c>
      <c r="U407" s="1">
        <f>+IFERROR(INDEX('Restaurant Base (Hidden)'!$A$2:$Z$1048576,MATCH($C407,'Restaurant Base (Hidden)'!$C$2:$C$1048576,0),MATCH(U$6,'Restaurant Base (Hidden)'!$A$1:$Z$1,0)),"")</f>
        <v>5</v>
      </c>
      <c r="V407" s="2" t="str">
        <f>+IFERROR(INDEX('Restaurant Base (Hidden)'!$A$2:$Z$1048576,MATCH($C407,'Restaurant Base (Hidden)'!$C$2:$C$1048576,0),MATCH(V$6,'Restaurant Base (Hidden)'!$A$1:$Z$1,0)),"")</f>
        <v/>
      </c>
      <c r="W407" s="65" t="str">
        <f>+IFERROR(INDEX('Restaurant Base (Hidden)'!$A$2:$Z$1048576,MATCH($C407,'Restaurant Base (Hidden)'!$C$2:$C$1048576,0),MATCH(W$6,'Restaurant Base (Hidden)'!$A$1:$Z$1,0)),"")</f>
        <v>62,20 %</v>
      </c>
      <c r="X407" s="1">
        <f>+IFERROR(INDEX('Restaurant Base (Hidden)'!$A$2:$Z$1048576,MATCH($C407,'Restaurant Base (Hidden)'!$C$2:$C$1048576,0),MATCH(X$6,'Restaurant Base (Hidden)'!$A$1:$Z$1,0)),"")</f>
        <v>2</v>
      </c>
      <c r="Y407" s="65" t="str">
        <f>+IFERROR(INDEX('Restaurant Base (Hidden)'!$A$2:$Z$1048576,MATCH($C407,'Restaurant Base (Hidden)'!$C$2:$C$1048576,0),MATCH(Y$6,'Restaurant Base (Hidden)'!$A$1:$Z$1,0)),"")</f>
        <v>69,30 %</v>
      </c>
      <c r="Z407" s="106">
        <f>+IFERROR(INDEX('Restaurant Base (Hidden)'!$A$2:$Z$1048576,MATCH($C407,'Restaurant Base (Hidden)'!$C$2:$C$1048576,0),MATCH(Z$6,'Restaurant Base (Hidden)'!$A$1:$Z$1,0)),"")</f>
        <v>2</v>
      </c>
      <c r="AA407" s="65" t="str">
        <f>+IFERROR(INDEX('Restaurant Base (Hidden)'!$A$2:$Z$1048576,MATCH($C407,'Restaurant Base (Hidden)'!$C$2:$C$1048576,0),MATCH(AA$6,'Restaurant Base (Hidden)'!$A$1:$Z$1,0)),"")</f>
        <v>81,60 %</v>
      </c>
      <c r="AB407" s="1">
        <f>+IFERROR(INDEX('Restaurant Base (Hidden)'!$A$2:$Z$1048576,MATCH($C407,'Restaurant Base (Hidden)'!$C$2:$C$1048576,0),MATCH(AB$6,'Restaurant Base (Hidden)'!$A$1:$Z$1,0)),"")</f>
        <v>2</v>
      </c>
      <c r="AC407" s="20" t="str">
        <f>+IFERROR(INDEX('Restaurant Base (Hidden)'!$A$2:$Z$1048576,MATCH($C407,'Restaurant Base (Hidden)'!$C$2:$C$1048576,0),MATCH(AC$6,'Restaurant Base (Hidden)'!$A$1:$Z$1,0)),"")</f>
        <v/>
      </c>
      <c r="AD407" s="65" t="str">
        <f>+IFERROR(INDEX('Restaurant Base (Hidden)'!$A$2:$Z$1048576,MATCH($C407,'Restaurant Base (Hidden)'!$C$2:$C$1048576,0),MATCH(AD$6,'Restaurant Base (Hidden)'!$A$1:$Z$1,0)),"")</f>
        <v>64,90 %</v>
      </c>
      <c r="AE407" s="1">
        <f>+IFERROR(INDEX('Restaurant Base (Hidden)'!$A$2:$Z$1048576,MATCH($C407,'Restaurant Base (Hidden)'!$C$2:$C$1048576,0),MATCH(AE$6,'Restaurant Base (Hidden)'!$A$1:$Z$1,0)),"")</f>
        <v>1</v>
      </c>
      <c r="AF407" s="65" t="str">
        <f>+IFERROR(INDEX('Restaurant Base (Hidden)'!$A$2:$Z$1048576,MATCH($C407,'Restaurant Base (Hidden)'!$C$2:$C$1048576,0),MATCH(AF$6,'Restaurant Base (Hidden)'!$A$1:$Z$1,0)),"")</f>
        <v>70,00 %</v>
      </c>
      <c r="AG407" s="1">
        <f>+IFERROR(INDEX('Restaurant Base (Hidden)'!$A$2:$Z$1048576,MATCH($C407,'Restaurant Base (Hidden)'!$C$2:$C$1048576,0),MATCH(AG$6,'Restaurant Base (Hidden)'!$A$1:$Z$1,0)),"")</f>
        <v>1</v>
      </c>
    </row>
    <row r="408" spans="1:33" ht="16" customHeight="1" x14ac:dyDescent="0.4">
      <c r="A408" s="163" t="str">
        <f>IF('Restaurant Base (Hidden)'!A263=0,"", 'Restaurant Base (Hidden)'!A263)</f>
        <v>Avery Ashford</v>
      </c>
      <c r="B408" s="163" t="str">
        <f>IF('Restaurant Base (Hidden)'!B263=0,"", 'Restaurant Base (Hidden)'!B263)</f>
        <v>Goldenridge Hospitality</v>
      </c>
      <c r="C408" s="163" t="str">
        <f>IF('Restaurant Base (Hidden)'!C263=0,"", 'Restaurant Base (Hidden)'!C263)</f>
        <v>Bluebell Station</v>
      </c>
      <c r="D408" s="104">
        <f t="shared" si="6"/>
        <v>402</v>
      </c>
      <c r="E408" s="105">
        <f>+IFERROR(INDEX('Restaurant Base (Hidden)'!$A$2:$Z$1048576,MATCH($C408,'Restaurant Base (Hidden)'!$C$2:$C$1048576,0),MATCH(E$6,'Restaurant Base (Hidden)'!$A$1:$Z$1,0)),"")</f>
        <v>1.82</v>
      </c>
      <c r="F408" s="2" t="str">
        <f>+IFERROR(INDEX('Restaurant Base (Hidden)'!$A$2:$Z$1048576,MATCH($C408,'Restaurant Base (Hidden)'!$C$2:$C$1048576,0),MATCH(F$6,'Restaurant Base (Hidden)'!$A$1:$Z$1,0)),"")</f>
        <v/>
      </c>
      <c r="G408" s="20" t="str">
        <f>+IFERROR(INDEX('Restaurant Base (Hidden)'!$A$2:$Z$1048576,MATCH($C408,'Restaurant Base (Hidden)'!$C$2:$C$1048576,0),MATCH(G$6,'Restaurant Base (Hidden)'!$A$1:$Z$1,0)),"")</f>
        <v>4,097</v>
      </c>
      <c r="H408" s="50">
        <f>+IFERROR(INDEX('Restaurant Base (Hidden)'!$A$2:$Z$1048576,MATCH($C408,'Restaurant Base (Hidden)'!$C$2:$C$1048576,0),MATCH(H$6,'Restaurant Base (Hidden)'!$A$1:$Z$1,0)),"")</f>
        <v>2</v>
      </c>
      <c r="I408" s="20" t="str">
        <f>+IFERROR(INDEX('Restaurant Base (Hidden)'!$A$2:$Z$1048576,MATCH($C408,'Restaurant Base (Hidden)'!$C$2:$C$1048576,0),MATCH(I$6,'Restaurant Base (Hidden)'!$A$1:$Z$1,0)),"")</f>
        <v>61,80 %</v>
      </c>
      <c r="J408" s="49">
        <f>+IFERROR(INDEX('Restaurant Base (Hidden)'!$A$2:$Z$1048576,MATCH($C408,'Restaurant Base (Hidden)'!$C$2:$C$1048576,0),MATCH(J$6,'Restaurant Base (Hidden)'!$A$1:$Z$1,0)),"")</f>
        <v>1</v>
      </c>
      <c r="K408" s="20" t="str">
        <f>+IFERROR(INDEX('Restaurant Base (Hidden)'!$A$2:$Z$1048576,MATCH($C408,'Restaurant Base (Hidden)'!$C$2:$C$1048576,0),MATCH(K$6,'Restaurant Base (Hidden)'!$A$1:$Z$1,0)),"")</f>
        <v>0,175</v>
      </c>
      <c r="L408" s="51">
        <f>+IFERROR(INDEX('Restaurant Base (Hidden)'!$A$2:$Z$1048576,MATCH($C408,'Restaurant Base (Hidden)'!$C$2:$C$1048576,0),MATCH(L$6,'Restaurant Base (Hidden)'!$A$1:$Z$1,0)),"")</f>
        <v>2</v>
      </c>
      <c r="M408" s="2" t="str">
        <f>+IFERROR(INDEX('Restaurant Base (Hidden)'!$A$2:$Z$1048576,MATCH($C408,'Restaurant Base (Hidden)'!$C$2:$C$1048576,0),MATCH(M$6,'Restaurant Base (Hidden)'!$A$1:$Z$1,0)),"")</f>
        <v/>
      </c>
      <c r="N408" s="234" t="str">
        <f>+IFERROR(INDEX('Restaurant Base (Hidden)'!$A$2:$Z$1048576,MATCH($C408,'Restaurant Base (Hidden)'!$C$2:$C$1048576,0),MATCH(N$6,'Restaurant Base (Hidden)'!$A$1:$Z$1,0)),"")</f>
        <v>63,90 %</v>
      </c>
      <c r="O408" s="1">
        <f>+IFERROR(INDEX('Restaurant Base (Hidden)'!$A$2:$Z$1048576,MATCH($C408,'Restaurant Base (Hidden)'!$C$2:$C$1048576,0),MATCH(O$6,'Restaurant Base (Hidden)'!$A$1:$Z$1,0)),"")</f>
        <v>2</v>
      </c>
      <c r="P408" s="2" t="str">
        <f>+IFERROR(INDEX('Restaurant Base (Hidden)'!$A$2:$Z$1048576,MATCH($C408,'Restaurant Base (Hidden)'!$C$2:$C$1048576,0),MATCH(P$6,'Restaurant Base (Hidden)'!$A$1:$Z$1,0)),"")</f>
        <v/>
      </c>
      <c r="Q408" s="234" t="str">
        <f>+IFERROR(INDEX('Restaurant Base (Hidden)'!$A$2:$Z$1048576,MATCH($C408,'Restaurant Base (Hidden)'!$C$2:$C$1048576,0),MATCH(Q$6,'Restaurant Base (Hidden)'!$A$1:$Z$1,0)),"")</f>
        <v>60,10 %</v>
      </c>
      <c r="R408" s="1">
        <f>+IFERROR(INDEX('Restaurant Base (Hidden)'!$A$2:$Z$1048576,MATCH($C408,'Restaurant Base (Hidden)'!$C$2:$C$1048576,0),MATCH(R$6,'Restaurant Base (Hidden)'!$A$1:$Z$1,0)),"")</f>
        <v>1</v>
      </c>
      <c r="S408" s="2" t="str">
        <f>+IFERROR(INDEX('Restaurant Base (Hidden)'!$A$2:$Z$1048576,MATCH($C408,'Restaurant Base (Hidden)'!$C$2:$C$1048576,0),MATCH(S$6,'Restaurant Base (Hidden)'!$A$1:$Z$1,0)),"")</f>
        <v/>
      </c>
      <c r="T408" s="62">
        <f>+IFERROR(INDEX('Restaurant Base (Hidden)'!$A$2:$Z$1048576,MATCH($C408,'Restaurant Base (Hidden)'!$C$2:$C$1048576,0),MATCH(T$6,'Restaurant Base (Hidden)'!$A$1:$Z$1,0)),"")</f>
        <v>57.5</v>
      </c>
      <c r="U408" s="1">
        <f>+IFERROR(INDEX('Restaurant Base (Hidden)'!$A$2:$Z$1048576,MATCH($C408,'Restaurant Base (Hidden)'!$C$2:$C$1048576,0),MATCH(U$6,'Restaurant Base (Hidden)'!$A$1:$Z$1,0)),"")</f>
        <v>2</v>
      </c>
      <c r="V408" s="2" t="str">
        <f>+IFERROR(INDEX('Restaurant Base (Hidden)'!$A$2:$Z$1048576,MATCH($C408,'Restaurant Base (Hidden)'!$C$2:$C$1048576,0),MATCH(V$6,'Restaurant Base (Hidden)'!$A$1:$Z$1,0)),"")</f>
        <v/>
      </c>
      <c r="W408" s="65" t="str">
        <f>+IFERROR(INDEX('Restaurant Base (Hidden)'!$A$2:$Z$1048576,MATCH($C408,'Restaurant Base (Hidden)'!$C$2:$C$1048576,0),MATCH(W$6,'Restaurant Base (Hidden)'!$A$1:$Z$1,0)),"")</f>
        <v>57,60 %</v>
      </c>
      <c r="X408" s="1">
        <f>+IFERROR(INDEX('Restaurant Base (Hidden)'!$A$2:$Z$1048576,MATCH($C408,'Restaurant Base (Hidden)'!$C$2:$C$1048576,0),MATCH(X$6,'Restaurant Base (Hidden)'!$A$1:$Z$1,0)),"")</f>
        <v>1</v>
      </c>
      <c r="Y408" s="65" t="str">
        <f>+IFERROR(INDEX('Restaurant Base (Hidden)'!$A$2:$Z$1048576,MATCH($C408,'Restaurant Base (Hidden)'!$C$2:$C$1048576,0),MATCH(Y$6,'Restaurant Base (Hidden)'!$A$1:$Z$1,0)),"")</f>
        <v>78,50 %</v>
      </c>
      <c r="Z408" s="106">
        <f>+IFERROR(INDEX('Restaurant Base (Hidden)'!$A$2:$Z$1048576,MATCH($C408,'Restaurant Base (Hidden)'!$C$2:$C$1048576,0),MATCH(Z$6,'Restaurant Base (Hidden)'!$A$1:$Z$1,0)),"")</f>
        <v>2</v>
      </c>
      <c r="AA408" s="65" t="str">
        <f>+IFERROR(INDEX('Restaurant Base (Hidden)'!$A$2:$Z$1048576,MATCH($C408,'Restaurant Base (Hidden)'!$C$2:$C$1048576,0),MATCH(AA$6,'Restaurant Base (Hidden)'!$A$1:$Z$1,0)),"")</f>
        <v>59,60 %</v>
      </c>
      <c r="AB408" s="1">
        <f>+IFERROR(INDEX('Restaurant Base (Hidden)'!$A$2:$Z$1048576,MATCH($C408,'Restaurant Base (Hidden)'!$C$2:$C$1048576,0),MATCH(AB$6,'Restaurant Base (Hidden)'!$A$1:$Z$1,0)),"")</f>
        <v>1</v>
      </c>
      <c r="AC408" s="20" t="str">
        <f>+IFERROR(INDEX('Restaurant Base (Hidden)'!$A$2:$Z$1048576,MATCH($C408,'Restaurant Base (Hidden)'!$C$2:$C$1048576,0),MATCH(AC$6,'Restaurant Base (Hidden)'!$A$1:$Z$1,0)),"")</f>
        <v/>
      </c>
      <c r="AD408" s="65" t="str">
        <f>+IFERROR(INDEX('Restaurant Base (Hidden)'!$A$2:$Z$1048576,MATCH($C408,'Restaurant Base (Hidden)'!$C$2:$C$1048576,0),MATCH(AD$6,'Restaurant Base (Hidden)'!$A$1:$Z$1,0)),"")</f>
        <v>87,40 %</v>
      </c>
      <c r="AE408" s="1">
        <f>+IFERROR(INDEX('Restaurant Base (Hidden)'!$A$2:$Z$1048576,MATCH($C408,'Restaurant Base (Hidden)'!$C$2:$C$1048576,0),MATCH(AE$6,'Restaurant Base (Hidden)'!$A$1:$Z$1,0)),"")</f>
        <v>3</v>
      </c>
      <c r="AF408" s="65" t="str">
        <f>+IFERROR(INDEX('Restaurant Base (Hidden)'!$A$2:$Z$1048576,MATCH($C408,'Restaurant Base (Hidden)'!$C$2:$C$1048576,0),MATCH(AF$6,'Restaurant Base (Hidden)'!$A$1:$Z$1,0)),"")</f>
        <v>92,40 %</v>
      </c>
      <c r="AG408" s="1">
        <f>+IFERROR(INDEX('Restaurant Base (Hidden)'!$A$2:$Z$1048576,MATCH($C408,'Restaurant Base (Hidden)'!$C$2:$C$1048576,0),MATCH(AG$6,'Restaurant Base (Hidden)'!$A$1:$Z$1,0)),"")</f>
        <v>3</v>
      </c>
    </row>
    <row r="409" spans="1:33" ht="16" customHeight="1" x14ac:dyDescent="0.4">
      <c r="A409" s="163" t="str">
        <f>IF('Restaurant Base (Hidden)'!A405=0,"", 'Restaurant Base (Hidden)'!A405)</f>
        <v>Sage Rosemont</v>
      </c>
      <c r="B409" s="163" t="str">
        <f>IF('Restaurant Base (Hidden)'!B405=0,"", 'Restaurant Base (Hidden)'!B405)</f>
        <v>Oakbridge Restaurant Group</v>
      </c>
      <c r="C409" s="163" t="str">
        <f>IF('Restaurant Base (Hidden)'!C405=0,"", 'Restaurant Base (Hidden)'!C405)</f>
        <v>Fairview Square</v>
      </c>
      <c r="D409" s="104">
        <f t="shared" si="6"/>
        <v>402</v>
      </c>
      <c r="E409" s="105">
        <f>+IFERROR(INDEX('Restaurant Base (Hidden)'!$A$2:$Z$1048576,MATCH($C409,'Restaurant Base (Hidden)'!$C$2:$C$1048576,0),MATCH(E$6,'Restaurant Base (Hidden)'!$A$1:$Z$1,0)),"")</f>
        <v>1.82</v>
      </c>
      <c r="F409" s="2" t="str">
        <f>+IFERROR(INDEX('Restaurant Base (Hidden)'!$A$2:$Z$1048576,MATCH($C409,'Restaurant Base (Hidden)'!$C$2:$C$1048576,0),MATCH(F$6,'Restaurant Base (Hidden)'!$A$1:$Z$1,0)),"")</f>
        <v/>
      </c>
      <c r="G409" s="20" t="str">
        <f>+IFERROR(INDEX('Restaurant Base (Hidden)'!$A$2:$Z$1048576,MATCH($C409,'Restaurant Base (Hidden)'!$C$2:$C$1048576,0),MATCH(G$6,'Restaurant Base (Hidden)'!$A$1:$Z$1,0)),"")</f>
        <v>4,657</v>
      </c>
      <c r="H409" s="50">
        <f>+IFERROR(INDEX('Restaurant Base (Hidden)'!$A$2:$Z$1048576,MATCH($C409,'Restaurant Base (Hidden)'!$C$2:$C$1048576,0),MATCH(H$6,'Restaurant Base (Hidden)'!$A$1:$Z$1,0)),"")</f>
        <v>5</v>
      </c>
      <c r="I409" s="20" t="str">
        <f>+IFERROR(INDEX('Restaurant Base (Hidden)'!$A$2:$Z$1048576,MATCH($C409,'Restaurant Base (Hidden)'!$C$2:$C$1048576,0),MATCH(I$6,'Restaurant Base (Hidden)'!$A$1:$Z$1,0)),"")</f>
        <v>74,80 %</v>
      </c>
      <c r="J409" s="49">
        <f>+IFERROR(INDEX('Restaurant Base (Hidden)'!$A$2:$Z$1048576,MATCH($C409,'Restaurant Base (Hidden)'!$C$2:$C$1048576,0),MATCH(J$6,'Restaurant Base (Hidden)'!$A$1:$Z$1,0)),"")</f>
        <v>1</v>
      </c>
      <c r="K409" s="20" t="str">
        <f>+IFERROR(INDEX('Restaurant Base (Hidden)'!$A$2:$Z$1048576,MATCH($C409,'Restaurant Base (Hidden)'!$C$2:$C$1048576,0),MATCH(K$6,'Restaurant Base (Hidden)'!$A$1:$Z$1,0)),"")</f>
        <v>0,166</v>
      </c>
      <c r="L409" s="51">
        <f>+IFERROR(INDEX('Restaurant Base (Hidden)'!$A$2:$Z$1048576,MATCH($C409,'Restaurant Base (Hidden)'!$C$2:$C$1048576,0),MATCH(L$6,'Restaurant Base (Hidden)'!$A$1:$Z$1,0)),"")</f>
        <v>2</v>
      </c>
      <c r="M409" s="2" t="str">
        <f>+IFERROR(INDEX('Restaurant Base (Hidden)'!$A$2:$Z$1048576,MATCH($C409,'Restaurant Base (Hidden)'!$C$2:$C$1048576,0),MATCH(M$6,'Restaurant Base (Hidden)'!$A$1:$Z$1,0)),"")</f>
        <v/>
      </c>
      <c r="N409" s="234" t="str">
        <f>+IFERROR(INDEX('Restaurant Base (Hidden)'!$A$2:$Z$1048576,MATCH($C409,'Restaurant Base (Hidden)'!$C$2:$C$1048576,0),MATCH(N$6,'Restaurant Base (Hidden)'!$A$1:$Z$1,0)),"")</f>
        <v>55,40 %</v>
      </c>
      <c r="O409" s="1">
        <f>+IFERROR(INDEX('Restaurant Base (Hidden)'!$A$2:$Z$1048576,MATCH($C409,'Restaurant Base (Hidden)'!$C$2:$C$1048576,0),MATCH(O$6,'Restaurant Base (Hidden)'!$A$1:$Z$1,0)),"")</f>
        <v>1</v>
      </c>
      <c r="P409" s="2" t="str">
        <f>+IFERROR(INDEX('Restaurant Base (Hidden)'!$A$2:$Z$1048576,MATCH($C409,'Restaurant Base (Hidden)'!$C$2:$C$1048576,0),MATCH(P$6,'Restaurant Base (Hidden)'!$A$1:$Z$1,0)),"")</f>
        <v/>
      </c>
      <c r="Q409" s="234" t="str">
        <f>+IFERROR(INDEX('Restaurant Base (Hidden)'!$A$2:$Z$1048576,MATCH($C409,'Restaurant Base (Hidden)'!$C$2:$C$1048576,0),MATCH(Q$6,'Restaurant Base (Hidden)'!$A$1:$Z$1,0)),"")</f>
        <v>62,00 %</v>
      </c>
      <c r="R409" s="1">
        <f>+IFERROR(INDEX('Restaurant Base (Hidden)'!$A$2:$Z$1048576,MATCH($C409,'Restaurant Base (Hidden)'!$C$2:$C$1048576,0),MATCH(R$6,'Restaurant Base (Hidden)'!$A$1:$Z$1,0)),"")</f>
        <v>2</v>
      </c>
      <c r="S409" s="2" t="str">
        <f>+IFERROR(INDEX('Restaurant Base (Hidden)'!$A$2:$Z$1048576,MATCH($C409,'Restaurant Base (Hidden)'!$C$2:$C$1048576,0),MATCH(S$6,'Restaurant Base (Hidden)'!$A$1:$Z$1,0)),"")</f>
        <v/>
      </c>
      <c r="T409" s="62">
        <f>+IFERROR(INDEX('Restaurant Base (Hidden)'!$A$2:$Z$1048576,MATCH($C409,'Restaurant Base (Hidden)'!$C$2:$C$1048576,0),MATCH(T$6,'Restaurant Base (Hidden)'!$A$1:$Z$1,0)),"")</f>
        <v>53.2</v>
      </c>
      <c r="U409" s="1">
        <f>+IFERROR(INDEX('Restaurant Base (Hidden)'!$A$2:$Z$1048576,MATCH($C409,'Restaurant Base (Hidden)'!$C$2:$C$1048576,0),MATCH(U$6,'Restaurant Base (Hidden)'!$A$1:$Z$1,0)),"")</f>
        <v>1</v>
      </c>
      <c r="V409" s="2" t="str">
        <f>+IFERROR(INDEX('Restaurant Base (Hidden)'!$A$2:$Z$1048576,MATCH($C409,'Restaurant Base (Hidden)'!$C$2:$C$1048576,0),MATCH(V$6,'Restaurant Base (Hidden)'!$A$1:$Z$1,0)),"")</f>
        <v/>
      </c>
      <c r="W409" s="65" t="str">
        <f>+IFERROR(INDEX('Restaurant Base (Hidden)'!$A$2:$Z$1048576,MATCH($C409,'Restaurant Base (Hidden)'!$C$2:$C$1048576,0),MATCH(W$6,'Restaurant Base (Hidden)'!$A$1:$Z$1,0)),"")</f>
        <v>73,20 %</v>
      </c>
      <c r="X409" s="1">
        <f>+IFERROR(INDEX('Restaurant Base (Hidden)'!$A$2:$Z$1048576,MATCH($C409,'Restaurant Base (Hidden)'!$C$2:$C$1048576,0),MATCH(X$6,'Restaurant Base (Hidden)'!$A$1:$Z$1,0)),"")</f>
        <v>2</v>
      </c>
      <c r="Y409" s="65" t="str">
        <f>+IFERROR(INDEX('Restaurant Base (Hidden)'!$A$2:$Z$1048576,MATCH($C409,'Restaurant Base (Hidden)'!$C$2:$C$1048576,0),MATCH(Y$6,'Restaurant Base (Hidden)'!$A$1:$Z$1,0)),"")</f>
        <v>83,20 %</v>
      </c>
      <c r="Z409" s="106">
        <f>+IFERROR(INDEX('Restaurant Base (Hidden)'!$A$2:$Z$1048576,MATCH($C409,'Restaurant Base (Hidden)'!$C$2:$C$1048576,0),MATCH(Z$6,'Restaurant Base (Hidden)'!$A$1:$Z$1,0)),"")</f>
        <v>3</v>
      </c>
      <c r="AA409" s="65" t="str">
        <f>+IFERROR(INDEX('Restaurant Base (Hidden)'!$A$2:$Z$1048576,MATCH($C409,'Restaurant Base (Hidden)'!$C$2:$C$1048576,0),MATCH(AA$6,'Restaurant Base (Hidden)'!$A$1:$Z$1,0)),"")</f>
        <v>66,00 %</v>
      </c>
      <c r="AB409" s="1">
        <f>+IFERROR(INDEX('Restaurant Base (Hidden)'!$A$2:$Z$1048576,MATCH($C409,'Restaurant Base (Hidden)'!$C$2:$C$1048576,0),MATCH(AB$6,'Restaurant Base (Hidden)'!$A$1:$Z$1,0)),"")</f>
        <v>2</v>
      </c>
      <c r="AC409" s="20" t="str">
        <f>+IFERROR(INDEX('Restaurant Base (Hidden)'!$A$2:$Z$1048576,MATCH($C409,'Restaurant Base (Hidden)'!$C$2:$C$1048576,0),MATCH(AC$6,'Restaurant Base (Hidden)'!$A$1:$Z$1,0)),"")</f>
        <v/>
      </c>
      <c r="AD409" s="65" t="str">
        <f>+IFERROR(INDEX('Restaurant Base (Hidden)'!$A$2:$Z$1048576,MATCH($C409,'Restaurant Base (Hidden)'!$C$2:$C$1048576,0),MATCH(AD$6,'Restaurant Base (Hidden)'!$A$1:$Z$1,0)),"")</f>
        <v>73,20 %</v>
      </c>
      <c r="AE409" s="1">
        <f>+IFERROR(INDEX('Restaurant Base (Hidden)'!$A$2:$Z$1048576,MATCH($C409,'Restaurant Base (Hidden)'!$C$2:$C$1048576,0),MATCH(AE$6,'Restaurant Base (Hidden)'!$A$1:$Z$1,0)),"")</f>
        <v>2</v>
      </c>
      <c r="AF409" s="65" t="str">
        <f>+IFERROR(INDEX('Restaurant Base (Hidden)'!$A$2:$Z$1048576,MATCH($C409,'Restaurant Base (Hidden)'!$C$2:$C$1048576,0),MATCH(AF$6,'Restaurant Base (Hidden)'!$A$1:$Z$1,0)),"")</f>
        <v>64,90 %</v>
      </c>
      <c r="AG409" s="1">
        <f>+IFERROR(INDEX('Restaurant Base (Hidden)'!$A$2:$Z$1048576,MATCH($C409,'Restaurant Base (Hidden)'!$C$2:$C$1048576,0),MATCH(AG$6,'Restaurant Base (Hidden)'!$A$1:$Z$1,0)),"")</f>
        <v>1</v>
      </c>
    </row>
    <row r="410" spans="1:33" ht="16" customHeight="1" x14ac:dyDescent="0.4">
      <c r="A410" s="163" t="str">
        <f>IF('Restaurant Base (Hidden)'!A251=0,"", 'Restaurant Base (Hidden)'!A251)</f>
        <v>Riley Wellington</v>
      </c>
      <c r="B410" s="163" t="str">
        <f>IF('Restaurant Base (Hidden)'!B251=0,"", 'Restaurant Base (Hidden)'!B251)</f>
        <v>Harborline Dining</v>
      </c>
      <c r="C410" s="163" t="str">
        <f>IF('Restaurant Base (Hidden)'!C251=0,"", 'Restaurant Base (Hidden)'!C251)</f>
        <v>Westmere Heights</v>
      </c>
      <c r="D410" s="104">
        <f t="shared" si="6"/>
        <v>404</v>
      </c>
      <c r="E410" s="105">
        <f>+IFERROR(INDEX('Restaurant Base (Hidden)'!$A$2:$Z$1048576,MATCH($C410,'Restaurant Base (Hidden)'!$C$2:$C$1048576,0),MATCH(E$6,'Restaurant Base (Hidden)'!$A$1:$Z$1,0)),"")</f>
        <v>1.47</v>
      </c>
      <c r="F410" s="2" t="str">
        <f>+IFERROR(INDEX('Restaurant Base (Hidden)'!$A$2:$Z$1048576,MATCH($C410,'Restaurant Base (Hidden)'!$C$2:$C$1048576,0),MATCH(F$6,'Restaurant Base (Hidden)'!$A$1:$Z$1,0)),"")</f>
        <v/>
      </c>
      <c r="G410" s="20" t="str">
        <f>+IFERROR(INDEX('Restaurant Base (Hidden)'!$A$2:$Z$1048576,MATCH($C410,'Restaurant Base (Hidden)'!$C$2:$C$1048576,0),MATCH(G$6,'Restaurant Base (Hidden)'!$A$1:$Z$1,0)),"")</f>
        <v>4,146</v>
      </c>
      <c r="H410" s="50">
        <f>+IFERROR(INDEX('Restaurant Base (Hidden)'!$A$2:$Z$1048576,MATCH($C410,'Restaurant Base (Hidden)'!$C$2:$C$1048576,0),MATCH(H$6,'Restaurant Base (Hidden)'!$A$1:$Z$1,0)),"")</f>
        <v>2</v>
      </c>
      <c r="I410" s="20" t="str">
        <f>+IFERROR(INDEX('Restaurant Base (Hidden)'!$A$2:$Z$1048576,MATCH($C410,'Restaurant Base (Hidden)'!$C$2:$C$1048576,0),MATCH(I$6,'Restaurant Base (Hidden)'!$A$1:$Z$1,0)),"")</f>
        <v>67,40 %</v>
      </c>
      <c r="J410" s="49">
        <f>+IFERROR(INDEX('Restaurant Base (Hidden)'!$A$2:$Z$1048576,MATCH($C410,'Restaurant Base (Hidden)'!$C$2:$C$1048576,0),MATCH(J$6,'Restaurant Base (Hidden)'!$A$1:$Z$1,0)),"")</f>
        <v>1</v>
      </c>
      <c r="K410" s="20" t="str">
        <f>+IFERROR(INDEX('Restaurant Base (Hidden)'!$A$2:$Z$1048576,MATCH($C410,'Restaurant Base (Hidden)'!$C$2:$C$1048576,0),MATCH(K$6,'Restaurant Base (Hidden)'!$A$1:$Z$1,0)),"")</f>
        <v>0,183</v>
      </c>
      <c r="L410" s="51">
        <f>+IFERROR(INDEX('Restaurant Base (Hidden)'!$A$2:$Z$1048576,MATCH($C410,'Restaurant Base (Hidden)'!$C$2:$C$1048576,0),MATCH(L$6,'Restaurant Base (Hidden)'!$A$1:$Z$1,0)),"")</f>
        <v>1</v>
      </c>
      <c r="M410" s="2" t="str">
        <f>+IFERROR(INDEX('Restaurant Base (Hidden)'!$A$2:$Z$1048576,MATCH($C410,'Restaurant Base (Hidden)'!$C$2:$C$1048576,0),MATCH(M$6,'Restaurant Base (Hidden)'!$A$1:$Z$1,0)),"")</f>
        <v/>
      </c>
      <c r="N410" s="234" t="str">
        <f>+IFERROR(INDEX('Restaurant Base (Hidden)'!$A$2:$Z$1048576,MATCH($C410,'Restaurant Base (Hidden)'!$C$2:$C$1048576,0),MATCH(N$6,'Restaurant Base (Hidden)'!$A$1:$Z$1,0)),"")</f>
        <v>55,70 %</v>
      </c>
      <c r="O410" s="1">
        <f>+IFERROR(INDEX('Restaurant Base (Hidden)'!$A$2:$Z$1048576,MATCH($C410,'Restaurant Base (Hidden)'!$C$2:$C$1048576,0),MATCH(O$6,'Restaurant Base (Hidden)'!$A$1:$Z$1,0)),"")</f>
        <v>1</v>
      </c>
      <c r="P410" s="2" t="str">
        <f>+IFERROR(INDEX('Restaurant Base (Hidden)'!$A$2:$Z$1048576,MATCH($C410,'Restaurant Base (Hidden)'!$C$2:$C$1048576,0),MATCH(P$6,'Restaurant Base (Hidden)'!$A$1:$Z$1,0)),"")</f>
        <v/>
      </c>
      <c r="Q410" s="234" t="str">
        <f>+IFERROR(INDEX('Restaurant Base (Hidden)'!$A$2:$Z$1048576,MATCH($C410,'Restaurant Base (Hidden)'!$C$2:$C$1048576,0),MATCH(Q$6,'Restaurant Base (Hidden)'!$A$1:$Z$1,0)),"")</f>
        <v>62,80 %</v>
      </c>
      <c r="R410" s="1">
        <f>+IFERROR(INDEX('Restaurant Base (Hidden)'!$A$2:$Z$1048576,MATCH($C410,'Restaurant Base (Hidden)'!$C$2:$C$1048576,0),MATCH(R$6,'Restaurant Base (Hidden)'!$A$1:$Z$1,0)),"")</f>
        <v>2</v>
      </c>
      <c r="S410" s="2" t="str">
        <f>+IFERROR(INDEX('Restaurant Base (Hidden)'!$A$2:$Z$1048576,MATCH($C410,'Restaurant Base (Hidden)'!$C$2:$C$1048576,0),MATCH(S$6,'Restaurant Base (Hidden)'!$A$1:$Z$1,0)),"")</f>
        <v/>
      </c>
      <c r="T410" s="62">
        <f>+IFERROR(INDEX('Restaurant Base (Hidden)'!$A$2:$Z$1048576,MATCH($C410,'Restaurant Base (Hidden)'!$C$2:$C$1048576,0),MATCH(T$6,'Restaurant Base (Hidden)'!$A$1:$Z$1,0)),"")</f>
        <v>54.1</v>
      </c>
      <c r="U410" s="1">
        <f>+IFERROR(INDEX('Restaurant Base (Hidden)'!$A$2:$Z$1048576,MATCH($C410,'Restaurant Base (Hidden)'!$C$2:$C$1048576,0),MATCH(U$6,'Restaurant Base (Hidden)'!$A$1:$Z$1,0)),"")</f>
        <v>1</v>
      </c>
      <c r="V410" s="2" t="str">
        <f>+IFERROR(INDEX('Restaurant Base (Hidden)'!$A$2:$Z$1048576,MATCH($C410,'Restaurant Base (Hidden)'!$C$2:$C$1048576,0),MATCH(V$6,'Restaurant Base (Hidden)'!$A$1:$Z$1,0)),"")</f>
        <v/>
      </c>
      <c r="W410" s="65" t="str">
        <f>+IFERROR(INDEX('Restaurant Base (Hidden)'!$A$2:$Z$1048576,MATCH($C410,'Restaurant Base (Hidden)'!$C$2:$C$1048576,0),MATCH(W$6,'Restaurant Base (Hidden)'!$A$1:$Z$1,0)),"")</f>
        <v>59,20 %</v>
      </c>
      <c r="X410" s="1">
        <f>+IFERROR(INDEX('Restaurant Base (Hidden)'!$A$2:$Z$1048576,MATCH($C410,'Restaurant Base (Hidden)'!$C$2:$C$1048576,0),MATCH(X$6,'Restaurant Base (Hidden)'!$A$1:$Z$1,0)),"")</f>
        <v>1</v>
      </c>
      <c r="Y410" s="65" t="str">
        <f>+IFERROR(INDEX('Restaurant Base (Hidden)'!$A$2:$Z$1048576,MATCH($C410,'Restaurant Base (Hidden)'!$C$2:$C$1048576,0),MATCH(Y$6,'Restaurant Base (Hidden)'!$A$1:$Z$1,0)),"")</f>
        <v>87,10 %</v>
      </c>
      <c r="Z410" s="106">
        <f>+IFERROR(INDEX('Restaurant Base (Hidden)'!$A$2:$Z$1048576,MATCH($C410,'Restaurant Base (Hidden)'!$C$2:$C$1048576,0),MATCH(Z$6,'Restaurant Base (Hidden)'!$A$1:$Z$1,0)),"")</f>
        <v>3</v>
      </c>
      <c r="AA410" s="65" t="str">
        <f>+IFERROR(INDEX('Restaurant Base (Hidden)'!$A$2:$Z$1048576,MATCH($C410,'Restaurant Base (Hidden)'!$C$2:$C$1048576,0),MATCH(AA$6,'Restaurant Base (Hidden)'!$A$1:$Z$1,0)),"")</f>
        <v>80,30 %</v>
      </c>
      <c r="AB410" s="1">
        <f>+IFERROR(INDEX('Restaurant Base (Hidden)'!$A$2:$Z$1048576,MATCH($C410,'Restaurant Base (Hidden)'!$C$2:$C$1048576,0),MATCH(AB$6,'Restaurant Base (Hidden)'!$A$1:$Z$1,0)),"")</f>
        <v>2</v>
      </c>
      <c r="AC410" s="20" t="str">
        <f>+IFERROR(INDEX('Restaurant Base (Hidden)'!$A$2:$Z$1048576,MATCH($C410,'Restaurant Base (Hidden)'!$C$2:$C$1048576,0),MATCH(AC$6,'Restaurant Base (Hidden)'!$A$1:$Z$1,0)),"")</f>
        <v/>
      </c>
      <c r="AD410" s="65" t="str">
        <f>+IFERROR(INDEX('Restaurant Base (Hidden)'!$A$2:$Z$1048576,MATCH($C410,'Restaurant Base (Hidden)'!$C$2:$C$1048576,0),MATCH(AD$6,'Restaurant Base (Hidden)'!$A$1:$Z$1,0)),"")</f>
        <v>72,90 %</v>
      </c>
      <c r="AE410" s="1">
        <f>+IFERROR(INDEX('Restaurant Base (Hidden)'!$A$2:$Z$1048576,MATCH($C410,'Restaurant Base (Hidden)'!$C$2:$C$1048576,0),MATCH(AE$6,'Restaurant Base (Hidden)'!$A$1:$Z$1,0)),"")</f>
        <v>2</v>
      </c>
      <c r="AF410" s="65" t="str">
        <f>+IFERROR(INDEX('Restaurant Base (Hidden)'!$A$2:$Z$1048576,MATCH($C410,'Restaurant Base (Hidden)'!$C$2:$C$1048576,0),MATCH(AF$6,'Restaurant Base (Hidden)'!$A$1:$Z$1,0)),"")</f>
        <v>63,30 %</v>
      </c>
      <c r="AG410" s="1">
        <f>+IFERROR(INDEX('Restaurant Base (Hidden)'!$A$2:$Z$1048576,MATCH($C410,'Restaurant Base (Hidden)'!$C$2:$C$1048576,0),MATCH(AG$6,'Restaurant Base (Hidden)'!$A$1:$Z$1,0)),"")</f>
        <v>1</v>
      </c>
    </row>
    <row r="411" spans="1:33" ht="16" customHeight="1" x14ac:dyDescent="0.4">
      <c r="A411" s="163" t="str">
        <f>IF('Restaurant Base (Hidden)'!A406=0,"", 'Restaurant Base (Hidden)'!A406)</f>
        <v/>
      </c>
      <c r="B411" s="163" t="str">
        <f>IF('Restaurant Base (Hidden)'!B406=0,"", 'Restaurant Base (Hidden)'!B406)</f>
        <v/>
      </c>
      <c r="C411" s="163" t="str">
        <f>IF('Restaurant Base (Hidden)'!C406=0,"", 'Restaurant Base (Hidden)'!C406)</f>
        <v/>
      </c>
      <c r="D411" s="104" t="str">
        <f t="shared" si="6"/>
        <v/>
      </c>
      <c r="E411" s="105" t="str">
        <f>+IFERROR(INDEX('Restaurant Base (Hidden)'!$A$2:$Z$1048576,MATCH($C411,'Restaurant Base (Hidden)'!$C$2:$C$1048576,0),MATCH(E$6,'Restaurant Base (Hidden)'!$A$1:$Z$1,0)),"")</f>
        <v/>
      </c>
      <c r="F411" s="2" t="str">
        <f>+IFERROR(INDEX('Restaurant Base (Hidden)'!$A$2:$Z$1048576,MATCH($C411,'Restaurant Base (Hidden)'!$C$2:$C$1048576,0),MATCH(F$6,'Restaurant Base (Hidden)'!$A$1:$Z$1,0)),"")</f>
        <v/>
      </c>
      <c r="G411" s="20" t="str">
        <f>+IFERROR(INDEX('Restaurant Base (Hidden)'!$A$2:$Z$1048576,MATCH($C411,'Restaurant Base (Hidden)'!$C$2:$C$1048576,0),MATCH(G$6,'Restaurant Base (Hidden)'!$A$1:$Z$1,0)),"")</f>
        <v/>
      </c>
      <c r="H411" s="50" t="str">
        <f>+IFERROR(INDEX('Restaurant Base (Hidden)'!$A$2:$Z$1048576,MATCH($C411,'Restaurant Base (Hidden)'!$C$2:$C$1048576,0),MATCH(H$6,'Restaurant Base (Hidden)'!$A$1:$Z$1,0)),"")</f>
        <v/>
      </c>
      <c r="I411" s="20" t="str">
        <f>+IFERROR(INDEX('Restaurant Base (Hidden)'!$A$2:$Z$1048576,MATCH($C411,'Restaurant Base (Hidden)'!$C$2:$C$1048576,0),MATCH(I$6,'Restaurant Base (Hidden)'!$A$1:$Z$1,0)),"")</f>
        <v/>
      </c>
      <c r="J411" s="49" t="str">
        <f>+IFERROR(INDEX('Restaurant Base (Hidden)'!$A$2:$Z$1048576,MATCH($C411,'Restaurant Base (Hidden)'!$C$2:$C$1048576,0),MATCH(J$6,'Restaurant Base (Hidden)'!$A$1:$Z$1,0)),"")</f>
        <v/>
      </c>
      <c r="K411" s="20" t="str">
        <f>+IFERROR(INDEX('Restaurant Base (Hidden)'!$A$2:$Z$1048576,MATCH($C411,'Restaurant Base (Hidden)'!$C$2:$C$1048576,0),MATCH(K$6,'Restaurant Base (Hidden)'!$A$1:$Z$1,0)),"")</f>
        <v/>
      </c>
      <c r="L411" s="51" t="str">
        <f>+IFERROR(INDEX('Restaurant Base (Hidden)'!$A$2:$Z$1048576,MATCH($C411,'Restaurant Base (Hidden)'!$C$2:$C$1048576,0),MATCH(L$6,'Restaurant Base (Hidden)'!$A$1:$Z$1,0)),"")</f>
        <v/>
      </c>
      <c r="M411" s="2" t="str">
        <f>+IFERROR(INDEX('Restaurant Base (Hidden)'!$A$2:$Z$1048576,MATCH($C411,'Restaurant Base (Hidden)'!$C$2:$C$1048576,0),MATCH(M$6,'Restaurant Base (Hidden)'!$A$1:$Z$1,0)),"")</f>
        <v/>
      </c>
      <c r="N411" s="234" t="str">
        <f>+IFERROR(INDEX('Restaurant Base (Hidden)'!$A$2:$Z$1048576,MATCH($C411,'Restaurant Base (Hidden)'!$C$2:$C$1048576,0),MATCH(N$6,'Restaurant Base (Hidden)'!$A$1:$Z$1,0)),"")</f>
        <v/>
      </c>
      <c r="O411" s="1" t="str">
        <f>+IFERROR(INDEX('Restaurant Base (Hidden)'!$A$2:$Z$1048576,MATCH($C411,'Restaurant Base (Hidden)'!$C$2:$C$1048576,0),MATCH(O$6,'Restaurant Base (Hidden)'!$A$1:$Z$1,0)),"")</f>
        <v/>
      </c>
      <c r="P411" s="2" t="str">
        <f>+IFERROR(INDEX('Restaurant Base (Hidden)'!$A$2:$Z$1048576,MATCH($C411,'Restaurant Base (Hidden)'!$C$2:$C$1048576,0),MATCH(P$6,'Restaurant Base (Hidden)'!$A$1:$Z$1,0)),"")</f>
        <v/>
      </c>
      <c r="Q411" s="234" t="str">
        <f>+IFERROR(INDEX('Restaurant Base (Hidden)'!$A$2:$Z$1048576,MATCH($C411,'Restaurant Base (Hidden)'!$C$2:$C$1048576,0),MATCH(Q$6,'Restaurant Base (Hidden)'!$A$1:$Z$1,0)),"")</f>
        <v/>
      </c>
      <c r="R411" s="1" t="str">
        <f>+IFERROR(INDEX('Restaurant Base (Hidden)'!$A$2:$Z$1048576,MATCH($C411,'Restaurant Base (Hidden)'!$C$2:$C$1048576,0),MATCH(R$6,'Restaurant Base (Hidden)'!$A$1:$Z$1,0)),"")</f>
        <v/>
      </c>
      <c r="S411" s="2" t="str">
        <f>+IFERROR(INDEX('Restaurant Base (Hidden)'!$A$2:$Z$1048576,MATCH($C411,'Restaurant Base (Hidden)'!$C$2:$C$1048576,0),MATCH(S$6,'Restaurant Base (Hidden)'!$A$1:$Z$1,0)),"")</f>
        <v/>
      </c>
      <c r="T411" s="62" t="str">
        <f>+IFERROR(INDEX('Restaurant Base (Hidden)'!$A$2:$Z$1048576,MATCH($C411,'Restaurant Base (Hidden)'!$C$2:$C$1048576,0),MATCH(T$6,'Restaurant Base (Hidden)'!$A$1:$Z$1,0)),"")</f>
        <v/>
      </c>
      <c r="U411" s="1" t="str">
        <f>+IFERROR(INDEX('Restaurant Base (Hidden)'!$A$2:$Z$1048576,MATCH($C411,'Restaurant Base (Hidden)'!$C$2:$C$1048576,0),MATCH(U$6,'Restaurant Base (Hidden)'!$A$1:$Z$1,0)),"")</f>
        <v/>
      </c>
      <c r="V411" s="2" t="str">
        <f>+IFERROR(INDEX('Restaurant Base (Hidden)'!$A$2:$Z$1048576,MATCH($C411,'Restaurant Base (Hidden)'!$C$2:$C$1048576,0),MATCH(V$6,'Restaurant Base (Hidden)'!$A$1:$Z$1,0)),"")</f>
        <v/>
      </c>
      <c r="W411" s="65" t="str">
        <f>+IFERROR(INDEX('Restaurant Base (Hidden)'!$A$2:$Z$1048576,MATCH($C411,'Restaurant Base (Hidden)'!$C$2:$C$1048576,0),MATCH(W$6,'Restaurant Base (Hidden)'!$A$1:$Z$1,0)),"")</f>
        <v/>
      </c>
      <c r="X411" s="1" t="str">
        <f>+IFERROR(INDEX('Restaurant Base (Hidden)'!$A$2:$Z$1048576,MATCH($C411,'Restaurant Base (Hidden)'!$C$2:$C$1048576,0),MATCH(X$6,'Restaurant Base (Hidden)'!$A$1:$Z$1,0)),"")</f>
        <v/>
      </c>
      <c r="Y411" s="65" t="str">
        <f>+IFERROR(INDEX('Restaurant Base (Hidden)'!$A$2:$Z$1048576,MATCH($C411,'Restaurant Base (Hidden)'!$C$2:$C$1048576,0),MATCH(Y$6,'Restaurant Base (Hidden)'!$A$1:$Z$1,0)),"")</f>
        <v/>
      </c>
      <c r="Z411" s="106" t="str">
        <f>+IFERROR(INDEX('Restaurant Base (Hidden)'!$A$2:$Z$1048576,MATCH($C411,'Restaurant Base (Hidden)'!$C$2:$C$1048576,0),MATCH(Z$6,'Restaurant Base (Hidden)'!$A$1:$Z$1,0)),"")</f>
        <v/>
      </c>
      <c r="AA411" s="65" t="str">
        <f>+IFERROR(INDEX('Restaurant Base (Hidden)'!$A$2:$Z$1048576,MATCH($C411,'Restaurant Base (Hidden)'!$C$2:$C$1048576,0),MATCH(AA$6,'Restaurant Base (Hidden)'!$A$1:$Z$1,0)),"")</f>
        <v/>
      </c>
      <c r="AB411" s="1" t="str">
        <f>+IFERROR(INDEX('Restaurant Base (Hidden)'!$A$2:$Z$1048576,MATCH($C411,'Restaurant Base (Hidden)'!$C$2:$C$1048576,0),MATCH(AB$6,'Restaurant Base (Hidden)'!$A$1:$Z$1,0)),"")</f>
        <v/>
      </c>
      <c r="AC411" s="20" t="str">
        <f>+IFERROR(INDEX('Restaurant Base (Hidden)'!$A$2:$Z$1048576,MATCH($C411,'Restaurant Base (Hidden)'!$C$2:$C$1048576,0),MATCH(AC$6,'Restaurant Base (Hidden)'!$A$1:$Z$1,0)),"")</f>
        <v/>
      </c>
      <c r="AD411" s="65" t="str">
        <f>+IFERROR(INDEX('Restaurant Base (Hidden)'!$A$2:$Z$1048576,MATCH($C411,'Restaurant Base (Hidden)'!$C$2:$C$1048576,0),MATCH(AD$6,'Restaurant Base (Hidden)'!$A$1:$Z$1,0)),"")</f>
        <v/>
      </c>
      <c r="AE411" s="1" t="str">
        <f>+IFERROR(INDEX('Restaurant Base (Hidden)'!$A$2:$Z$1048576,MATCH($C411,'Restaurant Base (Hidden)'!$C$2:$C$1048576,0),MATCH(AE$6,'Restaurant Base (Hidden)'!$A$1:$Z$1,0)),"")</f>
        <v/>
      </c>
      <c r="AF411" s="65" t="str">
        <f>+IFERROR(INDEX('Restaurant Base (Hidden)'!$A$2:$Z$1048576,MATCH($C411,'Restaurant Base (Hidden)'!$C$2:$C$1048576,0),MATCH(AF$6,'Restaurant Base (Hidden)'!$A$1:$Z$1,0)),"")</f>
        <v/>
      </c>
      <c r="AG411" s="1" t="str">
        <f>+IFERROR(INDEX('Restaurant Base (Hidden)'!$A$2:$Z$1048576,MATCH($C411,'Restaurant Base (Hidden)'!$C$2:$C$1048576,0),MATCH(AG$6,'Restaurant Base (Hidden)'!$A$1:$Z$1,0)),"")</f>
        <v/>
      </c>
    </row>
    <row r="412" spans="1:33" ht="16" customHeight="1" x14ac:dyDescent="0.4">
      <c r="A412" s="163" t="str">
        <f>IF('Restaurant Base (Hidden)'!A407=0,"", 'Restaurant Base (Hidden)'!A407)</f>
        <v/>
      </c>
      <c r="B412" s="163" t="str">
        <f>IF('Restaurant Base (Hidden)'!B407=0,"", 'Restaurant Base (Hidden)'!B407)</f>
        <v/>
      </c>
      <c r="C412" s="163" t="str">
        <f>IF('Restaurant Base (Hidden)'!C407=0,"", 'Restaurant Base (Hidden)'!C407)</f>
        <v/>
      </c>
      <c r="D412" s="104" t="str">
        <f t="shared" si="6"/>
        <v/>
      </c>
      <c r="E412" s="105" t="str">
        <f>+IFERROR(INDEX('Restaurant Base (Hidden)'!$A$2:$Z$1048576,MATCH($C412,'Restaurant Base (Hidden)'!$C$2:$C$1048576,0),MATCH(E$6,'Restaurant Base (Hidden)'!$A$1:$Z$1,0)),"")</f>
        <v/>
      </c>
      <c r="F412" s="2" t="str">
        <f>+IFERROR(INDEX('Restaurant Base (Hidden)'!$A$2:$Z$1048576,MATCH($C412,'Restaurant Base (Hidden)'!$C$2:$C$1048576,0),MATCH(F$6,'Restaurant Base (Hidden)'!$A$1:$Z$1,0)),"")</f>
        <v/>
      </c>
      <c r="G412" s="20" t="str">
        <f>+IFERROR(INDEX('Restaurant Base (Hidden)'!$A$2:$Z$1048576,MATCH($C412,'Restaurant Base (Hidden)'!$C$2:$C$1048576,0),MATCH(G$6,'Restaurant Base (Hidden)'!$A$1:$Z$1,0)),"")</f>
        <v/>
      </c>
      <c r="H412" s="50" t="str">
        <f>+IFERROR(INDEX('Restaurant Base (Hidden)'!$A$2:$Z$1048576,MATCH($C412,'Restaurant Base (Hidden)'!$C$2:$C$1048576,0),MATCH(H$6,'Restaurant Base (Hidden)'!$A$1:$Z$1,0)),"")</f>
        <v/>
      </c>
      <c r="I412" s="20" t="str">
        <f>+IFERROR(INDEX('Restaurant Base (Hidden)'!$A$2:$Z$1048576,MATCH($C412,'Restaurant Base (Hidden)'!$C$2:$C$1048576,0),MATCH(I$6,'Restaurant Base (Hidden)'!$A$1:$Z$1,0)),"")</f>
        <v/>
      </c>
      <c r="J412" s="49" t="str">
        <f>+IFERROR(INDEX('Restaurant Base (Hidden)'!$A$2:$Z$1048576,MATCH($C412,'Restaurant Base (Hidden)'!$C$2:$C$1048576,0),MATCH(J$6,'Restaurant Base (Hidden)'!$A$1:$Z$1,0)),"")</f>
        <v/>
      </c>
      <c r="K412" s="20" t="str">
        <f>+IFERROR(INDEX('Restaurant Base (Hidden)'!$A$2:$Z$1048576,MATCH($C412,'Restaurant Base (Hidden)'!$C$2:$C$1048576,0),MATCH(K$6,'Restaurant Base (Hidden)'!$A$1:$Z$1,0)),"")</f>
        <v/>
      </c>
      <c r="L412" s="51" t="str">
        <f>+IFERROR(INDEX('Restaurant Base (Hidden)'!$A$2:$Z$1048576,MATCH($C412,'Restaurant Base (Hidden)'!$C$2:$C$1048576,0),MATCH(L$6,'Restaurant Base (Hidden)'!$A$1:$Z$1,0)),"")</f>
        <v/>
      </c>
      <c r="M412" s="2" t="str">
        <f>+IFERROR(INDEX('Restaurant Base (Hidden)'!$A$2:$Z$1048576,MATCH($C412,'Restaurant Base (Hidden)'!$C$2:$C$1048576,0),MATCH(M$6,'Restaurant Base (Hidden)'!$A$1:$Z$1,0)),"")</f>
        <v/>
      </c>
      <c r="N412" s="234" t="str">
        <f>+IFERROR(INDEX('Restaurant Base (Hidden)'!$A$2:$Z$1048576,MATCH($C412,'Restaurant Base (Hidden)'!$C$2:$C$1048576,0),MATCH(N$6,'Restaurant Base (Hidden)'!$A$1:$Z$1,0)),"")</f>
        <v/>
      </c>
      <c r="O412" s="1" t="str">
        <f>+IFERROR(INDEX('Restaurant Base (Hidden)'!$A$2:$Z$1048576,MATCH($C412,'Restaurant Base (Hidden)'!$C$2:$C$1048576,0),MATCH(O$6,'Restaurant Base (Hidden)'!$A$1:$Z$1,0)),"")</f>
        <v/>
      </c>
      <c r="P412" s="2" t="str">
        <f>+IFERROR(INDEX('Restaurant Base (Hidden)'!$A$2:$Z$1048576,MATCH($C412,'Restaurant Base (Hidden)'!$C$2:$C$1048576,0),MATCH(P$6,'Restaurant Base (Hidden)'!$A$1:$Z$1,0)),"")</f>
        <v/>
      </c>
      <c r="Q412" s="234" t="str">
        <f>+IFERROR(INDEX('Restaurant Base (Hidden)'!$A$2:$Z$1048576,MATCH($C412,'Restaurant Base (Hidden)'!$C$2:$C$1048576,0),MATCH(Q$6,'Restaurant Base (Hidden)'!$A$1:$Z$1,0)),"")</f>
        <v/>
      </c>
      <c r="R412" s="1" t="str">
        <f>+IFERROR(INDEX('Restaurant Base (Hidden)'!$A$2:$Z$1048576,MATCH($C412,'Restaurant Base (Hidden)'!$C$2:$C$1048576,0),MATCH(R$6,'Restaurant Base (Hidden)'!$A$1:$Z$1,0)),"")</f>
        <v/>
      </c>
      <c r="S412" s="2" t="str">
        <f>+IFERROR(INDEX('Restaurant Base (Hidden)'!$A$2:$Z$1048576,MATCH($C412,'Restaurant Base (Hidden)'!$C$2:$C$1048576,0),MATCH(S$6,'Restaurant Base (Hidden)'!$A$1:$Z$1,0)),"")</f>
        <v/>
      </c>
      <c r="T412" s="62" t="str">
        <f>+IFERROR(INDEX('Restaurant Base (Hidden)'!$A$2:$Z$1048576,MATCH($C412,'Restaurant Base (Hidden)'!$C$2:$C$1048576,0),MATCH(T$6,'Restaurant Base (Hidden)'!$A$1:$Z$1,0)),"")</f>
        <v/>
      </c>
      <c r="U412" s="1" t="str">
        <f>+IFERROR(INDEX('Restaurant Base (Hidden)'!$A$2:$Z$1048576,MATCH($C412,'Restaurant Base (Hidden)'!$C$2:$C$1048576,0),MATCH(U$6,'Restaurant Base (Hidden)'!$A$1:$Z$1,0)),"")</f>
        <v/>
      </c>
      <c r="V412" s="2" t="str">
        <f>+IFERROR(INDEX('Restaurant Base (Hidden)'!$A$2:$Z$1048576,MATCH($C412,'Restaurant Base (Hidden)'!$C$2:$C$1048576,0),MATCH(V$6,'Restaurant Base (Hidden)'!$A$1:$Z$1,0)),"")</f>
        <v/>
      </c>
      <c r="W412" s="65" t="str">
        <f>+IFERROR(INDEX('Restaurant Base (Hidden)'!$A$2:$Z$1048576,MATCH($C412,'Restaurant Base (Hidden)'!$C$2:$C$1048576,0),MATCH(W$6,'Restaurant Base (Hidden)'!$A$1:$Z$1,0)),"")</f>
        <v/>
      </c>
      <c r="X412" s="1" t="str">
        <f>+IFERROR(INDEX('Restaurant Base (Hidden)'!$A$2:$Z$1048576,MATCH($C412,'Restaurant Base (Hidden)'!$C$2:$C$1048576,0),MATCH(X$6,'Restaurant Base (Hidden)'!$A$1:$Z$1,0)),"")</f>
        <v/>
      </c>
      <c r="Y412" s="65" t="str">
        <f>+IFERROR(INDEX('Restaurant Base (Hidden)'!$A$2:$Z$1048576,MATCH($C412,'Restaurant Base (Hidden)'!$C$2:$C$1048576,0),MATCH(Y$6,'Restaurant Base (Hidden)'!$A$1:$Z$1,0)),"")</f>
        <v/>
      </c>
      <c r="Z412" s="106" t="str">
        <f>+IFERROR(INDEX('Restaurant Base (Hidden)'!$A$2:$Z$1048576,MATCH($C412,'Restaurant Base (Hidden)'!$C$2:$C$1048576,0),MATCH(Z$6,'Restaurant Base (Hidden)'!$A$1:$Z$1,0)),"")</f>
        <v/>
      </c>
      <c r="AA412" s="65" t="str">
        <f>+IFERROR(INDEX('Restaurant Base (Hidden)'!$A$2:$Z$1048576,MATCH($C412,'Restaurant Base (Hidden)'!$C$2:$C$1048576,0),MATCH(AA$6,'Restaurant Base (Hidden)'!$A$1:$Z$1,0)),"")</f>
        <v/>
      </c>
      <c r="AB412" s="1" t="str">
        <f>+IFERROR(INDEX('Restaurant Base (Hidden)'!$A$2:$Z$1048576,MATCH($C412,'Restaurant Base (Hidden)'!$C$2:$C$1048576,0),MATCH(AB$6,'Restaurant Base (Hidden)'!$A$1:$Z$1,0)),"")</f>
        <v/>
      </c>
      <c r="AC412" s="20" t="str">
        <f>+IFERROR(INDEX('Restaurant Base (Hidden)'!$A$2:$Z$1048576,MATCH($C412,'Restaurant Base (Hidden)'!$C$2:$C$1048576,0),MATCH(AC$6,'Restaurant Base (Hidden)'!$A$1:$Z$1,0)),"")</f>
        <v/>
      </c>
      <c r="AD412" s="65" t="str">
        <f>+IFERROR(INDEX('Restaurant Base (Hidden)'!$A$2:$Z$1048576,MATCH($C412,'Restaurant Base (Hidden)'!$C$2:$C$1048576,0),MATCH(AD$6,'Restaurant Base (Hidden)'!$A$1:$Z$1,0)),"")</f>
        <v/>
      </c>
      <c r="AE412" s="1" t="str">
        <f>+IFERROR(INDEX('Restaurant Base (Hidden)'!$A$2:$Z$1048576,MATCH($C412,'Restaurant Base (Hidden)'!$C$2:$C$1048576,0),MATCH(AE$6,'Restaurant Base (Hidden)'!$A$1:$Z$1,0)),"")</f>
        <v/>
      </c>
      <c r="AF412" s="65" t="str">
        <f>+IFERROR(INDEX('Restaurant Base (Hidden)'!$A$2:$Z$1048576,MATCH($C412,'Restaurant Base (Hidden)'!$C$2:$C$1048576,0),MATCH(AF$6,'Restaurant Base (Hidden)'!$A$1:$Z$1,0)),"")</f>
        <v/>
      </c>
      <c r="AG412" s="1" t="str">
        <f>+IFERROR(INDEX('Restaurant Base (Hidden)'!$A$2:$Z$1048576,MATCH($C412,'Restaurant Base (Hidden)'!$C$2:$C$1048576,0),MATCH(AG$6,'Restaurant Base (Hidden)'!$A$1:$Z$1,0)),"")</f>
        <v/>
      </c>
    </row>
    <row r="413" spans="1:33" ht="16" customHeight="1" x14ac:dyDescent="0.4">
      <c r="A413" s="163" t="str">
        <f>IF('Restaurant Base (Hidden)'!A408=0,"", 'Restaurant Base (Hidden)'!A408)</f>
        <v/>
      </c>
      <c r="B413" s="163" t="str">
        <f>IF('Restaurant Base (Hidden)'!B408=0,"", 'Restaurant Base (Hidden)'!B408)</f>
        <v/>
      </c>
      <c r="C413" s="163" t="str">
        <f>IF('Restaurant Base (Hidden)'!C408=0,"", 'Restaurant Base (Hidden)'!C408)</f>
        <v/>
      </c>
      <c r="D413" s="104" t="str">
        <f t="shared" si="6"/>
        <v/>
      </c>
      <c r="E413" s="105" t="str">
        <f>+IFERROR(INDEX('Restaurant Base (Hidden)'!$A$2:$Z$1048576,MATCH($C413,'Restaurant Base (Hidden)'!$C$2:$C$1048576,0),MATCH(E$6,'Restaurant Base (Hidden)'!$A$1:$Z$1,0)),"")</f>
        <v/>
      </c>
      <c r="F413" s="2" t="str">
        <f>+IFERROR(INDEX('Restaurant Base (Hidden)'!$A$2:$Z$1048576,MATCH($C413,'Restaurant Base (Hidden)'!$C$2:$C$1048576,0),MATCH(F$6,'Restaurant Base (Hidden)'!$A$1:$Z$1,0)),"")</f>
        <v/>
      </c>
      <c r="G413" s="20" t="str">
        <f>+IFERROR(INDEX('Restaurant Base (Hidden)'!$A$2:$Z$1048576,MATCH($C413,'Restaurant Base (Hidden)'!$C$2:$C$1048576,0),MATCH(G$6,'Restaurant Base (Hidden)'!$A$1:$Z$1,0)),"")</f>
        <v/>
      </c>
      <c r="H413" s="50" t="str">
        <f>+IFERROR(INDEX('Restaurant Base (Hidden)'!$A$2:$Z$1048576,MATCH($C413,'Restaurant Base (Hidden)'!$C$2:$C$1048576,0),MATCH(H$6,'Restaurant Base (Hidden)'!$A$1:$Z$1,0)),"")</f>
        <v/>
      </c>
      <c r="I413" s="20" t="str">
        <f>+IFERROR(INDEX('Restaurant Base (Hidden)'!$A$2:$Z$1048576,MATCH($C413,'Restaurant Base (Hidden)'!$C$2:$C$1048576,0),MATCH(I$6,'Restaurant Base (Hidden)'!$A$1:$Z$1,0)),"")</f>
        <v/>
      </c>
      <c r="J413" s="49" t="str">
        <f>+IFERROR(INDEX('Restaurant Base (Hidden)'!$A$2:$Z$1048576,MATCH($C413,'Restaurant Base (Hidden)'!$C$2:$C$1048576,0),MATCH(J$6,'Restaurant Base (Hidden)'!$A$1:$Z$1,0)),"")</f>
        <v/>
      </c>
      <c r="K413" s="20" t="str">
        <f>+IFERROR(INDEX('Restaurant Base (Hidden)'!$A$2:$Z$1048576,MATCH($C413,'Restaurant Base (Hidden)'!$C$2:$C$1048576,0),MATCH(K$6,'Restaurant Base (Hidden)'!$A$1:$Z$1,0)),"")</f>
        <v/>
      </c>
      <c r="L413" s="51" t="str">
        <f>+IFERROR(INDEX('Restaurant Base (Hidden)'!$A$2:$Z$1048576,MATCH($C413,'Restaurant Base (Hidden)'!$C$2:$C$1048576,0),MATCH(L$6,'Restaurant Base (Hidden)'!$A$1:$Z$1,0)),"")</f>
        <v/>
      </c>
      <c r="M413" s="2" t="str">
        <f>+IFERROR(INDEX('Restaurant Base (Hidden)'!$A$2:$Z$1048576,MATCH($C413,'Restaurant Base (Hidden)'!$C$2:$C$1048576,0),MATCH(M$6,'Restaurant Base (Hidden)'!$A$1:$Z$1,0)),"")</f>
        <v/>
      </c>
      <c r="N413" s="234" t="str">
        <f>+IFERROR(INDEX('Restaurant Base (Hidden)'!$A$2:$Z$1048576,MATCH($C413,'Restaurant Base (Hidden)'!$C$2:$C$1048576,0),MATCH(N$6,'Restaurant Base (Hidden)'!$A$1:$Z$1,0)),"")</f>
        <v/>
      </c>
      <c r="O413" s="1" t="str">
        <f>+IFERROR(INDEX('Restaurant Base (Hidden)'!$A$2:$Z$1048576,MATCH($C413,'Restaurant Base (Hidden)'!$C$2:$C$1048576,0),MATCH(O$6,'Restaurant Base (Hidden)'!$A$1:$Z$1,0)),"")</f>
        <v/>
      </c>
      <c r="P413" s="2" t="str">
        <f>+IFERROR(INDEX('Restaurant Base (Hidden)'!$A$2:$Z$1048576,MATCH($C413,'Restaurant Base (Hidden)'!$C$2:$C$1048576,0),MATCH(P$6,'Restaurant Base (Hidden)'!$A$1:$Z$1,0)),"")</f>
        <v/>
      </c>
      <c r="Q413" s="234" t="str">
        <f>+IFERROR(INDEX('Restaurant Base (Hidden)'!$A$2:$Z$1048576,MATCH($C413,'Restaurant Base (Hidden)'!$C$2:$C$1048576,0),MATCH(Q$6,'Restaurant Base (Hidden)'!$A$1:$Z$1,0)),"")</f>
        <v/>
      </c>
      <c r="R413" s="1" t="str">
        <f>+IFERROR(INDEX('Restaurant Base (Hidden)'!$A$2:$Z$1048576,MATCH($C413,'Restaurant Base (Hidden)'!$C$2:$C$1048576,0),MATCH(R$6,'Restaurant Base (Hidden)'!$A$1:$Z$1,0)),"")</f>
        <v/>
      </c>
      <c r="S413" s="2" t="str">
        <f>+IFERROR(INDEX('Restaurant Base (Hidden)'!$A$2:$Z$1048576,MATCH($C413,'Restaurant Base (Hidden)'!$C$2:$C$1048576,0),MATCH(S$6,'Restaurant Base (Hidden)'!$A$1:$Z$1,0)),"")</f>
        <v/>
      </c>
      <c r="T413" s="62" t="str">
        <f>+IFERROR(INDEX('Restaurant Base (Hidden)'!$A$2:$Z$1048576,MATCH($C413,'Restaurant Base (Hidden)'!$C$2:$C$1048576,0),MATCH(T$6,'Restaurant Base (Hidden)'!$A$1:$Z$1,0)),"")</f>
        <v/>
      </c>
      <c r="U413" s="1" t="str">
        <f>+IFERROR(INDEX('Restaurant Base (Hidden)'!$A$2:$Z$1048576,MATCH($C413,'Restaurant Base (Hidden)'!$C$2:$C$1048576,0),MATCH(U$6,'Restaurant Base (Hidden)'!$A$1:$Z$1,0)),"")</f>
        <v/>
      </c>
      <c r="V413" s="2" t="str">
        <f>+IFERROR(INDEX('Restaurant Base (Hidden)'!$A$2:$Z$1048576,MATCH($C413,'Restaurant Base (Hidden)'!$C$2:$C$1048576,0),MATCH(V$6,'Restaurant Base (Hidden)'!$A$1:$Z$1,0)),"")</f>
        <v/>
      </c>
      <c r="W413" s="65" t="str">
        <f>+IFERROR(INDEX('Restaurant Base (Hidden)'!$A$2:$Z$1048576,MATCH($C413,'Restaurant Base (Hidden)'!$C$2:$C$1048576,0),MATCH(W$6,'Restaurant Base (Hidden)'!$A$1:$Z$1,0)),"")</f>
        <v/>
      </c>
      <c r="X413" s="1" t="str">
        <f>+IFERROR(INDEX('Restaurant Base (Hidden)'!$A$2:$Z$1048576,MATCH($C413,'Restaurant Base (Hidden)'!$C$2:$C$1048576,0),MATCH(X$6,'Restaurant Base (Hidden)'!$A$1:$Z$1,0)),"")</f>
        <v/>
      </c>
      <c r="Y413" s="65" t="str">
        <f>+IFERROR(INDEX('Restaurant Base (Hidden)'!$A$2:$Z$1048576,MATCH($C413,'Restaurant Base (Hidden)'!$C$2:$C$1048576,0),MATCH(Y$6,'Restaurant Base (Hidden)'!$A$1:$Z$1,0)),"")</f>
        <v/>
      </c>
      <c r="Z413" s="106" t="str">
        <f>+IFERROR(INDEX('Restaurant Base (Hidden)'!$A$2:$Z$1048576,MATCH($C413,'Restaurant Base (Hidden)'!$C$2:$C$1048576,0),MATCH(Z$6,'Restaurant Base (Hidden)'!$A$1:$Z$1,0)),"")</f>
        <v/>
      </c>
      <c r="AA413" s="65" t="str">
        <f>+IFERROR(INDEX('Restaurant Base (Hidden)'!$A$2:$Z$1048576,MATCH($C413,'Restaurant Base (Hidden)'!$C$2:$C$1048576,0),MATCH(AA$6,'Restaurant Base (Hidden)'!$A$1:$Z$1,0)),"")</f>
        <v/>
      </c>
      <c r="AB413" s="1" t="str">
        <f>+IFERROR(INDEX('Restaurant Base (Hidden)'!$A$2:$Z$1048576,MATCH($C413,'Restaurant Base (Hidden)'!$C$2:$C$1048576,0),MATCH(AB$6,'Restaurant Base (Hidden)'!$A$1:$Z$1,0)),"")</f>
        <v/>
      </c>
      <c r="AC413" s="20" t="str">
        <f>+IFERROR(INDEX('Restaurant Base (Hidden)'!$A$2:$Z$1048576,MATCH($C413,'Restaurant Base (Hidden)'!$C$2:$C$1048576,0),MATCH(AC$6,'Restaurant Base (Hidden)'!$A$1:$Z$1,0)),"")</f>
        <v/>
      </c>
      <c r="AD413" s="65" t="str">
        <f>+IFERROR(INDEX('Restaurant Base (Hidden)'!$A$2:$Z$1048576,MATCH($C413,'Restaurant Base (Hidden)'!$C$2:$C$1048576,0),MATCH(AD$6,'Restaurant Base (Hidden)'!$A$1:$Z$1,0)),"")</f>
        <v/>
      </c>
      <c r="AE413" s="1" t="str">
        <f>+IFERROR(INDEX('Restaurant Base (Hidden)'!$A$2:$Z$1048576,MATCH($C413,'Restaurant Base (Hidden)'!$C$2:$C$1048576,0),MATCH(AE$6,'Restaurant Base (Hidden)'!$A$1:$Z$1,0)),"")</f>
        <v/>
      </c>
      <c r="AF413" s="65" t="str">
        <f>+IFERROR(INDEX('Restaurant Base (Hidden)'!$A$2:$Z$1048576,MATCH($C413,'Restaurant Base (Hidden)'!$C$2:$C$1048576,0),MATCH(AF$6,'Restaurant Base (Hidden)'!$A$1:$Z$1,0)),"")</f>
        <v/>
      </c>
      <c r="AG413" s="1" t="str">
        <f>+IFERROR(INDEX('Restaurant Base (Hidden)'!$A$2:$Z$1048576,MATCH($C413,'Restaurant Base (Hidden)'!$C$2:$C$1048576,0),MATCH(AG$6,'Restaurant Base (Hidden)'!$A$1:$Z$1,0)),"")</f>
        <v/>
      </c>
    </row>
    <row r="414" spans="1:33" ht="16" customHeight="1" x14ac:dyDescent="0.4">
      <c r="A414" s="163" t="str">
        <f>IF('Restaurant Base (Hidden)'!A409=0,"", 'Restaurant Base (Hidden)'!A409)</f>
        <v/>
      </c>
      <c r="B414" s="163" t="str">
        <f>IF('Restaurant Base (Hidden)'!B409=0,"", 'Restaurant Base (Hidden)'!B409)</f>
        <v/>
      </c>
      <c r="C414" s="163" t="str">
        <f>IF('Restaurant Base (Hidden)'!C409=0,"", 'Restaurant Base (Hidden)'!C409)</f>
        <v/>
      </c>
      <c r="D414" s="104" t="str">
        <f t="shared" si="6"/>
        <v/>
      </c>
      <c r="E414" s="105" t="str">
        <f>+IFERROR(INDEX('Restaurant Base (Hidden)'!$A$2:$Z$1048576,MATCH($C414,'Restaurant Base (Hidden)'!$C$2:$C$1048576,0),MATCH(E$6,'Restaurant Base (Hidden)'!$A$1:$Z$1,0)),"")</f>
        <v/>
      </c>
      <c r="F414" s="2" t="str">
        <f>+IFERROR(INDEX('Restaurant Base (Hidden)'!$A$2:$Z$1048576,MATCH($C414,'Restaurant Base (Hidden)'!$C$2:$C$1048576,0),MATCH(F$6,'Restaurant Base (Hidden)'!$A$1:$Z$1,0)),"")</f>
        <v/>
      </c>
      <c r="G414" s="20" t="str">
        <f>+IFERROR(INDEX('Restaurant Base (Hidden)'!$A$2:$Z$1048576,MATCH($C414,'Restaurant Base (Hidden)'!$C$2:$C$1048576,0),MATCH(G$6,'Restaurant Base (Hidden)'!$A$1:$Z$1,0)),"")</f>
        <v/>
      </c>
      <c r="H414" s="50" t="str">
        <f>+IFERROR(INDEX('Restaurant Base (Hidden)'!$A$2:$Z$1048576,MATCH($C414,'Restaurant Base (Hidden)'!$C$2:$C$1048576,0),MATCH(H$6,'Restaurant Base (Hidden)'!$A$1:$Z$1,0)),"")</f>
        <v/>
      </c>
      <c r="I414" s="20" t="str">
        <f>+IFERROR(INDEX('Restaurant Base (Hidden)'!$A$2:$Z$1048576,MATCH($C414,'Restaurant Base (Hidden)'!$C$2:$C$1048576,0),MATCH(I$6,'Restaurant Base (Hidden)'!$A$1:$Z$1,0)),"")</f>
        <v/>
      </c>
      <c r="J414" s="49" t="str">
        <f>+IFERROR(INDEX('Restaurant Base (Hidden)'!$A$2:$Z$1048576,MATCH($C414,'Restaurant Base (Hidden)'!$C$2:$C$1048576,0),MATCH(J$6,'Restaurant Base (Hidden)'!$A$1:$Z$1,0)),"")</f>
        <v/>
      </c>
      <c r="K414" s="20" t="str">
        <f>+IFERROR(INDEX('Restaurant Base (Hidden)'!$A$2:$Z$1048576,MATCH($C414,'Restaurant Base (Hidden)'!$C$2:$C$1048576,0),MATCH(K$6,'Restaurant Base (Hidden)'!$A$1:$Z$1,0)),"")</f>
        <v/>
      </c>
      <c r="L414" s="51" t="str">
        <f>+IFERROR(INDEX('Restaurant Base (Hidden)'!$A$2:$Z$1048576,MATCH($C414,'Restaurant Base (Hidden)'!$C$2:$C$1048576,0),MATCH(L$6,'Restaurant Base (Hidden)'!$A$1:$Z$1,0)),"")</f>
        <v/>
      </c>
      <c r="M414" s="2" t="str">
        <f>+IFERROR(INDEX('Restaurant Base (Hidden)'!$A$2:$Z$1048576,MATCH($C414,'Restaurant Base (Hidden)'!$C$2:$C$1048576,0),MATCH(M$6,'Restaurant Base (Hidden)'!$A$1:$Z$1,0)),"")</f>
        <v/>
      </c>
      <c r="N414" s="234" t="str">
        <f>+IFERROR(INDEX('Restaurant Base (Hidden)'!$A$2:$Z$1048576,MATCH($C414,'Restaurant Base (Hidden)'!$C$2:$C$1048576,0),MATCH(N$6,'Restaurant Base (Hidden)'!$A$1:$Z$1,0)),"")</f>
        <v/>
      </c>
      <c r="O414" s="1" t="str">
        <f>+IFERROR(INDEX('Restaurant Base (Hidden)'!$A$2:$Z$1048576,MATCH($C414,'Restaurant Base (Hidden)'!$C$2:$C$1048576,0),MATCH(O$6,'Restaurant Base (Hidden)'!$A$1:$Z$1,0)),"")</f>
        <v/>
      </c>
      <c r="P414" s="2" t="str">
        <f>+IFERROR(INDEX('Restaurant Base (Hidden)'!$A$2:$Z$1048576,MATCH($C414,'Restaurant Base (Hidden)'!$C$2:$C$1048576,0),MATCH(P$6,'Restaurant Base (Hidden)'!$A$1:$Z$1,0)),"")</f>
        <v/>
      </c>
      <c r="Q414" s="234" t="str">
        <f>+IFERROR(INDEX('Restaurant Base (Hidden)'!$A$2:$Z$1048576,MATCH($C414,'Restaurant Base (Hidden)'!$C$2:$C$1048576,0),MATCH(Q$6,'Restaurant Base (Hidden)'!$A$1:$Z$1,0)),"")</f>
        <v/>
      </c>
      <c r="R414" s="1" t="str">
        <f>+IFERROR(INDEX('Restaurant Base (Hidden)'!$A$2:$Z$1048576,MATCH($C414,'Restaurant Base (Hidden)'!$C$2:$C$1048576,0),MATCH(R$6,'Restaurant Base (Hidden)'!$A$1:$Z$1,0)),"")</f>
        <v/>
      </c>
      <c r="S414" s="2" t="str">
        <f>+IFERROR(INDEX('Restaurant Base (Hidden)'!$A$2:$Z$1048576,MATCH($C414,'Restaurant Base (Hidden)'!$C$2:$C$1048576,0),MATCH(S$6,'Restaurant Base (Hidden)'!$A$1:$Z$1,0)),"")</f>
        <v/>
      </c>
      <c r="T414" s="62" t="str">
        <f>+IFERROR(INDEX('Restaurant Base (Hidden)'!$A$2:$Z$1048576,MATCH($C414,'Restaurant Base (Hidden)'!$C$2:$C$1048576,0),MATCH(T$6,'Restaurant Base (Hidden)'!$A$1:$Z$1,0)),"")</f>
        <v/>
      </c>
      <c r="U414" s="1" t="str">
        <f>+IFERROR(INDEX('Restaurant Base (Hidden)'!$A$2:$Z$1048576,MATCH($C414,'Restaurant Base (Hidden)'!$C$2:$C$1048576,0),MATCH(U$6,'Restaurant Base (Hidden)'!$A$1:$Z$1,0)),"")</f>
        <v/>
      </c>
      <c r="V414" s="2" t="str">
        <f>+IFERROR(INDEX('Restaurant Base (Hidden)'!$A$2:$Z$1048576,MATCH($C414,'Restaurant Base (Hidden)'!$C$2:$C$1048576,0),MATCH(V$6,'Restaurant Base (Hidden)'!$A$1:$Z$1,0)),"")</f>
        <v/>
      </c>
      <c r="W414" s="65" t="str">
        <f>+IFERROR(INDEX('Restaurant Base (Hidden)'!$A$2:$Z$1048576,MATCH($C414,'Restaurant Base (Hidden)'!$C$2:$C$1048576,0),MATCH(W$6,'Restaurant Base (Hidden)'!$A$1:$Z$1,0)),"")</f>
        <v/>
      </c>
      <c r="X414" s="1" t="str">
        <f>+IFERROR(INDEX('Restaurant Base (Hidden)'!$A$2:$Z$1048576,MATCH($C414,'Restaurant Base (Hidden)'!$C$2:$C$1048576,0),MATCH(X$6,'Restaurant Base (Hidden)'!$A$1:$Z$1,0)),"")</f>
        <v/>
      </c>
      <c r="Y414" s="65" t="str">
        <f>+IFERROR(INDEX('Restaurant Base (Hidden)'!$A$2:$Z$1048576,MATCH($C414,'Restaurant Base (Hidden)'!$C$2:$C$1048576,0),MATCH(Y$6,'Restaurant Base (Hidden)'!$A$1:$Z$1,0)),"")</f>
        <v/>
      </c>
      <c r="Z414" s="106" t="str">
        <f>+IFERROR(INDEX('Restaurant Base (Hidden)'!$A$2:$Z$1048576,MATCH($C414,'Restaurant Base (Hidden)'!$C$2:$C$1048576,0),MATCH(Z$6,'Restaurant Base (Hidden)'!$A$1:$Z$1,0)),"")</f>
        <v/>
      </c>
      <c r="AA414" s="65" t="str">
        <f>+IFERROR(INDEX('Restaurant Base (Hidden)'!$A$2:$Z$1048576,MATCH($C414,'Restaurant Base (Hidden)'!$C$2:$C$1048576,0),MATCH(AA$6,'Restaurant Base (Hidden)'!$A$1:$Z$1,0)),"")</f>
        <v/>
      </c>
      <c r="AB414" s="1" t="str">
        <f>+IFERROR(INDEX('Restaurant Base (Hidden)'!$A$2:$Z$1048576,MATCH($C414,'Restaurant Base (Hidden)'!$C$2:$C$1048576,0),MATCH(AB$6,'Restaurant Base (Hidden)'!$A$1:$Z$1,0)),"")</f>
        <v/>
      </c>
      <c r="AC414" s="20" t="str">
        <f>+IFERROR(INDEX('Restaurant Base (Hidden)'!$A$2:$Z$1048576,MATCH($C414,'Restaurant Base (Hidden)'!$C$2:$C$1048576,0),MATCH(AC$6,'Restaurant Base (Hidden)'!$A$1:$Z$1,0)),"")</f>
        <v/>
      </c>
      <c r="AD414" s="65" t="str">
        <f>+IFERROR(INDEX('Restaurant Base (Hidden)'!$A$2:$Z$1048576,MATCH($C414,'Restaurant Base (Hidden)'!$C$2:$C$1048576,0),MATCH(AD$6,'Restaurant Base (Hidden)'!$A$1:$Z$1,0)),"")</f>
        <v/>
      </c>
      <c r="AE414" s="1" t="str">
        <f>+IFERROR(INDEX('Restaurant Base (Hidden)'!$A$2:$Z$1048576,MATCH($C414,'Restaurant Base (Hidden)'!$C$2:$C$1048576,0),MATCH(AE$6,'Restaurant Base (Hidden)'!$A$1:$Z$1,0)),"")</f>
        <v/>
      </c>
      <c r="AF414" s="65" t="str">
        <f>+IFERROR(INDEX('Restaurant Base (Hidden)'!$A$2:$Z$1048576,MATCH($C414,'Restaurant Base (Hidden)'!$C$2:$C$1048576,0),MATCH(AF$6,'Restaurant Base (Hidden)'!$A$1:$Z$1,0)),"")</f>
        <v/>
      </c>
      <c r="AG414" s="1" t="str">
        <f>+IFERROR(INDEX('Restaurant Base (Hidden)'!$A$2:$Z$1048576,MATCH($C414,'Restaurant Base (Hidden)'!$C$2:$C$1048576,0),MATCH(AG$6,'Restaurant Base (Hidden)'!$A$1:$Z$1,0)),"")</f>
        <v/>
      </c>
    </row>
    <row r="415" spans="1:33" ht="16" customHeight="1" x14ac:dyDescent="0.4">
      <c r="A415" s="163" t="str">
        <f>IF('Restaurant Base (Hidden)'!A410=0,"", 'Restaurant Base (Hidden)'!A410)</f>
        <v/>
      </c>
      <c r="B415" s="163" t="str">
        <f>IF('Restaurant Base (Hidden)'!B410=0,"", 'Restaurant Base (Hidden)'!B410)</f>
        <v/>
      </c>
      <c r="C415" s="163" t="str">
        <f>IF('Restaurant Base (Hidden)'!C410=0,"", 'Restaurant Base (Hidden)'!C410)</f>
        <v/>
      </c>
      <c r="D415" s="104" t="str">
        <f t="shared" si="6"/>
        <v/>
      </c>
      <c r="E415" s="105" t="str">
        <f>+IFERROR(INDEX('Restaurant Base (Hidden)'!$A$2:$Z$1048576,MATCH($C415,'Restaurant Base (Hidden)'!$C$2:$C$1048576,0),MATCH(E$6,'Restaurant Base (Hidden)'!$A$1:$Z$1,0)),"")</f>
        <v/>
      </c>
      <c r="F415" s="2" t="str">
        <f>+IFERROR(INDEX('Restaurant Base (Hidden)'!$A$2:$Z$1048576,MATCH($C415,'Restaurant Base (Hidden)'!$C$2:$C$1048576,0),MATCH(F$6,'Restaurant Base (Hidden)'!$A$1:$Z$1,0)),"")</f>
        <v/>
      </c>
      <c r="G415" s="20" t="str">
        <f>+IFERROR(INDEX('Restaurant Base (Hidden)'!$A$2:$Z$1048576,MATCH($C415,'Restaurant Base (Hidden)'!$C$2:$C$1048576,0),MATCH(G$6,'Restaurant Base (Hidden)'!$A$1:$Z$1,0)),"")</f>
        <v/>
      </c>
      <c r="H415" s="50" t="str">
        <f>+IFERROR(INDEX('Restaurant Base (Hidden)'!$A$2:$Z$1048576,MATCH($C415,'Restaurant Base (Hidden)'!$C$2:$C$1048576,0),MATCH(H$6,'Restaurant Base (Hidden)'!$A$1:$Z$1,0)),"")</f>
        <v/>
      </c>
      <c r="I415" s="20" t="str">
        <f>+IFERROR(INDEX('Restaurant Base (Hidden)'!$A$2:$Z$1048576,MATCH($C415,'Restaurant Base (Hidden)'!$C$2:$C$1048576,0),MATCH(I$6,'Restaurant Base (Hidden)'!$A$1:$Z$1,0)),"")</f>
        <v/>
      </c>
      <c r="J415" s="49" t="str">
        <f>+IFERROR(INDEX('Restaurant Base (Hidden)'!$A$2:$Z$1048576,MATCH($C415,'Restaurant Base (Hidden)'!$C$2:$C$1048576,0),MATCH(J$6,'Restaurant Base (Hidden)'!$A$1:$Z$1,0)),"")</f>
        <v/>
      </c>
      <c r="K415" s="20" t="str">
        <f>+IFERROR(INDEX('Restaurant Base (Hidden)'!$A$2:$Z$1048576,MATCH($C415,'Restaurant Base (Hidden)'!$C$2:$C$1048576,0),MATCH(K$6,'Restaurant Base (Hidden)'!$A$1:$Z$1,0)),"")</f>
        <v/>
      </c>
      <c r="L415" s="51" t="str">
        <f>+IFERROR(INDEX('Restaurant Base (Hidden)'!$A$2:$Z$1048576,MATCH($C415,'Restaurant Base (Hidden)'!$C$2:$C$1048576,0),MATCH(L$6,'Restaurant Base (Hidden)'!$A$1:$Z$1,0)),"")</f>
        <v/>
      </c>
      <c r="M415" s="2" t="str">
        <f>+IFERROR(INDEX('Restaurant Base (Hidden)'!$A$2:$Z$1048576,MATCH($C415,'Restaurant Base (Hidden)'!$C$2:$C$1048576,0),MATCH(M$6,'Restaurant Base (Hidden)'!$A$1:$Z$1,0)),"")</f>
        <v/>
      </c>
      <c r="N415" s="234" t="str">
        <f>+IFERROR(INDEX('Restaurant Base (Hidden)'!$A$2:$Z$1048576,MATCH($C415,'Restaurant Base (Hidden)'!$C$2:$C$1048576,0),MATCH(N$6,'Restaurant Base (Hidden)'!$A$1:$Z$1,0)),"")</f>
        <v/>
      </c>
      <c r="O415" s="1" t="str">
        <f>+IFERROR(INDEX('Restaurant Base (Hidden)'!$A$2:$Z$1048576,MATCH($C415,'Restaurant Base (Hidden)'!$C$2:$C$1048576,0),MATCH(O$6,'Restaurant Base (Hidden)'!$A$1:$Z$1,0)),"")</f>
        <v/>
      </c>
      <c r="P415" s="2" t="str">
        <f>+IFERROR(INDEX('Restaurant Base (Hidden)'!$A$2:$Z$1048576,MATCH($C415,'Restaurant Base (Hidden)'!$C$2:$C$1048576,0),MATCH(P$6,'Restaurant Base (Hidden)'!$A$1:$Z$1,0)),"")</f>
        <v/>
      </c>
      <c r="Q415" s="234" t="str">
        <f>+IFERROR(INDEX('Restaurant Base (Hidden)'!$A$2:$Z$1048576,MATCH($C415,'Restaurant Base (Hidden)'!$C$2:$C$1048576,0),MATCH(Q$6,'Restaurant Base (Hidden)'!$A$1:$Z$1,0)),"")</f>
        <v/>
      </c>
      <c r="R415" s="1" t="str">
        <f>+IFERROR(INDEX('Restaurant Base (Hidden)'!$A$2:$Z$1048576,MATCH($C415,'Restaurant Base (Hidden)'!$C$2:$C$1048576,0),MATCH(R$6,'Restaurant Base (Hidden)'!$A$1:$Z$1,0)),"")</f>
        <v/>
      </c>
      <c r="S415" s="2" t="str">
        <f>+IFERROR(INDEX('Restaurant Base (Hidden)'!$A$2:$Z$1048576,MATCH($C415,'Restaurant Base (Hidden)'!$C$2:$C$1048576,0),MATCH(S$6,'Restaurant Base (Hidden)'!$A$1:$Z$1,0)),"")</f>
        <v/>
      </c>
      <c r="T415" s="62" t="str">
        <f>+IFERROR(INDEX('Restaurant Base (Hidden)'!$A$2:$Z$1048576,MATCH($C415,'Restaurant Base (Hidden)'!$C$2:$C$1048576,0),MATCH(T$6,'Restaurant Base (Hidden)'!$A$1:$Z$1,0)),"")</f>
        <v/>
      </c>
      <c r="U415" s="1" t="str">
        <f>+IFERROR(INDEX('Restaurant Base (Hidden)'!$A$2:$Z$1048576,MATCH($C415,'Restaurant Base (Hidden)'!$C$2:$C$1048576,0),MATCH(U$6,'Restaurant Base (Hidden)'!$A$1:$Z$1,0)),"")</f>
        <v/>
      </c>
      <c r="V415" s="2" t="str">
        <f>+IFERROR(INDEX('Restaurant Base (Hidden)'!$A$2:$Z$1048576,MATCH($C415,'Restaurant Base (Hidden)'!$C$2:$C$1048576,0),MATCH(V$6,'Restaurant Base (Hidden)'!$A$1:$Z$1,0)),"")</f>
        <v/>
      </c>
      <c r="W415" s="65" t="str">
        <f>+IFERROR(INDEX('Restaurant Base (Hidden)'!$A$2:$Z$1048576,MATCH($C415,'Restaurant Base (Hidden)'!$C$2:$C$1048576,0),MATCH(W$6,'Restaurant Base (Hidden)'!$A$1:$Z$1,0)),"")</f>
        <v/>
      </c>
      <c r="X415" s="1" t="str">
        <f>+IFERROR(INDEX('Restaurant Base (Hidden)'!$A$2:$Z$1048576,MATCH($C415,'Restaurant Base (Hidden)'!$C$2:$C$1048576,0),MATCH(X$6,'Restaurant Base (Hidden)'!$A$1:$Z$1,0)),"")</f>
        <v/>
      </c>
      <c r="Y415" s="65" t="str">
        <f>+IFERROR(INDEX('Restaurant Base (Hidden)'!$A$2:$Z$1048576,MATCH($C415,'Restaurant Base (Hidden)'!$C$2:$C$1048576,0),MATCH(Y$6,'Restaurant Base (Hidden)'!$A$1:$Z$1,0)),"")</f>
        <v/>
      </c>
      <c r="Z415" s="106" t="str">
        <f>+IFERROR(INDEX('Restaurant Base (Hidden)'!$A$2:$Z$1048576,MATCH($C415,'Restaurant Base (Hidden)'!$C$2:$C$1048576,0),MATCH(Z$6,'Restaurant Base (Hidden)'!$A$1:$Z$1,0)),"")</f>
        <v/>
      </c>
      <c r="AA415" s="65" t="str">
        <f>+IFERROR(INDEX('Restaurant Base (Hidden)'!$A$2:$Z$1048576,MATCH($C415,'Restaurant Base (Hidden)'!$C$2:$C$1048576,0),MATCH(AA$6,'Restaurant Base (Hidden)'!$A$1:$Z$1,0)),"")</f>
        <v/>
      </c>
      <c r="AB415" s="1" t="str">
        <f>+IFERROR(INDEX('Restaurant Base (Hidden)'!$A$2:$Z$1048576,MATCH($C415,'Restaurant Base (Hidden)'!$C$2:$C$1048576,0),MATCH(AB$6,'Restaurant Base (Hidden)'!$A$1:$Z$1,0)),"")</f>
        <v/>
      </c>
      <c r="AC415" s="20" t="str">
        <f>+IFERROR(INDEX('Restaurant Base (Hidden)'!$A$2:$Z$1048576,MATCH($C415,'Restaurant Base (Hidden)'!$C$2:$C$1048576,0),MATCH(AC$6,'Restaurant Base (Hidden)'!$A$1:$Z$1,0)),"")</f>
        <v/>
      </c>
      <c r="AD415" s="65" t="str">
        <f>+IFERROR(INDEX('Restaurant Base (Hidden)'!$A$2:$Z$1048576,MATCH($C415,'Restaurant Base (Hidden)'!$C$2:$C$1048576,0),MATCH(AD$6,'Restaurant Base (Hidden)'!$A$1:$Z$1,0)),"")</f>
        <v/>
      </c>
      <c r="AE415" s="1" t="str">
        <f>+IFERROR(INDEX('Restaurant Base (Hidden)'!$A$2:$Z$1048576,MATCH($C415,'Restaurant Base (Hidden)'!$C$2:$C$1048576,0),MATCH(AE$6,'Restaurant Base (Hidden)'!$A$1:$Z$1,0)),"")</f>
        <v/>
      </c>
      <c r="AF415" s="65" t="str">
        <f>+IFERROR(INDEX('Restaurant Base (Hidden)'!$A$2:$Z$1048576,MATCH($C415,'Restaurant Base (Hidden)'!$C$2:$C$1048576,0),MATCH(AF$6,'Restaurant Base (Hidden)'!$A$1:$Z$1,0)),"")</f>
        <v/>
      </c>
      <c r="AG415" s="1" t="str">
        <f>+IFERROR(INDEX('Restaurant Base (Hidden)'!$A$2:$Z$1048576,MATCH($C415,'Restaurant Base (Hidden)'!$C$2:$C$1048576,0),MATCH(AG$6,'Restaurant Base (Hidden)'!$A$1:$Z$1,0)),"")</f>
        <v/>
      </c>
    </row>
    <row r="416" spans="1:33" ht="16" customHeight="1" x14ac:dyDescent="0.4">
      <c r="A416" s="163" t="str">
        <f>IF('Restaurant Base (Hidden)'!A411=0,"", 'Restaurant Base (Hidden)'!A411)</f>
        <v/>
      </c>
      <c r="B416" s="163" t="str">
        <f>IF('Restaurant Base (Hidden)'!B411=0,"", 'Restaurant Base (Hidden)'!B411)</f>
        <v/>
      </c>
      <c r="C416" s="163" t="str">
        <f>IF('Restaurant Base (Hidden)'!C411=0,"", 'Restaurant Base (Hidden)'!C411)</f>
        <v/>
      </c>
      <c r="D416" s="104" t="str">
        <f t="shared" si="6"/>
        <v/>
      </c>
      <c r="E416" s="105" t="str">
        <f>+IFERROR(INDEX('Restaurant Base (Hidden)'!$A$2:$Z$1048576,MATCH($C416,'Restaurant Base (Hidden)'!$C$2:$C$1048576,0),MATCH(E$6,'Restaurant Base (Hidden)'!$A$1:$Z$1,0)),"")</f>
        <v/>
      </c>
      <c r="F416" s="2" t="str">
        <f>+IFERROR(INDEX('Restaurant Base (Hidden)'!$A$2:$Z$1048576,MATCH($C416,'Restaurant Base (Hidden)'!$C$2:$C$1048576,0),MATCH(F$6,'Restaurant Base (Hidden)'!$A$1:$Z$1,0)),"")</f>
        <v/>
      </c>
      <c r="G416" s="20" t="str">
        <f>+IFERROR(INDEX('Restaurant Base (Hidden)'!$A$2:$Z$1048576,MATCH($C416,'Restaurant Base (Hidden)'!$C$2:$C$1048576,0),MATCH(G$6,'Restaurant Base (Hidden)'!$A$1:$Z$1,0)),"")</f>
        <v/>
      </c>
      <c r="H416" s="50" t="str">
        <f>+IFERROR(INDEX('Restaurant Base (Hidden)'!$A$2:$Z$1048576,MATCH($C416,'Restaurant Base (Hidden)'!$C$2:$C$1048576,0),MATCH(H$6,'Restaurant Base (Hidden)'!$A$1:$Z$1,0)),"")</f>
        <v/>
      </c>
      <c r="I416" s="20" t="str">
        <f>+IFERROR(INDEX('Restaurant Base (Hidden)'!$A$2:$Z$1048576,MATCH($C416,'Restaurant Base (Hidden)'!$C$2:$C$1048576,0),MATCH(I$6,'Restaurant Base (Hidden)'!$A$1:$Z$1,0)),"")</f>
        <v/>
      </c>
      <c r="J416" s="49" t="str">
        <f>+IFERROR(INDEX('Restaurant Base (Hidden)'!$A$2:$Z$1048576,MATCH($C416,'Restaurant Base (Hidden)'!$C$2:$C$1048576,0),MATCH(J$6,'Restaurant Base (Hidden)'!$A$1:$Z$1,0)),"")</f>
        <v/>
      </c>
      <c r="K416" s="20" t="str">
        <f>+IFERROR(INDEX('Restaurant Base (Hidden)'!$A$2:$Z$1048576,MATCH($C416,'Restaurant Base (Hidden)'!$C$2:$C$1048576,0),MATCH(K$6,'Restaurant Base (Hidden)'!$A$1:$Z$1,0)),"")</f>
        <v/>
      </c>
      <c r="L416" s="51" t="str">
        <f>+IFERROR(INDEX('Restaurant Base (Hidden)'!$A$2:$Z$1048576,MATCH($C416,'Restaurant Base (Hidden)'!$C$2:$C$1048576,0),MATCH(L$6,'Restaurant Base (Hidden)'!$A$1:$Z$1,0)),"")</f>
        <v/>
      </c>
      <c r="M416" s="2" t="str">
        <f>+IFERROR(INDEX('Restaurant Base (Hidden)'!$A$2:$Z$1048576,MATCH($C416,'Restaurant Base (Hidden)'!$C$2:$C$1048576,0),MATCH(M$6,'Restaurant Base (Hidden)'!$A$1:$Z$1,0)),"")</f>
        <v/>
      </c>
      <c r="N416" s="234" t="str">
        <f>+IFERROR(INDEX('Restaurant Base (Hidden)'!$A$2:$Z$1048576,MATCH($C416,'Restaurant Base (Hidden)'!$C$2:$C$1048576,0),MATCH(N$6,'Restaurant Base (Hidden)'!$A$1:$Z$1,0)),"")</f>
        <v/>
      </c>
      <c r="O416" s="1" t="str">
        <f>+IFERROR(INDEX('Restaurant Base (Hidden)'!$A$2:$Z$1048576,MATCH($C416,'Restaurant Base (Hidden)'!$C$2:$C$1048576,0),MATCH(O$6,'Restaurant Base (Hidden)'!$A$1:$Z$1,0)),"")</f>
        <v/>
      </c>
      <c r="P416" s="2" t="str">
        <f>+IFERROR(INDEX('Restaurant Base (Hidden)'!$A$2:$Z$1048576,MATCH($C416,'Restaurant Base (Hidden)'!$C$2:$C$1048576,0),MATCH(P$6,'Restaurant Base (Hidden)'!$A$1:$Z$1,0)),"")</f>
        <v/>
      </c>
      <c r="Q416" s="234" t="str">
        <f>+IFERROR(INDEX('Restaurant Base (Hidden)'!$A$2:$Z$1048576,MATCH($C416,'Restaurant Base (Hidden)'!$C$2:$C$1048576,0),MATCH(Q$6,'Restaurant Base (Hidden)'!$A$1:$Z$1,0)),"")</f>
        <v/>
      </c>
      <c r="R416" s="1" t="str">
        <f>+IFERROR(INDEX('Restaurant Base (Hidden)'!$A$2:$Z$1048576,MATCH($C416,'Restaurant Base (Hidden)'!$C$2:$C$1048576,0),MATCH(R$6,'Restaurant Base (Hidden)'!$A$1:$Z$1,0)),"")</f>
        <v/>
      </c>
      <c r="S416" s="2" t="str">
        <f>+IFERROR(INDEX('Restaurant Base (Hidden)'!$A$2:$Z$1048576,MATCH($C416,'Restaurant Base (Hidden)'!$C$2:$C$1048576,0),MATCH(S$6,'Restaurant Base (Hidden)'!$A$1:$Z$1,0)),"")</f>
        <v/>
      </c>
      <c r="T416" s="62" t="str">
        <f>+IFERROR(INDEX('Restaurant Base (Hidden)'!$A$2:$Z$1048576,MATCH($C416,'Restaurant Base (Hidden)'!$C$2:$C$1048576,0),MATCH(T$6,'Restaurant Base (Hidden)'!$A$1:$Z$1,0)),"")</f>
        <v/>
      </c>
      <c r="U416" s="1" t="str">
        <f>+IFERROR(INDEX('Restaurant Base (Hidden)'!$A$2:$Z$1048576,MATCH($C416,'Restaurant Base (Hidden)'!$C$2:$C$1048576,0),MATCH(U$6,'Restaurant Base (Hidden)'!$A$1:$Z$1,0)),"")</f>
        <v/>
      </c>
      <c r="V416" s="2" t="str">
        <f>+IFERROR(INDEX('Restaurant Base (Hidden)'!$A$2:$Z$1048576,MATCH($C416,'Restaurant Base (Hidden)'!$C$2:$C$1048576,0),MATCH(V$6,'Restaurant Base (Hidden)'!$A$1:$Z$1,0)),"")</f>
        <v/>
      </c>
      <c r="W416" s="65" t="str">
        <f>+IFERROR(INDEX('Restaurant Base (Hidden)'!$A$2:$Z$1048576,MATCH($C416,'Restaurant Base (Hidden)'!$C$2:$C$1048576,0),MATCH(W$6,'Restaurant Base (Hidden)'!$A$1:$Z$1,0)),"")</f>
        <v/>
      </c>
      <c r="X416" s="1" t="str">
        <f>+IFERROR(INDEX('Restaurant Base (Hidden)'!$A$2:$Z$1048576,MATCH($C416,'Restaurant Base (Hidden)'!$C$2:$C$1048576,0),MATCH(X$6,'Restaurant Base (Hidden)'!$A$1:$Z$1,0)),"")</f>
        <v/>
      </c>
      <c r="Y416" s="65" t="str">
        <f>+IFERROR(INDEX('Restaurant Base (Hidden)'!$A$2:$Z$1048576,MATCH($C416,'Restaurant Base (Hidden)'!$C$2:$C$1048576,0),MATCH(Y$6,'Restaurant Base (Hidden)'!$A$1:$Z$1,0)),"")</f>
        <v/>
      </c>
      <c r="Z416" s="106" t="str">
        <f>+IFERROR(INDEX('Restaurant Base (Hidden)'!$A$2:$Z$1048576,MATCH($C416,'Restaurant Base (Hidden)'!$C$2:$C$1048576,0),MATCH(Z$6,'Restaurant Base (Hidden)'!$A$1:$Z$1,0)),"")</f>
        <v/>
      </c>
      <c r="AA416" s="65" t="str">
        <f>+IFERROR(INDEX('Restaurant Base (Hidden)'!$A$2:$Z$1048576,MATCH($C416,'Restaurant Base (Hidden)'!$C$2:$C$1048576,0),MATCH(AA$6,'Restaurant Base (Hidden)'!$A$1:$Z$1,0)),"")</f>
        <v/>
      </c>
      <c r="AB416" s="1" t="str">
        <f>+IFERROR(INDEX('Restaurant Base (Hidden)'!$A$2:$Z$1048576,MATCH($C416,'Restaurant Base (Hidden)'!$C$2:$C$1048576,0),MATCH(AB$6,'Restaurant Base (Hidden)'!$A$1:$Z$1,0)),"")</f>
        <v/>
      </c>
      <c r="AC416" s="20" t="str">
        <f>+IFERROR(INDEX('Restaurant Base (Hidden)'!$A$2:$Z$1048576,MATCH($C416,'Restaurant Base (Hidden)'!$C$2:$C$1048576,0),MATCH(AC$6,'Restaurant Base (Hidden)'!$A$1:$Z$1,0)),"")</f>
        <v/>
      </c>
      <c r="AD416" s="65" t="str">
        <f>+IFERROR(INDEX('Restaurant Base (Hidden)'!$A$2:$Z$1048576,MATCH($C416,'Restaurant Base (Hidden)'!$C$2:$C$1048576,0),MATCH(AD$6,'Restaurant Base (Hidden)'!$A$1:$Z$1,0)),"")</f>
        <v/>
      </c>
      <c r="AE416" s="1" t="str">
        <f>+IFERROR(INDEX('Restaurant Base (Hidden)'!$A$2:$Z$1048576,MATCH($C416,'Restaurant Base (Hidden)'!$C$2:$C$1048576,0),MATCH(AE$6,'Restaurant Base (Hidden)'!$A$1:$Z$1,0)),"")</f>
        <v/>
      </c>
      <c r="AF416" s="65" t="str">
        <f>+IFERROR(INDEX('Restaurant Base (Hidden)'!$A$2:$Z$1048576,MATCH($C416,'Restaurant Base (Hidden)'!$C$2:$C$1048576,0),MATCH(AF$6,'Restaurant Base (Hidden)'!$A$1:$Z$1,0)),"")</f>
        <v/>
      </c>
      <c r="AG416" s="1" t="str">
        <f>+IFERROR(INDEX('Restaurant Base (Hidden)'!$A$2:$Z$1048576,MATCH($C416,'Restaurant Base (Hidden)'!$C$2:$C$1048576,0),MATCH(AG$6,'Restaurant Base (Hidden)'!$A$1:$Z$1,0)),"")</f>
        <v/>
      </c>
    </row>
    <row r="417" spans="1:33" ht="16" customHeight="1" x14ac:dyDescent="0.4">
      <c r="A417" s="163" t="str">
        <f>IF('Restaurant Base (Hidden)'!A412=0,"", 'Restaurant Base (Hidden)'!A412)</f>
        <v/>
      </c>
      <c r="B417" s="163" t="str">
        <f>IF('Restaurant Base (Hidden)'!B412=0,"", 'Restaurant Base (Hidden)'!B412)</f>
        <v/>
      </c>
      <c r="C417" s="163" t="str">
        <f>IF('Restaurant Base (Hidden)'!C412=0,"", 'Restaurant Base (Hidden)'!C412)</f>
        <v/>
      </c>
      <c r="D417" s="104" t="str">
        <f t="shared" si="6"/>
        <v/>
      </c>
      <c r="E417" s="105" t="str">
        <f>+IFERROR(INDEX('Restaurant Base (Hidden)'!$A$2:$Z$1048576,MATCH($C417,'Restaurant Base (Hidden)'!$C$2:$C$1048576,0),MATCH(E$6,'Restaurant Base (Hidden)'!$A$1:$Z$1,0)),"")</f>
        <v/>
      </c>
      <c r="F417" s="2" t="str">
        <f>+IFERROR(INDEX('Restaurant Base (Hidden)'!$A$2:$Z$1048576,MATCH($C417,'Restaurant Base (Hidden)'!$C$2:$C$1048576,0),MATCH(F$6,'Restaurant Base (Hidden)'!$A$1:$Z$1,0)),"")</f>
        <v/>
      </c>
      <c r="G417" s="20" t="str">
        <f>+IFERROR(INDEX('Restaurant Base (Hidden)'!$A$2:$Z$1048576,MATCH($C417,'Restaurant Base (Hidden)'!$C$2:$C$1048576,0),MATCH(G$6,'Restaurant Base (Hidden)'!$A$1:$Z$1,0)),"")</f>
        <v/>
      </c>
      <c r="H417" s="50" t="str">
        <f>+IFERROR(INDEX('Restaurant Base (Hidden)'!$A$2:$Z$1048576,MATCH($C417,'Restaurant Base (Hidden)'!$C$2:$C$1048576,0),MATCH(H$6,'Restaurant Base (Hidden)'!$A$1:$Z$1,0)),"")</f>
        <v/>
      </c>
      <c r="I417" s="20" t="str">
        <f>+IFERROR(INDEX('Restaurant Base (Hidden)'!$A$2:$Z$1048576,MATCH($C417,'Restaurant Base (Hidden)'!$C$2:$C$1048576,0),MATCH(I$6,'Restaurant Base (Hidden)'!$A$1:$Z$1,0)),"")</f>
        <v/>
      </c>
      <c r="J417" s="49" t="str">
        <f>+IFERROR(INDEX('Restaurant Base (Hidden)'!$A$2:$Z$1048576,MATCH($C417,'Restaurant Base (Hidden)'!$C$2:$C$1048576,0),MATCH(J$6,'Restaurant Base (Hidden)'!$A$1:$Z$1,0)),"")</f>
        <v/>
      </c>
      <c r="K417" s="20" t="str">
        <f>+IFERROR(INDEX('Restaurant Base (Hidden)'!$A$2:$Z$1048576,MATCH($C417,'Restaurant Base (Hidden)'!$C$2:$C$1048576,0),MATCH(K$6,'Restaurant Base (Hidden)'!$A$1:$Z$1,0)),"")</f>
        <v/>
      </c>
      <c r="L417" s="51" t="str">
        <f>+IFERROR(INDEX('Restaurant Base (Hidden)'!$A$2:$Z$1048576,MATCH($C417,'Restaurant Base (Hidden)'!$C$2:$C$1048576,0),MATCH(L$6,'Restaurant Base (Hidden)'!$A$1:$Z$1,0)),"")</f>
        <v/>
      </c>
      <c r="M417" s="2" t="str">
        <f>+IFERROR(INDEX('Restaurant Base (Hidden)'!$A$2:$Z$1048576,MATCH($C417,'Restaurant Base (Hidden)'!$C$2:$C$1048576,0),MATCH(M$6,'Restaurant Base (Hidden)'!$A$1:$Z$1,0)),"")</f>
        <v/>
      </c>
      <c r="N417" s="234" t="str">
        <f>+IFERROR(INDEX('Restaurant Base (Hidden)'!$A$2:$Z$1048576,MATCH($C417,'Restaurant Base (Hidden)'!$C$2:$C$1048576,0),MATCH(N$6,'Restaurant Base (Hidden)'!$A$1:$Z$1,0)),"")</f>
        <v/>
      </c>
      <c r="O417" s="1" t="str">
        <f>+IFERROR(INDEX('Restaurant Base (Hidden)'!$A$2:$Z$1048576,MATCH($C417,'Restaurant Base (Hidden)'!$C$2:$C$1048576,0),MATCH(O$6,'Restaurant Base (Hidden)'!$A$1:$Z$1,0)),"")</f>
        <v/>
      </c>
      <c r="P417" s="2" t="str">
        <f>+IFERROR(INDEX('Restaurant Base (Hidden)'!$A$2:$Z$1048576,MATCH($C417,'Restaurant Base (Hidden)'!$C$2:$C$1048576,0),MATCH(P$6,'Restaurant Base (Hidden)'!$A$1:$Z$1,0)),"")</f>
        <v/>
      </c>
      <c r="Q417" s="234" t="str">
        <f>+IFERROR(INDEX('Restaurant Base (Hidden)'!$A$2:$Z$1048576,MATCH($C417,'Restaurant Base (Hidden)'!$C$2:$C$1048576,0),MATCH(Q$6,'Restaurant Base (Hidden)'!$A$1:$Z$1,0)),"")</f>
        <v/>
      </c>
      <c r="R417" s="1" t="str">
        <f>+IFERROR(INDEX('Restaurant Base (Hidden)'!$A$2:$Z$1048576,MATCH($C417,'Restaurant Base (Hidden)'!$C$2:$C$1048576,0),MATCH(R$6,'Restaurant Base (Hidden)'!$A$1:$Z$1,0)),"")</f>
        <v/>
      </c>
      <c r="S417" s="2" t="str">
        <f>+IFERROR(INDEX('Restaurant Base (Hidden)'!$A$2:$Z$1048576,MATCH($C417,'Restaurant Base (Hidden)'!$C$2:$C$1048576,0),MATCH(S$6,'Restaurant Base (Hidden)'!$A$1:$Z$1,0)),"")</f>
        <v/>
      </c>
      <c r="T417" s="62" t="str">
        <f>+IFERROR(INDEX('Restaurant Base (Hidden)'!$A$2:$Z$1048576,MATCH($C417,'Restaurant Base (Hidden)'!$C$2:$C$1048576,0),MATCH(T$6,'Restaurant Base (Hidden)'!$A$1:$Z$1,0)),"")</f>
        <v/>
      </c>
      <c r="U417" s="1" t="str">
        <f>+IFERROR(INDEX('Restaurant Base (Hidden)'!$A$2:$Z$1048576,MATCH($C417,'Restaurant Base (Hidden)'!$C$2:$C$1048576,0),MATCH(U$6,'Restaurant Base (Hidden)'!$A$1:$Z$1,0)),"")</f>
        <v/>
      </c>
      <c r="V417" s="2" t="str">
        <f>+IFERROR(INDEX('Restaurant Base (Hidden)'!$A$2:$Z$1048576,MATCH($C417,'Restaurant Base (Hidden)'!$C$2:$C$1048576,0),MATCH(V$6,'Restaurant Base (Hidden)'!$A$1:$Z$1,0)),"")</f>
        <v/>
      </c>
      <c r="W417" s="65" t="str">
        <f>+IFERROR(INDEX('Restaurant Base (Hidden)'!$A$2:$Z$1048576,MATCH($C417,'Restaurant Base (Hidden)'!$C$2:$C$1048576,0),MATCH(W$6,'Restaurant Base (Hidden)'!$A$1:$Z$1,0)),"")</f>
        <v/>
      </c>
      <c r="X417" s="1" t="str">
        <f>+IFERROR(INDEX('Restaurant Base (Hidden)'!$A$2:$Z$1048576,MATCH($C417,'Restaurant Base (Hidden)'!$C$2:$C$1048576,0),MATCH(X$6,'Restaurant Base (Hidden)'!$A$1:$Z$1,0)),"")</f>
        <v/>
      </c>
      <c r="Y417" s="65" t="str">
        <f>+IFERROR(INDEX('Restaurant Base (Hidden)'!$A$2:$Z$1048576,MATCH($C417,'Restaurant Base (Hidden)'!$C$2:$C$1048576,0),MATCH(Y$6,'Restaurant Base (Hidden)'!$A$1:$Z$1,0)),"")</f>
        <v/>
      </c>
      <c r="Z417" s="106" t="str">
        <f>+IFERROR(INDEX('Restaurant Base (Hidden)'!$A$2:$Z$1048576,MATCH($C417,'Restaurant Base (Hidden)'!$C$2:$C$1048576,0),MATCH(Z$6,'Restaurant Base (Hidden)'!$A$1:$Z$1,0)),"")</f>
        <v/>
      </c>
      <c r="AA417" s="65" t="str">
        <f>+IFERROR(INDEX('Restaurant Base (Hidden)'!$A$2:$Z$1048576,MATCH($C417,'Restaurant Base (Hidden)'!$C$2:$C$1048576,0),MATCH(AA$6,'Restaurant Base (Hidden)'!$A$1:$Z$1,0)),"")</f>
        <v/>
      </c>
      <c r="AB417" s="1" t="str">
        <f>+IFERROR(INDEX('Restaurant Base (Hidden)'!$A$2:$Z$1048576,MATCH($C417,'Restaurant Base (Hidden)'!$C$2:$C$1048576,0),MATCH(AB$6,'Restaurant Base (Hidden)'!$A$1:$Z$1,0)),"")</f>
        <v/>
      </c>
      <c r="AC417" s="20" t="str">
        <f>+IFERROR(INDEX('Restaurant Base (Hidden)'!$A$2:$Z$1048576,MATCH($C417,'Restaurant Base (Hidden)'!$C$2:$C$1048576,0),MATCH(AC$6,'Restaurant Base (Hidden)'!$A$1:$Z$1,0)),"")</f>
        <v/>
      </c>
      <c r="AD417" s="65" t="str">
        <f>+IFERROR(INDEX('Restaurant Base (Hidden)'!$A$2:$Z$1048576,MATCH($C417,'Restaurant Base (Hidden)'!$C$2:$C$1048576,0),MATCH(AD$6,'Restaurant Base (Hidden)'!$A$1:$Z$1,0)),"")</f>
        <v/>
      </c>
      <c r="AE417" s="1" t="str">
        <f>+IFERROR(INDEX('Restaurant Base (Hidden)'!$A$2:$Z$1048576,MATCH($C417,'Restaurant Base (Hidden)'!$C$2:$C$1048576,0),MATCH(AE$6,'Restaurant Base (Hidden)'!$A$1:$Z$1,0)),"")</f>
        <v/>
      </c>
      <c r="AF417" s="65" t="str">
        <f>+IFERROR(INDEX('Restaurant Base (Hidden)'!$A$2:$Z$1048576,MATCH($C417,'Restaurant Base (Hidden)'!$C$2:$C$1048576,0),MATCH(AF$6,'Restaurant Base (Hidden)'!$A$1:$Z$1,0)),"")</f>
        <v/>
      </c>
      <c r="AG417" s="1" t="str">
        <f>+IFERROR(INDEX('Restaurant Base (Hidden)'!$A$2:$Z$1048576,MATCH($C417,'Restaurant Base (Hidden)'!$C$2:$C$1048576,0),MATCH(AG$6,'Restaurant Base (Hidden)'!$A$1:$Z$1,0)),"")</f>
        <v/>
      </c>
    </row>
    <row r="418" spans="1:33" ht="16" customHeight="1" x14ac:dyDescent="0.4">
      <c r="A418" s="163" t="str">
        <f>IF('Restaurant Base (Hidden)'!A413=0,"", 'Restaurant Base (Hidden)'!A413)</f>
        <v/>
      </c>
      <c r="B418" s="163" t="str">
        <f>IF('Restaurant Base (Hidden)'!B413=0,"", 'Restaurant Base (Hidden)'!B413)</f>
        <v/>
      </c>
      <c r="C418" s="163" t="str">
        <f>IF('Restaurant Base (Hidden)'!C413=0,"", 'Restaurant Base (Hidden)'!C413)</f>
        <v/>
      </c>
      <c r="D418" s="104" t="str">
        <f t="shared" si="6"/>
        <v/>
      </c>
      <c r="E418" s="105" t="str">
        <f>+IFERROR(INDEX('Restaurant Base (Hidden)'!$A$2:$Z$1048576,MATCH($C418,'Restaurant Base (Hidden)'!$C$2:$C$1048576,0),MATCH(E$6,'Restaurant Base (Hidden)'!$A$1:$Z$1,0)),"")</f>
        <v/>
      </c>
      <c r="F418" s="2" t="str">
        <f>+IFERROR(INDEX('Restaurant Base (Hidden)'!$A$2:$Z$1048576,MATCH($C418,'Restaurant Base (Hidden)'!$C$2:$C$1048576,0),MATCH(F$6,'Restaurant Base (Hidden)'!$A$1:$Z$1,0)),"")</f>
        <v/>
      </c>
      <c r="G418" s="20" t="str">
        <f>+IFERROR(INDEX('Restaurant Base (Hidden)'!$A$2:$Z$1048576,MATCH($C418,'Restaurant Base (Hidden)'!$C$2:$C$1048576,0),MATCH(G$6,'Restaurant Base (Hidden)'!$A$1:$Z$1,0)),"")</f>
        <v/>
      </c>
      <c r="H418" s="50" t="str">
        <f>+IFERROR(INDEX('Restaurant Base (Hidden)'!$A$2:$Z$1048576,MATCH($C418,'Restaurant Base (Hidden)'!$C$2:$C$1048576,0),MATCH(H$6,'Restaurant Base (Hidden)'!$A$1:$Z$1,0)),"")</f>
        <v/>
      </c>
      <c r="I418" s="20" t="str">
        <f>+IFERROR(INDEX('Restaurant Base (Hidden)'!$A$2:$Z$1048576,MATCH($C418,'Restaurant Base (Hidden)'!$C$2:$C$1048576,0),MATCH(I$6,'Restaurant Base (Hidden)'!$A$1:$Z$1,0)),"")</f>
        <v/>
      </c>
      <c r="J418" s="49" t="str">
        <f>+IFERROR(INDEX('Restaurant Base (Hidden)'!$A$2:$Z$1048576,MATCH($C418,'Restaurant Base (Hidden)'!$C$2:$C$1048576,0),MATCH(J$6,'Restaurant Base (Hidden)'!$A$1:$Z$1,0)),"")</f>
        <v/>
      </c>
      <c r="K418" s="20" t="str">
        <f>+IFERROR(INDEX('Restaurant Base (Hidden)'!$A$2:$Z$1048576,MATCH($C418,'Restaurant Base (Hidden)'!$C$2:$C$1048576,0),MATCH(K$6,'Restaurant Base (Hidden)'!$A$1:$Z$1,0)),"")</f>
        <v/>
      </c>
      <c r="L418" s="51" t="str">
        <f>+IFERROR(INDEX('Restaurant Base (Hidden)'!$A$2:$Z$1048576,MATCH($C418,'Restaurant Base (Hidden)'!$C$2:$C$1048576,0),MATCH(L$6,'Restaurant Base (Hidden)'!$A$1:$Z$1,0)),"")</f>
        <v/>
      </c>
      <c r="M418" s="2" t="str">
        <f>+IFERROR(INDEX('Restaurant Base (Hidden)'!$A$2:$Z$1048576,MATCH($C418,'Restaurant Base (Hidden)'!$C$2:$C$1048576,0),MATCH(M$6,'Restaurant Base (Hidden)'!$A$1:$Z$1,0)),"")</f>
        <v/>
      </c>
      <c r="N418" s="234" t="str">
        <f>+IFERROR(INDEX('Restaurant Base (Hidden)'!$A$2:$Z$1048576,MATCH($C418,'Restaurant Base (Hidden)'!$C$2:$C$1048576,0),MATCH(N$6,'Restaurant Base (Hidden)'!$A$1:$Z$1,0)),"")</f>
        <v/>
      </c>
      <c r="O418" s="1" t="str">
        <f>+IFERROR(INDEX('Restaurant Base (Hidden)'!$A$2:$Z$1048576,MATCH($C418,'Restaurant Base (Hidden)'!$C$2:$C$1048576,0),MATCH(O$6,'Restaurant Base (Hidden)'!$A$1:$Z$1,0)),"")</f>
        <v/>
      </c>
      <c r="P418" s="2" t="str">
        <f>+IFERROR(INDEX('Restaurant Base (Hidden)'!$A$2:$Z$1048576,MATCH($C418,'Restaurant Base (Hidden)'!$C$2:$C$1048576,0),MATCH(P$6,'Restaurant Base (Hidden)'!$A$1:$Z$1,0)),"")</f>
        <v/>
      </c>
      <c r="Q418" s="234" t="str">
        <f>+IFERROR(INDEX('Restaurant Base (Hidden)'!$A$2:$Z$1048576,MATCH($C418,'Restaurant Base (Hidden)'!$C$2:$C$1048576,0),MATCH(Q$6,'Restaurant Base (Hidden)'!$A$1:$Z$1,0)),"")</f>
        <v/>
      </c>
      <c r="R418" s="1" t="str">
        <f>+IFERROR(INDEX('Restaurant Base (Hidden)'!$A$2:$Z$1048576,MATCH($C418,'Restaurant Base (Hidden)'!$C$2:$C$1048576,0),MATCH(R$6,'Restaurant Base (Hidden)'!$A$1:$Z$1,0)),"")</f>
        <v/>
      </c>
      <c r="S418" s="2" t="str">
        <f>+IFERROR(INDEX('Restaurant Base (Hidden)'!$A$2:$Z$1048576,MATCH($C418,'Restaurant Base (Hidden)'!$C$2:$C$1048576,0),MATCH(S$6,'Restaurant Base (Hidden)'!$A$1:$Z$1,0)),"")</f>
        <v/>
      </c>
      <c r="T418" s="62" t="str">
        <f>+IFERROR(INDEX('Restaurant Base (Hidden)'!$A$2:$Z$1048576,MATCH($C418,'Restaurant Base (Hidden)'!$C$2:$C$1048576,0),MATCH(T$6,'Restaurant Base (Hidden)'!$A$1:$Z$1,0)),"")</f>
        <v/>
      </c>
      <c r="U418" s="1" t="str">
        <f>+IFERROR(INDEX('Restaurant Base (Hidden)'!$A$2:$Z$1048576,MATCH($C418,'Restaurant Base (Hidden)'!$C$2:$C$1048576,0),MATCH(U$6,'Restaurant Base (Hidden)'!$A$1:$Z$1,0)),"")</f>
        <v/>
      </c>
      <c r="V418" s="2" t="str">
        <f>+IFERROR(INDEX('Restaurant Base (Hidden)'!$A$2:$Z$1048576,MATCH($C418,'Restaurant Base (Hidden)'!$C$2:$C$1048576,0),MATCH(V$6,'Restaurant Base (Hidden)'!$A$1:$Z$1,0)),"")</f>
        <v/>
      </c>
      <c r="W418" s="65" t="str">
        <f>+IFERROR(INDEX('Restaurant Base (Hidden)'!$A$2:$Z$1048576,MATCH($C418,'Restaurant Base (Hidden)'!$C$2:$C$1048576,0),MATCH(W$6,'Restaurant Base (Hidden)'!$A$1:$Z$1,0)),"")</f>
        <v/>
      </c>
      <c r="X418" s="1" t="str">
        <f>+IFERROR(INDEX('Restaurant Base (Hidden)'!$A$2:$Z$1048576,MATCH($C418,'Restaurant Base (Hidden)'!$C$2:$C$1048576,0),MATCH(X$6,'Restaurant Base (Hidden)'!$A$1:$Z$1,0)),"")</f>
        <v/>
      </c>
      <c r="Y418" s="65" t="str">
        <f>+IFERROR(INDEX('Restaurant Base (Hidden)'!$A$2:$Z$1048576,MATCH($C418,'Restaurant Base (Hidden)'!$C$2:$C$1048576,0),MATCH(Y$6,'Restaurant Base (Hidden)'!$A$1:$Z$1,0)),"")</f>
        <v/>
      </c>
      <c r="Z418" s="106" t="str">
        <f>+IFERROR(INDEX('Restaurant Base (Hidden)'!$A$2:$Z$1048576,MATCH($C418,'Restaurant Base (Hidden)'!$C$2:$C$1048576,0),MATCH(Z$6,'Restaurant Base (Hidden)'!$A$1:$Z$1,0)),"")</f>
        <v/>
      </c>
      <c r="AA418" s="65" t="str">
        <f>+IFERROR(INDEX('Restaurant Base (Hidden)'!$A$2:$Z$1048576,MATCH($C418,'Restaurant Base (Hidden)'!$C$2:$C$1048576,0),MATCH(AA$6,'Restaurant Base (Hidden)'!$A$1:$Z$1,0)),"")</f>
        <v/>
      </c>
      <c r="AB418" s="1" t="str">
        <f>+IFERROR(INDEX('Restaurant Base (Hidden)'!$A$2:$Z$1048576,MATCH($C418,'Restaurant Base (Hidden)'!$C$2:$C$1048576,0),MATCH(AB$6,'Restaurant Base (Hidden)'!$A$1:$Z$1,0)),"")</f>
        <v/>
      </c>
      <c r="AC418" s="20" t="str">
        <f>+IFERROR(INDEX('Restaurant Base (Hidden)'!$A$2:$Z$1048576,MATCH($C418,'Restaurant Base (Hidden)'!$C$2:$C$1048576,0),MATCH(AC$6,'Restaurant Base (Hidden)'!$A$1:$Z$1,0)),"")</f>
        <v/>
      </c>
      <c r="AD418" s="65" t="str">
        <f>+IFERROR(INDEX('Restaurant Base (Hidden)'!$A$2:$Z$1048576,MATCH($C418,'Restaurant Base (Hidden)'!$C$2:$C$1048576,0),MATCH(AD$6,'Restaurant Base (Hidden)'!$A$1:$Z$1,0)),"")</f>
        <v/>
      </c>
      <c r="AE418" s="1" t="str">
        <f>+IFERROR(INDEX('Restaurant Base (Hidden)'!$A$2:$Z$1048576,MATCH($C418,'Restaurant Base (Hidden)'!$C$2:$C$1048576,0),MATCH(AE$6,'Restaurant Base (Hidden)'!$A$1:$Z$1,0)),"")</f>
        <v/>
      </c>
      <c r="AF418" s="65" t="str">
        <f>+IFERROR(INDEX('Restaurant Base (Hidden)'!$A$2:$Z$1048576,MATCH($C418,'Restaurant Base (Hidden)'!$C$2:$C$1048576,0),MATCH(AF$6,'Restaurant Base (Hidden)'!$A$1:$Z$1,0)),"")</f>
        <v/>
      </c>
      <c r="AG418" s="1" t="str">
        <f>+IFERROR(INDEX('Restaurant Base (Hidden)'!$A$2:$Z$1048576,MATCH($C418,'Restaurant Base (Hidden)'!$C$2:$C$1048576,0),MATCH(AG$6,'Restaurant Base (Hidden)'!$A$1:$Z$1,0)),"")</f>
        <v/>
      </c>
    </row>
    <row r="419" spans="1:33" ht="16" customHeight="1" x14ac:dyDescent="0.4">
      <c r="A419" s="163" t="str">
        <f>IF('Restaurant Base (Hidden)'!A414=0,"", 'Restaurant Base (Hidden)'!A414)</f>
        <v/>
      </c>
      <c r="B419" s="163" t="str">
        <f>IF('Restaurant Base (Hidden)'!B414=0,"", 'Restaurant Base (Hidden)'!B414)</f>
        <v/>
      </c>
      <c r="C419" s="163" t="str">
        <f>IF('Restaurant Base (Hidden)'!C414=0,"", 'Restaurant Base (Hidden)'!C414)</f>
        <v/>
      </c>
      <c r="D419" s="104" t="str">
        <f t="shared" si="6"/>
        <v/>
      </c>
      <c r="E419" s="105" t="str">
        <f>+IFERROR(INDEX('Restaurant Base (Hidden)'!$A$2:$Z$1048576,MATCH($C419,'Restaurant Base (Hidden)'!$C$2:$C$1048576,0),MATCH(E$6,'Restaurant Base (Hidden)'!$A$1:$Z$1,0)),"")</f>
        <v/>
      </c>
      <c r="F419" s="2" t="str">
        <f>+IFERROR(INDEX('Restaurant Base (Hidden)'!$A$2:$Z$1048576,MATCH($C419,'Restaurant Base (Hidden)'!$C$2:$C$1048576,0),MATCH(F$6,'Restaurant Base (Hidden)'!$A$1:$Z$1,0)),"")</f>
        <v/>
      </c>
      <c r="G419" s="20" t="str">
        <f>+IFERROR(INDEX('Restaurant Base (Hidden)'!$A$2:$Z$1048576,MATCH($C419,'Restaurant Base (Hidden)'!$C$2:$C$1048576,0),MATCH(G$6,'Restaurant Base (Hidden)'!$A$1:$Z$1,0)),"")</f>
        <v/>
      </c>
      <c r="H419" s="50" t="str">
        <f>+IFERROR(INDEX('Restaurant Base (Hidden)'!$A$2:$Z$1048576,MATCH($C419,'Restaurant Base (Hidden)'!$C$2:$C$1048576,0),MATCH(H$6,'Restaurant Base (Hidden)'!$A$1:$Z$1,0)),"")</f>
        <v/>
      </c>
      <c r="I419" s="20" t="str">
        <f>+IFERROR(INDEX('Restaurant Base (Hidden)'!$A$2:$Z$1048576,MATCH($C419,'Restaurant Base (Hidden)'!$C$2:$C$1048576,0),MATCH(I$6,'Restaurant Base (Hidden)'!$A$1:$Z$1,0)),"")</f>
        <v/>
      </c>
      <c r="J419" s="49" t="str">
        <f>+IFERROR(INDEX('Restaurant Base (Hidden)'!$A$2:$Z$1048576,MATCH($C419,'Restaurant Base (Hidden)'!$C$2:$C$1048576,0),MATCH(J$6,'Restaurant Base (Hidden)'!$A$1:$Z$1,0)),"")</f>
        <v/>
      </c>
      <c r="K419" s="20" t="str">
        <f>+IFERROR(INDEX('Restaurant Base (Hidden)'!$A$2:$Z$1048576,MATCH($C419,'Restaurant Base (Hidden)'!$C$2:$C$1048576,0),MATCH(K$6,'Restaurant Base (Hidden)'!$A$1:$Z$1,0)),"")</f>
        <v/>
      </c>
      <c r="L419" s="51" t="str">
        <f>+IFERROR(INDEX('Restaurant Base (Hidden)'!$A$2:$Z$1048576,MATCH($C419,'Restaurant Base (Hidden)'!$C$2:$C$1048576,0),MATCH(L$6,'Restaurant Base (Hidden)'!$A$1:$Z$1,0)),"")</f>
        <v/>
      </c>
      <c r="M419" s="2" t="str">
        <f>+IFERROR(INDEX('Restaurant Base (Hidden)'!$A$2:$Z$1048576,MATCH($C419,'Restaurant Base (Hidden)'!$C$2:$C$1048576,0),MATCH(M$6,'Restaurant Base (Hidden)'!$A$1:$Z$1,0)),"")</f>
        <v/>
      </c>
      <c r="N419" s="234" t="str">
        <f>+IFERROR(INDEX('Restaurant Base (Hidden)'!$A$2:$Z$1048576,MATCH($C419,'Restaurant Base (Hidden)'!$C$2:$C$1048576,0),MATCH(N$6,'Restaurant Base (Hidden)'!$A$1:$Z$1,0)),"")</f>
        <v/>
      </c>
      <c r="O419" s="1" t="str">
        <f>+IFERROR(INDEX('Restaurant Base (Hidden)'!$A$2:$Z$1048576,MATCH($C419,'Restaurant Base (Hidden)'!$C$2:$C$1048576,0),MATCH(O$6,'Restaurant Base (Hidden)'!$A$1:$Z$1,0)),"")</f>
        <v/>
      </c>
      <c r="P419" s="2" t="str">
        <f>+IFERROR(INDEX('Restaurant Base (Hidden)'!$A$2:$Z$1048576,MATCH($C419,'Restaurant Base (Hidden)'!$C$2:$C$1048576,0),MATCH(P$6,'Restaurant Base (Hidden)'!$A$1:$Z$1,0)),"")</f>
        <v/>
      </c>
      <c r="Q419" s="234" t="str">
        <f>+IFERROR(INDEX('Restaurant Base (Hidden)'!$A$2:$Z$1048576,MATCH($C419,'Restaurant Base (Hidden)'!$C$2:$C$1048576,0),MATCH(Q$6,'Restaurant Base (Hidden)'!$A$1:$Z$1,0)),"")</f>
        <v/>
      </c>
      <c r="R419" s="1" t="str">
        <f>+IFERROR(INDEX('Restaurant Base (Hidden)'!$A$2:$Z$1048576,MATCH($C419,'Restaurant Base (Hidden)'!$C$2:$C$1048576,0),MATCH(R$6,'Restaurant Base (Hidden)'!$A$1:$Z$1,0)),"")</f>
        <v/>
      </c>
      <c r="S419" s="2" t="str">
        <f>+IFERROR(INDEX('Restaurant Base (Hidden)'!$A$2:$Z$1048576,MATCH($C419,'Restaurant Base (Hidden)'!$C$2:$C$1048576,0),MATCH(S$6,'Restaurant Base (Hidden)'!$A$1:$Z$1,0)),"")</f>
        <v/>
      </c>
      <c r="T419" s="62" t="str">
        <f>+IFERROR(INDEX('Restaurant Base (Hidden)'!$A$2:$Z$1048576,MATCH($C419,'Restaurant Base (Hidden)'!$C$2:$C$1048576,0),MATCH(T$6,'Restaurant Base (Hidden)'!$A$1:$Z$1,0)),"")</f>
        <v/>
      </c>
      <c r="U419" s="1" t="str">
        <f>+IFERROR(INDEX('Restaurant Base (Hidden)'!$A$2:$Z$1048576,MATCH($C419,'Restaurant Base (Hidden)'!$C$2:$C$1048576,0),MATCH(U$6,'Restaurant Base (Hidden)'!$A$1:$Z$1,0)),"")</f>
        <v/>
      </c>
      <c r="V419" s="2" t="str">
        <f>+IFERROR(INDEX('Restaurant Base (Hidden)'!$A$2:$Z$1048576,MATCH($C419,'Restaurant Base (Hidden)'!$C$2:$C$1048576,0),MATCH(V$6,'Restaurant Base (Hidden)'!$A$1:$Z$1,0)),"")</f>
        <v/>
      </c>
      <c r="W419" s="65" t="str">
        <f>+IFERROR(INDEX('Restaurant Base (Hidden)'!$A$2:$Z$1048576,MATCH($C419,'Restaurant Base (Hidden)'!$C$2:$C$1048576,0),MATCH(W$6,'Restaurant Base (Hidden)'!$A$1:$Z$1,0)),"")</f>
        <v/>
      </c>
      <c r="X419" s="1" t="str">
        <f>+IFERROR(INDEX('Restaurant Base (Hidden)'!$A$2:$Z$1048576,MATCH($C419,'Restaurant Base (Hidden)'!$C$2:$C$1048576,0),MATCH(X$6,'Restaurant Base (Hidden)'!$A$1:$Z$1,0)),"")</f>
        <v/>
      </c>
      <c r="Y419" s="65" t="str">
        <f>+IFERROR(INDEX('Restaurant Base (Hidden)'!$A$2:$Z$1048576,MATCH($C419,'Restaurant Base (Hidden)'!$C$2:$C$1048576,0),MATCH(Y$6,'Restaurant Base (Hidden)'!$A$1:$Z$1,0)),"")</f>
        <v/>
      </c>
      <c r="Z419" s="106" t="str">
        <f>+IFERROR(INDEX('Restaurant Base (Hidden)'!$A$2:$Z$1048576,MATCH($C419,'Restaurant Base (Hidden)'!$C$2:$C$1048576,0),MATCH(Z$6,'Restaurant Base (Hidden)'!$A$1:$Z$1,0)),"")</f>
        <v/>
      </c>
      <c r="AA419" s="65" t="str">
        <f>+IFERROR(INDEX('Restaurant Base (Hidden)'!$A$2:$Z$1048576,MATCH($C419,'Restaurant Base (Hidden)'!$C$2:$C$1048576,0),MATCH(AA$6,'Restaurant Base (Hidden)'!$A$1:$Z$1,0)),"")</f>
        <v/>
      </c>
      <c r="AB419" s="1" t="str">
        <f>+IFERROR(INDEX('Restaurant Base (Hidden)'!$A$2:$Z$1048576,MATCH($C419,'Restaurant Base (Hidden)'!$C$2:$C$1048576,0),MATCH(AB$6,'Restaurant Base (Hidden)'!$A$1:$Z$1,0)),"")</f>
        <v/>
      </c>
      <c r="AC419" s="20" t="str">
        <f>+IFERROR(INDEX('Restaurant Base (Hidden)'!$A$2:$Z$1048576,MATCH($C419,'Restaurant Base (Hidden)'!$C$2:$C$1048576,0),MATCH(AC$6,'Restaurant Base (Hidden)'!$A$1:$Z$1,0)),"")</f>
        <v/>
      </c>
      <c r="AD419" s="65" t="str">
        <f>+IFERROR(INDEX('Restaurant Base (Hidden)'!$A$2:$Z$1048576,MATCH($C419,'Restaurant Base (Hidden)'!$C$2:$C$1048576,0),MATCH(AD$6,'Restaurant Base (Hidden)'!$A$1:$Z$1,0)),"")</f>
        <v/>
      </c>
      <c r="AE419" s="1" t="str">
        <f>+IFERROR(INDEX('Restaurant Base (Hidden)'!$A$2:$Z$1048576,MATCH($C419,'Restaurant Base (Hidden)'!$C$2:$C$1048576,0),MATCH(AE$6,'Restaurant Base (Hidden)'!$A$1:$Z$1,0)),"")</f>
        <v/>
      </c>
      <c r="AF419" s="65" t="str">
        <f>+IFERROR(INDEX('Restaurant Base (Hidden)'!$A$2:$Z$1048576,MATCH($C419,'Restaurant Base (Hidden)'!$C$2:$C$1048576,0),MATCH(AF$6,'Restaurant Base (Hidden)'!$A$1:$Z$1,0)),"")</f>
        <v/>
      </c>
      <c r="AG419" s="1" t="str">
        <f>+IFERROR(INDEX('Restaurant Base (Hidden)'!$A$2:$Z$1048576,MATCH($C419,'Restaurant Base (Hidden)'!$C$2:$C$1048576,0),MATCH(AG$6,'Restaurant Base (Hidden)'!$A$1:$Z$1,0)),"")</f>
        <v/>
      </c>
    </row>
    <row r="420" spans="1:33" ht="16" customHeight="1" x14ac:dyDescent="0.4">
      <c r="A420" s="163" t="str">
        <f>IF('Restaurant Base (Hidden)'!A415=0,"", 'Restaurant Base (Hidden)'!A415)</f>
        <v/>
      </c>
      <c r="B420" s="163" t="str">
        <f>IF('Restaurant Base (Hidden)'!B415=0,"", 'Restaurant Base (Hidden)'!B415)</f>
        <v/>
      </c>
      <c r="C420" s="163" t="str">
        <f>IF('Restaurant Base (Hidden)'!C415=0,"", 'Restaurant Base (Hidden)'!C415)</f>
        <v/>
      </c>
      <c r="D420" s="104" t="str">
        <f t="shared" si="6"/>
        <v/>
      </c>
      <c r="E420" s="105" t="str">
        <f>+IFERROR(INDEX('Restaurant Base (Hidden)'!$A$2:$Z$1048576,MATCH($C420,'Restaurant Base (Hidden)'!$C$2:$C$1048576,0),MATCH(E$6,'Restaurant Base (Hidden)'!$A$1:$Z$1,0)),"")</f>
        <v/>
      </c>
      <c r="F420" s="2" t="str">
        <f>+IFERROR(INDEX('Restaurant Base (Hidden)'!$A$2:$Z$1048576,MATCH($C420,'Restaurant Base (Hidden)'!$C$2:$C$1048576,0),MATCH(F$6,'Restaurant Base (Hidden)'!$A$1:$Z$1,0)),"")</f>
        <v/>
      </c>
      <c r="G420" s="20" t="str">
        <f>+IFERROR(INDEX('Restaurant Base (Hidden)'!$A$2:$Z$1048576,MATCH($C420,'Restaurant Base (Hidden)'!$C$2:$C$1048576,0),MATCH(G$6,'Restaurant Base (Hidden)'!$A$1:$Z$1,0)),"")</f>
        <v/>
      </c>
      <c r="H420" s="50" t="str">
        <f>+IFERROR(INDEX('Restaurant Base (Hidden)'!$A$2:$Z$1048576,MATCH($C420,'Restaurant Base (Hidden)'!$C$2:$C$1048576,0),MATCH(H$6,'Restaurant Base (Hidden)'!$A$1:$Z$1,0)),"")</f>
        <v/>
      </c>
      <c r="I420" s="20" t="str">
        <f>+IFERROR(INDEX('Restaurant Base (Hidden)'!$A$2:$Z$1048576,MATCH($C420,'Restaurant Base (Hidden)'!$C$2:$C$1048576,0),MATCH(I$6,'Restaurant Base (Hidden)'!$A$1:$Z$1,0)),"")</f>
        <v/>
      </c>
      <c r="J420" s="49" t="str">
        <f>+IFERROR(INDEX('Restaurant Base (Hidden)'!$A$2:$Z$1048576,MATCH($C420,'Restaurant Base (Hidden)'!$C$2:$C$1048576,0),MATCH(J$6,'Restaurant Base (Hidden)'!$A$1:$Z$1,0)),"")</f>
        <v/>
      </c>
      <c r="K420" s="20" t="str">
        <f>+IFERROR(INDEX('Restaurant Base (Hidden)'!$A$2:$Z$1048576,MATCH($C420,'Restaurant Base (Hidden)'!$C$2:$C$1048576,0),MATCH(K$6,'Restaurant Base (Hidden)'!$A$1:$Z$1,0)),"")</f>
        <v/>
      </c>
      <c r="L420" s="51" t="str">
        <f>+IFERROR(INDEX('Restaurant Base (Hidden)'!$A$2:$Z$1048576,MATCH($C420,'Restaurant Base (Hidden)'!$C$2:$C$1048576,0),MATCH(L$6,'Restaurant Base (Hidden)'!$A$1:$Z$1,0)),"")</f>
        <v/>
      </c>
      <c r="M420" s="2" t="str">
        <f>+IFERROR(INDEX('Restaurant Base (Hidden)'!$A$2:$Z$1048576,MATCH($C420,'Restaurant Base (Hidden)'!$C$2:$C$1048576,0),MATCH(M$6,'Restaurant Base (Hidden)'!$A$1:$Z$1,0)),"")</f>
        <v/>
      </c>
      <c r="N420" s="234" t="str">
        <f>+IFERROR(INDEX('Restaurant Base (Hidden)'!$A$2:$Z$1048576,MATCH($C420,'Restaurant Base (Hidden)'!$C$2:$C$1048576,0),MATCH(N$6,'Restaurant Base (Hidden)'!$A$1:$Z$1,0)),"")</f>
        <v/>
      </c>
      <c r="O420" s="1" t="str">
        <f>+IFERROR(INDEX('Restaurant Base (Hidden)'!$A$2:$Z$1048576,MATCH($C420,'Restaurant Base (Hidden)'!$C$2:$C$1048576,0),MATCH(O$6,'Restaurant Base (Hidden)'!$A$1:$Z$1,0)),"")</f>
        <v/>
      </c>
      <c r="P420" s="2" t="str">
        <f>+IFERROR(INDEX('Restaurant Base (Hidden)'!$A$2:$Z$1048576,MATCH($C420,'Restaurant Base (Hidden)'!$C$2:$C$1048576,0),MATCH(P$6,'Restaurant Base (Hidden)'!$A$1:$Z$1,0)),"")</f>
        <v/>
      </c>
      <c r="Q420" s="234" t="str">
        <f>+IFERROR(INDEX('Restaurant Base (Hidden)'!$A$2:$Z$1048576,MATCH($C420,'Restaurant Base (Hidden)'!$C$2:$C$1048576,0),MATCH(Q$6,'Restaurant Base (Hidden)'!$A$1:$Z$1,0)),"")</f>
        <v/>
      </c>
      <c r="R420" s="1" t="str">
        <f>+IFERROR(INDEX('Restaurant Base (Hidden)'!$A$2:$Z$1048576,MATCH($C420,'Restaurant Base (Hidden)'!$C$2:$C$1048576,0),MATCH(R$6,'Restaurant Base (Hidden)'!$A$1:$Z$1,0)),"")</f>
        <v/>
      </c>
      <c r="S420" s="2" t="str">
        <f>+IFERROR(INDEX('Restaurant Base (Hidden)'!$A$2:$Z$1048576,MATCH($C420,'Restaurant Base (Hidden)'!$C$2:$C$1048576,0),MATCH(S$6,'Restaurant Base (Hidden)'!$A$1:$Z$1,0)),"")</f>
        <v/>
      </c>
      <c r="T420" s="62" t="str">
        <f>+IFERROR(INDEX('Restaurant Base (Hidden)'!$A$2:$Z$1048576,MATCH($C420,'Restaurant Base (Hidden)'!$C$2:$C$1048576,0),MATCH(T$6,'Restaurant Base (Hidden)'!$A$1:$Z$1,0)),"")</f>
        <v/>
      </c>
      <c r="U420" s="1" t="str">
        <f>+IFERROR(INDEX('Restaurant Base (Hidden)'!$A$2:$Z$1048576,MATCH($C420,'Restaurant Base (Hidden)'!$C$2:$C$1048576,0),MATCH(U$6,'Restaurant Base (Hidden)'!$A$1:$Z$1,0)),"")</f>
        <v/>
      </c>
      <c r="V420" s="2" t="str">
        <f>+IFERROR(INDEX('Restaurant Base (Hidden)'!$A$2:$Z$1048576,MATCH($C420,'Restaurant Base (Hidden)'!$C$2:$C$1048576,0),MATCH(V$6,'Restaurant Base (Hidden)'!$A$1:$Z$1,0)),"")</f>
        <v/>
      </c>
      <c r="W420" s="65" t="str">
        <f>+IFERROR(INDEX('Restaurant Base (Hidden)'!$A$2:$Z$1048576,MATCH($C420,'Restaurant Base (Hidden)'!$C$2:$C$1048576,0),MATCH(W$6,'Restaurant Base (Hidden)'!$A$1:$Z$1,0)),"")</f>
        <v/>
      </c>
      <c r="X420" s="1" t="str">
        <f>+IFERROR(INDEX('Restaurant Base (Hidden)'!$A$2:$Z$1048576,MATCH($C420,'Restaurant Base (Hidden)'!$C$2:$C$1048576,0),MATCH(X$6,'Restaurant Base (Hidden)'!$A$1:$Z$1,0)),"")</f>
        <v/>
      </c>
      <c r="Y420" s="65" t="str">
        <f>+IFERROR(INDEX('Restaurant Base (Hidden)'!$A$2:$Z$1048576,MATCH($C420,'Restaurant Base (Hidden)'!$C$2:$C$1048576,0),MATCH(Y$6,'Restaurant Base (Hidden)'!$A$1:$Z$1,0)),"")</f>
        <v/>
      </c>
      <c r="Z420" s="106" t="str">
        <f>+IFERROR(INDEX('Restaurant Base (Hidden)'!$A$2:$Z$1048576,MATCH($C420,'Restaurant Base (Hidden)'!$C$2:$C$1048576,0),MATCH(Z$6,'Restaurant Base (Hidden)'!$A$1:$Z$1,0)),"")</f>
        <v/>
      </c>
      <c r="AA420" s="65" t="str">
        <f>+IFERROR(INDEX('Restaurant Base (Hidden)'!$A$2:$Z$1048576,MATCH($C420,'Restaurant Base (Hidden)'!$C$2:$C$1048576,0),MATCH(AA$6,'Restaurant Base (Hidden)'!$A$1:$Z$1,0)),"")</f>
        <v/>
      </c>
      <c r="AB420" s="1" t="str">
        <f>+IFERROR(INDEX('Restaurant Base (Hidden)'!$A$2:$Z$1048576,MATCH($C420,'Restaurant Base (Hidden)'!$C$2:$C$1048576,0),MATCH(AB$6,'Restaurant Base (Hidden)'!$A$1:$Z$1,0)),"")</f>
        <v/>
      </c>
      <c r="AC420" s="20" t="str">
        <f>+IFERROR(INDEX('Restaurant Base (Hidden)'!$A$2:$Z$1048576,MATCH($C420,'Restaurant Base (Hidden)'!$C$2:$C$1048576,0),MATCH(AC$6,'Restaurant Base (Hidden)'!$A$1:$Z$1,0)),"")</f>
        <v/>
      </c>
      <c r="AD420" s="65" t="str">
        <f>+IFERROR(INDEX('Restaurant Base (Hidden)'!$A$2:$Z$1048576,MATCH($C420,'Restaurant Base (Hidden)'!$C$2:$C$1048576,0),MATCH(AD$6,'Restaurant Base (Hidden)'!$A$1:$Z$1,0)),"")</f>
        <v/>
      </c>
      <c r="AE420" s="1" t="str">
        <f>+IFERROR(INDEX('Restaurant Base (Hidden)'!$A$2:$Z$1048576,MATCH($C420,'Restaurant Base (Hidden)'!$C$2:$C$1048576,0),MATCH(AE$6,'Restaurant Base (Hidden)'!$A$1:$Z$1,0)),"")</f>
        <v/>
      </c>
      <c r="AF420" s="65" t="str">
        <f>+IFERROR(INDEX('Restaurant Base (Hidden)'!$A$2:$Z$1048576,MATCH($C420,'Restaurant Base (Hidden)'!$C$2:$C$1048576,0),MATCH(AF$6,'Restaurant Base (Hidden)'!$A$1:$Z$1,0)),"")</f>
        <v/>
      </c>
      <c r="AG420" s="1" t="str">
        <f>+IFERROR(INDEX('Restaurant Base (Hidden)'!$A$2:$Z$1048576,MATCH($C420,'Restaurant Base (Hidden)'!$C$2:$C$1048576,0),MATCH(AG$6,'Restaurant Base (Hidden)'!$A$1:$Z$1,0)),"")</f>
        <v/>
      </c>
    </row>
    <row r="421" spans="1:33" ht="16" customHeight="1" x14ac:dyDescent="0.4">
      <c r="A421" s="163" t="str">
        <f>IF('Restaurant Base (Hidden)'!A416=0,"", 'Restaurant Base (Hidden)'!A416)</f>
        <v/>
      </c>
      <c r="B421" s="163" t="str">
        <f>IF('Restaurant Base (Hidden)'!B416=0,"", 'Restaurant Base (Hidden)'!B416)</f>
        <v/>
      </c>
      <c r="C421" s="163" t="str">
        <f>IF('Restaurant Base (Hidden)'!C416=0,"", 'Restaurant Base (Hidden)'!C416)</f>
        <v/>
      </c>
      <c r="D421" s="104" t="str">
        <f t="shared" si="6"/>
        <v/>
      </c>
      <c r="E421" s="105" t="str">
        <f>+IFERROR(INDEX('Restaurant Base (Hidden)'!$A$2:$Z$1048576,MATCH($C421,'Restaurant Base (Hidden)'!$C$2:$C$1048576,0),MATCH(E$6,'Restaurant Base (Hidden)'!$A$1:$Z$1,0)),"")</f>
        <v/>
      </c>
      <c r="F421" s="2" t="str">
        <f>+IFERROR(INDEX('Restaurant Base (Hidden)'!$A$2:$Z$1048576,MATCH($C421,'Restaurant Base (Hidden)'!$C$2:$C$1048576,0),MATCH(F$6,'Restaurant Base (Hidden)'!$A$1:$Z$1,0)),"")</f>
        <v/>
      </c>
      <c r="G421" s="20" t="str">
        <f>+IFERROR(INDEX('Restaurant Base (Hidden)'!$A$2:$Z$1048576,MATCH($C421,'Restaurant Base (Hidden)'!$C$2:$C$1048576,0),MATCH(G$6,'Restaurant Base (Hidden)'!$A$1:$Z$1,0)),"")</f>
        <v/>
      </c>
      <c r="H421" s="50" t="str">
        <f>+IFERROR(INDEX('Restaurant Base (Hidden)'!$A$2:$Z$1048576,MATCH($C421,'Restaurant Base (Hidden)'!$C$2:$C$1048576,0),MATCH(H$6,'Restaurant Base (Hidden)'!$A$1:$Z$1,0)),"")</f>
        <v/>
      </c>
      <c r="I421" s="20" t="str">
        <f>+IFERROR(INDEX('Restaurant Base (Hidden)'!$A$2:$Z$1048576,MATCH($C421,'Restaurant Base (Hidden)'!$C$2:$C$1048576,0),MATCH(I$6,'Restaurant Base (Hidden)'!$A$1:$Z$1,0)),"")</f>
        <v/>
      </c>
      <c r="J421" s="49" t="str">
        <f>+IFERROR(INDEX('Restaurant Base (Hidden)'!$A$2:$Z$1048576,MATCH($C421,'Restaurant Base (Hidden)'!$C$2:$C$1048576,0),MATCH(J$6,'Restaurant Base (Hidden)'!$A$1:$Z$1,0)),"")</f>
        <v/>
      </c>
      <c r="K421" s="20" t="str">
        <f>+IFERROR(INDEX('Restaurant Base (Hidden)'!$A$2:$Z$1048576,MATCH($C421,'Restaurant Base (Hidden)'!$C$2:$C$1048576,0),MATCH(K$6,'Restaurant Base (Hidden)'!$A$1:$Z$1,0)),"")</f>
        <v/>
      </c>
      <c r="L421" s="51" t="str">
        <f>+IFERROR(INDEX('Restaurant Base (Hidden)'!$A$2:$Z$1048576,MATCH($C421,'Restaurant Base (Hidden)'!$C$2:$C$1048576,0),MATCH(L$6,'Restaurant Base (Hidden)'!$A$1:$Z$1,0)),"")</f>
        <v/>
      </c>
      <c r="M421" s="2" t="str">
        <f>+IFERROR(INDEX('Restaurant Base (Hidden)'!$A$2:$Z$1048576,MATCH($C421,'Restaurant Base (Hidden)'!$C$2:$C$1048576,0),MATCH(M$6,'Restaurant Base (Hidden)'!$A$1:$Z$1,0)),"")</f>
        <v/>
      </c>
      <c r="N421" s="234" t="str">
        <f>+IFERROR(INDEX('Restaurant Base (Hidden)'!$A$2:$Z$1048576,MATCH($C421,'Restaurant Base (Hidden)'!$C$2:$C$1048576,0),MATCH(N$6,'Restaurant Base (Hidden)'!$A$1:$Z$1,0)),"")</f>
        <v/>
      </c>
      <c r="O421" s="1" t="str">
        <f>+IFERROR(INDEX('Restaurant Base (Hidden)'!$A$2:$Z$1048576,MATCH($C421,'Restaurant Base (Hidden)'!$C$2:$C$1048576,0),MATCH(O$6,'Restaurant Base (Hidden)'!$A$1:$Z$1,0)),"")</f>
        <v/>
      </c>
      <c r="P421" s="2" t="str">
        <f>+IFERROR(INDEX('Restaurant Base (Hidden)'!$A$2:$Z$1048576,MATCH($C421,'Restaurant Base (Hidden)'!$C$2:$C$1048576,0),MATCH(P$6,'Restaurant Base (Hidden)'!$A$1:$Z$1,0)),"")</f>
        <v/>
      </c>
      <c r="Q421" s="234" t="str">
        <f>+IFERROR(INDEX('Restaurant Base (Hidden)'!$A$2:$Z$1048576,MATCH($C421,'Restaurant Base (Hidden)'!$C$2:$C$1048576,0),MATCH(Q$6,'Restaurant Base (Hidden)'!$A$1:$Z$1,0)),"")</f>
        <v/>
      </c>
      <c r="R421" s="1" t="str">
        <f>+IFERROR(INDEX('Restaurant Base (Hidden)'!$A$2:$Z$1048576,MATCH($C421,'Restaurant Base (Hidden)'!$C$2:$C$1048576,0),MATCH(R$6,'Restaurant Base (Hidden)'!$A$1:$Z$1,0)),"")</f>
        <v/>
      </c>
      <c r="S421" s="2" t="str">
        <f>+IFERROR(INDEX('Restaurant Base (Hidden)'!$A$2:$Z$1048576,MATCH($C421,'Restaurant Base (Hidden)'!$C$2:$C$1048576,0),MATCH(S$6,'Restaurant Base (Hidden)'!$A$1:$Z$1,0)),"")</f>
        <v/>
      </c>
      <c r="T421" s="62" t="str">
        <f>+IFERROR(INDEX('Restaurant Base (Hidden)'!$A$2:$Z$1048576,MATCH($C421,'Restaurant Base (Hidden)'!$C$2:$C$1048576,0),MATCH(T$6,'Restaurant Base (Hidden)'!$A$1:$Z$1,0)),"")</f>
        <v/>
      </c>
      <c r="U421" s="1" t="str">
        <f>+IFERROR(INDEX('Restaurant Base (Hidden)'!$A$2:$Z$1048576,MATCH($C421,'Restaurant Base (Hidden)'!$C$2:$C$1048576,0),MATCH(U$6,'Restaurant Base (Hidden)'!$A$1:$Z$1,0)),"")</f>
        <v/>
      </c>
      <c r="V421" s="2" t="str">
        <f>+IFERROR(INDEX('Restaurant Base (Hidden)'!$A$2:$Z$1048576,MATCH($C421,'Restaurant Base (Hidden)'!$C$2:$C$1048576,0),MATCH(V$6,'Restaurant Base (Hidden)'!$A$1:$Z$1,0)),"")</f>
        <v/>
      </c>
      <c r="W421" s="65" t="str">
        <f>+IFERROR(INDEX('Restaurant Base (Hidden)'!$A$2:$Z$1048576,MATCH($C421,'Restaurant Base (Hidden)'!$C$2:$C$1048576,0),MATCH(W$6,'Restaurant Base (Hidden)'!$A$1:$Z$1,0)),"")</f>
        <v/>
      </c>
      <c r="X421" s="1" t="str">
        <f>+IFERROR(INDEX('Restaurant Base (Hidden)'!$A$2:$Z$1048576,MATCH($C421,'Restaurant Base (Hidden)'!$C$2:$C$1048576,0),MATCH(X$6,'Restaurant Base (Hidden)'!$A$1:$Z$1,0)),"")</f>
        <v/>
      </c>
      <c r="Y421" s="65" t="str">
        <f>+IFERROR(INDEX('Restaurant Base (Hidden)'!$A$2:$Z$1048576,MATCH($C421,'Restaurant Base (Hidden)'!$C$2:$C$1048576,0),MATCH(Y$6,'Restaurant Base (Hidden)'!$A$1:$Z$1,0)),"")</f>
        <v/>
      </c>
      <c r="Z421" s="106" t="str">
        <f>+IFERROR(INDEX('Restaurant Base (Hidden)'!$A$2:$Z$1048576,MATCH($C421,'Restaurant Base (Hidden)'!$C$2:$C$1048576,0),MATCH(Z$6,'Restaurant Base (Hidden)'!$A$1:$Z$1,0)),"")</f>
        <v/>
      </c>
      <c r="AA421" s="65" t="str">
        <f>+IFERROR(INDEX('Restaurant Base (Hidden)'!$A$2:$Z$1048576,MATCH($C421,'Restaurant Base (Hidden)'!$C$2:$C$1048576,0),MATCH(AA$6,'Restaurant Base (Hidden)'!$A$1:$Z$1,0)),"")</f>
        <v/>
      </c>
      <c r="AB421" s="1" t="str">
        <f>+IFERROR(INDEX('Restaurant Base (Hidden)'!$A$2:$Z$1048576,MATCH($C421,'Restaurant Base (Hidden)'!$C$2:$C$1048576,0),MATCH(AB$6,'Restaurant Base (Hidden)'!$A$1:$Z$1,0)),"")</f>
        <v/>
      </c>
      <c r="AC421" s="20" t="str">
        <f>+IFERROR(INDEX('Restaurant Base (Hidden)'!$A$2:$Z$1048576,MATCH($C421,'Restaurant Base (Hidden)'!$C$2:$C$1048576,0),MATCH(AC$6,'Restaurant Base (Hidden)'!$A$1:$Z$1,0)),"")</f>
        <v/>
      </c>
      <c r="AD421" s="65" t="str">
        <f>+IFERROR(INDEX('Restaurant Base (Hidden)'!$A$2:$Z$1048576,MATCH($C421,'Restaurant Base (Hidden)'!$C$2:$C$1048576,0),MATCH(AD$6,'Restaurant Base (Hidden)'!$A$1:$Z$1,0)),"")</f>
        <v/>
      </c>
      <c r="AE421" s="1" t="str">
        <f>+IFERROR(INDEX('Restaurant Base (Hidden)'!$A$2:$Z$1048576,MATCH($C421,'Restaurant Base (Hidden)'!$C$2:$C$1048576,0),MATCH(AE$6,'Restaurant Base (Hidden)'!$A$1:$Z$1,0)),"")</f>
        <v/>
      </c>
      <c r="AF421" s="65" t="str">
        <f>+IFERROR(INDEX('Restaurant Base (Hidden)'!$A$2:$Z$1048576,MATCH($C421,'Restaurant Base (Hidden)'!$C$2:$C$1048576,0),MATCH(AF$6,'Restaurant Base (Hidden)'!$A$1:$Z$1,0)),"")</f>
        <v/>
      </c>
      <c r="AG421" s="1" t="str">
        <f>+IFERROR(INDEX('Restaurant Base (Hidden)'!$A$2:$Z$1048576,MATCH($C421,'Restaurant Base (Hidden)'!$C$2:$C$1048576,0),MATCH(AG$6,'Restaurant Base (Hidden)'!$A$1:$Z$1,0)),"")</f>
        <v/>
      </c>
    </row>
    <row r="422" spans="1:33" ht="16" customHeight="1" x14ac:dyDescent="0.4">
      <c r="A422" s="163" t="str">
        <f>IF('Restaurant Base (Hidden)'!A417=0,"", 'Restaurant Base (Hidden)'!A417)</f>
        <v/>
      </c>
      <c r="B422" s="163" t="str">
        <f>IF('Restaurant Base (Hidden)'!B417=0,"", 'Restaurant Base (Hidden)'!B417)</f>
        <v/>
      </c>
      <c r="C422" s="163" t="str">
        <f>IF('Restaurant Base (Hidden)'!C417=0,"", 'Restaurant Base (Hidden)'!C417)</f>
        <v/>
      </c>
      <c r="D422" s="104" t="str">
        <f t="shared" si="6"/>
        <v/>
      </c>
      <c r="E422" s="105" t="str">
        <f>+IFERROR(INDEX('Restaurant Base (Hidden)'!$A$2:$Z$1048576,MATCH($C422,'Restaurant Base (Hidden)'!$C$2:$C$1048576,0),MATCH(E$6,'Restaurant Base (Hidden)'!$A$1:$Z$1,0)),"")</f>
        <v/>
      </c>
      <c r="F422" s="2" t="str">
        <f>+IFERROR(INDEX('Restaurant Base (Hidden)'!$A$2:$Z$1048576,MATCH($C422,'Restaurant Base (Hidden)'!$C$2:$C$1048576,0),MATCH(F$6,'Restaurant Base (Hidden)'!$A$1:$Z$1,0)),"")</f>
        <v/>
      </c>
      <c r="G422" s="20" t="str">
        <f>+IFERROR(INDEX('Restaurant Base (Hidden)'!$A$2:$Z$1048576,MATCH($C422,'Restaurant Base (Hidden)'!$C$2:$C$1048576,0),MATCH(G$6,'Restaurant Base (Hidden)'!$A$1:$Z$1,0)),"")</f>
        <v/>
      </c>
      <c r="H422" s="50" t="str">
        <f>+IFERROR(INDEX('Restaurant Base (Hidden)'!$A$2:$Z$1048576,MATCH($C422,'Restaurant Base (Hidden)'!$C$2:$C$1048576,0),MATCH(H$6,'Restaurant Base (Hidden)'!$A$1:$Z$1,0)),"")</f>
        <v/>
      </c>
      <c r="I422" s="20" t="str">
        <f>+IFERROR(INDEX('Restaurant Base (Hidden)'!$A$2:$Z$1048576,MATCH($C422,'Restaurant Base (Hidden)'!$C$2:$C$1048576,0),MATCH(I$6,'Restaurant Base (Hidden)'!$A$1:$Z$1,0)),"")</f>
        <v/>
      </c>
      <c r="J422" s="49" t="str">
        <f>+IFERROR(INDEX('Restaurant Base (Hidden)'!$A$2:$Z$1048576,MATCH($C422,'Restaurant Base (Hidden)'!$C$2:$C$1048576,0),MATCH(J$6,'Restaurant Base (Hidden)'!$A$1:$Z$1,0)),"")</f>
        <v/>
      </c>
      <c r="K422" s="20" t="str">
        <f>+IFERROR(INDEX('Restaurant Base (Hidden)'!$A$2:$Z$1048576,MATCH($C422,'Restaurant Base (Hidden)'!$C$2:$C$1048576,0),MATCH(K$6,'Restaurant Base (Hidden)'!$A$1:$Z$1,0)),"")</f>
        <v/>
      </c>
      <c r="L422" s="51" t="str">
        <f>+IFERROR(INDEX('Restaurant Base (Hidden)'!$A$2:$Z$1048576,MATCH($C422,'Restaurant Base (Hidden)'!$C$2:$C$1048576,0),MATCH(L$6,'Restaurant Base (Hidden)'!$A$1:$Z$1,0)),"")</f>
        <v/>
      </c>
      <c r="M422" s="2" t="str">
        <f>+IFERROR(INDEX('Restaurant Base (Hidden)'!$A$2:$Z$1048576,MATCH($C422,'Restaurant Base (Hidden)'!$C$2:$C$1048576,0),MATCH(M$6,'Restaurant Base (Hidden)'!$A$1:$Z$1,0)),"")</f>
        <v/>
      </c>
      <c r="N422" s="234" t="str">
        <f>+IFERROR(INDEX('Restaurant Base (Hidden)'!$A$2:$Z$1048576,MATCH($C422,'Restaurant Base (Hidden)'!$C$2:$C$1048576,0),MATCH(N$6,'Restaurant Base (Hidden)'!$A$1:$Z$1,0)),"")</f>
        <v/>
      </c>
      <c r="O422" s="1" t="str">
        <f>+IFERROR(INDEX('Restaurant Base (Hidden)'!$A$2:$Z$1048576,MATCH($C422,'Restaurant Base (Hidden)'!$C$2:$C$1048576,0),MATCH(O$6,'Restaurant Base (Hidden)'!$A$1:$Z$1,0)),"")</f>
        <v/>
      </c>
      <c r="P422" s="2" t="str">
        <f>+IFERROR(INDEX('Restaurant Base (Hidden)'!$A$2:$Z$1048576,MATCH($C422,'Restaurant Base (Hidden)'!$C$2:$C$1048576,0),MATCH(P$6,'Restaurant Base (Hidden)'!$A$1:$Z$1,0)),"")</f>
        <v/>
      </c>
      <c r="Q422" s="234" t="str">
        <f>+IFERROR(INDEX('Restaurant Base (Hidden)'!$A$2:$Z$1048576,MATCH($C422,'Restaurant Base (Hidden)'!$C$2:$C$1048576,0),MATCH(Q$6,'Restaurant Base (Hidden)'!$A$1:$Z$1,0)),"")</f>
        <v/>
      </c>
      <c r="R422" s="1" t="str">
        <f>+IFERROR(INDEX('Restaurant Base (Hidden)'!$A$2:$Z$1048576,MATCH($C422,'Restaurant Base (Hidden)'!$C$2:$C$1048576,0),MATCH(R$6,'Restaurant Base (Hidden)'!$A$1:$Z$1,0)),"")</f>
        <v/>
      </c>
      <c r="S422" s="2" t="str">
        <f>+IFERROR(INDEX('Restaurant Base (Hidden)'!$A$2:$Z$1048576,MATCH($C422,'Restaurant Base (Hidden)'!$C$2:$C$1048576,0),MATCH(S$6,'Restaurant Base (Hidden)'!$A$1:$Z$1,0)),"")</f>
        <v/>
      </c>
      <c r="T422" s="62" t="str">
        <f>+IFERROR(INDEX('Restaurant Base (Hidden)'!$A$2:$Z$1048576,MATCH($C422,'Restaurant Base (Hidden)'!$C$2:$C$1048576,0),MATCH(T$6,'Restaurant Base (Hidden)'!$A$1:$Z$1,0)),"")</f>
        <v/>
      </c>
      <c r="U422" s="1" t="str">
        <f>+IFERROR(INDEX('Restaurant Base (Hidden)'!$A$2:$Z$1048576,MATCH($C422,'Restaurant Base (Hidden)'!$C$2:$C$1048576,0),MATCH(U$6,'Restaurant Base (Hidden)'!$A$1:$Z$1,0)),"")</f>
        <v/>
      </c>
      <c r="V422" s="2" t="str">
        <f>+IFERROR(INDEX('Restaurant Base (Hidden)'!$A$2:$Z$1048576,MATCH($C422,'Restaurant Base (Hidden)'!$C$2:$C$1048576,0),MATCH(V$6,'Restaurant Base (Hidden)'!$A$1:$Z$1,0)),"")</f>
        <v/>
      </c>
      <c r="W422" s="65" t="str">
        <f>+IFERROR(INDEX('Restaurant Base (Hidden)'!$A$2:$Z$1048576,MATCH($C422,'Restaurant Base (Hidden)'!$C$2:$C$1048576,0),MATCH(W$6,'Restaurant Base (Hidden)'!$A$1:$Z$1,0)),"")</f>
        <v/>
      </c>
      <c r="X422" s="1" t="str">
        <f>+IFERROR(INDEX('Restaurant Base (Hidden)'!$A$2:$Z$1048576,MATCH($C422,'Restaurant Base (Hidden)'!$C$2:$C$1048576,0),MATCH(X$6,'Restaurant Base (Hidden)'!$A$1:$Z$1,0)),"")</f>
        <v/>
      </c>
      <c r="Y422" s="65" t="str">
        <f>+IFERROR(INDEX('Restaurant Base (Hidden)'!$A$2:$Z$1048576,MATCH($C422,'Restaurant Base (Hidden)'!$C$2:$C$1048576,0),MATCH(Y$6,'Restaurant Base (Hidden)'!$A$1:$Z$1,0)),"")</f>
        <v/>
      </c>
      <c r="Z422" s="106" t="str">
        <f>+IFERROR(INDEX('Restaurant Base (Hidden)'!$A$2:$Z$1048576,MATCH($C422,'Restaurant Base (Hidden)'!$C$2:$C$1048576,0),MATCH(Z$6,'Restaurant Base (Hidden)'!$A$1:$Z$1,0)),"")</f>
        <v/>
      </c>
      <c r="AA422" s="65" t="str">
        <f>+IFERROR(INDEX('Restaurant Base (Hidden)'!$A$2:$Z$1048576,MATCH($C422,'Restaurant Base (Hidden)'!$C$2:$C$1048576,0),MATCH(AA$6,'Restaurant Base (Hidden)'!$A$1:$Z$1,0)),"")</f>
        <v/>
      </c>
      <c r="AB422" s="1" t="str">
        <f>+IFERROR(INDEX('Restaurant Base (Hidden)'!$A$2:$Z$1048576,MATCH($C422,'Restaurant Base (Hidden)'!$C$2:$C$1048576,0),MATCH(AB$6,'Restaurant Base (Hidden)'!$A$1:$Z$1,0)),"")</f>
        <v/>
      </c>
      <c r="AC422" s="20" t="str">
        <f>+IFERROR(INDEX('Restaurant Base (Hidden)'!$A$2:$Z$1048576,MATCH($C422,'Restaurant Base (Hidden)'!$C$2:$C$1048576,0),MATCH(AC$6,'Restaurant Base (Hidden)'!$A$1:$Z$1,0)),"")</f>
        <v/>
      </c>
      <c r="AD422" s="65" t="str">
        <f>+IFERROR(INDEX('Restaurant Base (Hidden)'!$A$2:$Z$1048576,MATCH($C422,'Restaurant Base (Hidden)'!$C$2:$C$1048576,0),MATCH(AD$6,'Restaurant Base (Hidden)'!$A$1:$Z$1,0)),"")</f>
        <v/>
      </c>
      <c r="AE422" s="1" t="str">
        <f>+IFERROR(INDEX('Restaurant Base (Hidden)'!$A$2:$Z$1048576,MATCH($C422,'Restaurant Base (Hidden)'!$C$2:$C$1048576,0),MATCH(AE$6,'Restaurant Base (Hidden)'!$A$1:$Z$1,0)),"")</f>
        <v/>
      </c>
      <c r="AF422" s="65" t="str">
        <f>+IFERROR(INDEX('Restaurant Base (Hidden)'!$A$2:$Z$1048576,MATCH($C422,'Restaurant Base (Hidden)'!$C$2:$C$1048576,0),MATCH(AF$6,'Restaurant Base (Hidden)'!$A$1:$Z$1,0)),"")</f>
        <v/>
      </c>
      <c r="AG422" s="1" t="str">
        <f>+IFERROR(INDEX('Restaurant Base (Hidden)'!$A$2:$Z$1048576,MATCH($C422,'Restaurant Base (Hidden)'!$C$2:$C$1048576,0),MATCH(AG$6,'Restaurant Base (Hidden)'!$A$1:$Z$1,0)),"")</f>
        <v/>
      </c>
    </row>
    <row r="423" spans="1:33" ht="16" customHeight="1" x14ac:dyDescent="0.4">
      <c r="A423" s="163" t="str">
        <f>IF('Restaurant Base (Hidden)'!A418=0,"", 'Restaurant Base (Hidden)'!A418)</f>
        <v/>
      </c>
      <c r="B423" s="163" t="str">
        <f>IF('Restaurant Base (Hidden)'!B418=0,"", 'Restaurant Base (Hidden)'!B418)</f>
        <v/>
      </c>
      <c r="C423" s="163" t="str">
        <f>IF('Restaurant Base (Hidden)'!C418=0,"", 'Restaurant Base (Hidden)'!C418)</f>
        <v/>
      </c>
      <c r="D423" s="104" t="str">
        <f t="shared" si="6"/>
        <v/>
      </c>
      <c r="E423" s="105" t="str">
        <f>+IFERROR(INDEX('Restaurant Base (Hidden)'!$A$2:$Z$1048576,MATCH($C423,'Restaurant Base (Hidden)'!$C$2:$C$1048576,0),MATCH(E$6,'Restaurant Base (Hidden)'!$A$1:$Z$1,0)),"")</f>
        <v/>
      </c>
      <c r="F423" s="2" t="str">
        <f>+IFERROR(INDEX('Restaurant Base (Hidden)'!$A$2:$Z$1048576,MATCH($C423,'Restaurant Base (Hidden)'!$C$2:$C$1048576,0),MATCH(F$6,'Restaurant Base (Hidden)'!$A$1:$Z$1,0)),"")</f>
        <v/>
      </c>
      <c r="G423" s="20" t="str">
        <f>+IFERROR(INDEX('Restaurant Base (Hidden)'!$A$2:$Z$1048576,MATCH($C423,'Restaurant Base (Hidden)'!$C$2:$C$1048576,0),MATCH(G$6,'Restaurant Base (Hidden)'!$A$1:$Z$1,0)),"")</f>
        <v/>
      </c>
      <c r="H423" s="50" t="str">
        <f>+IFERROR(INDEX('Restaurant Base (Hidden)'!$A$2:$Z$1048576,MATCH($C423,'Restaurant Base (Hidden)'!$C$2:$C$1048576,0),MATCH(H$6,'Restaurant Base (Hidden)'!$A$1:$Z$1,0)),"")</f>
        <v/>
      </c>
      <c r="I423" s="20" t="str">
        <f>+IFERROR(INDEX('Restaurant Base (Hidden)'!$A$2:$Z$1048576,MATCH($C423,'Restaurant Base (Hidden)'!$C$2:$C$1048576,0),MATCH(I$6,'Restaurant Base (Hidden)'!$A$1:$Z$1,0)),"")</f>
        <v/>
      </c>
      <c r="J423" s="49" t="str">
        <f>+IFERROR(INDEX('Restaurant Base (Hidden)'!$A$2:$Z$1048576,MATCH($C423,'Restaurant Base (Hidden)'!$C$2:$C$1048576,0),MATCH(J$6,'Restaurant Base (Hidden)'!$A$1:$Z$1,0)),"")</f>
        <v/>
      </c>
      <c r="K423" s="20" t="str">
        <f>+IFERROR(INDEX('Restaurant Base (Hidden)'!$A$2:$Z$1048576,MATCH($C423,'Restaurant Base (Hidden)'!$C$2:$C$1048576,0),MATCH(K$6,'Restaurant Base (Hidden)'!$A$1:$Z$1,0)),"")</f>
        <v/>
      </c>
      <c r="L423" s="51" t="str">
        <f>+IFERROR(INDEX('Restaurant Base (Hidden)'!$A$2:$Z$1048576,MATCH($C423,'Restaurant Base (Hidden)'!$C$2:$C$1048576,0),MATCH(L$6,'Restaurant Base (Hidden)'!$A$1:$Z$1,0)),"")</f>
        <v/>
      </c>
      <c r="M423" s="2" t="str">
        <f>+IFERROR(INDEX('Restaurant Base (Hidden)'!$A$2:$Z$1048576,MATCH($C423,'Restaurant Base (Hidden)'!$C$2:$C$1048576,0),MATCH(M$6,'Restaurant Base (Hidden)'!$A$1:$Z$1,0)),"")</f>
        <v/>
      </c>
      <c r="N423" s="234" t="str">
        <f>+IFERROR(INDEX('Restaurant Base (Hidden)'!$A$2:$Z$1048576,MATCH($C423,'Restaurant Base (Hidden)'!$C$2:$C$1048576,0),MATCH(N$6,'Restaurant Base (Hidden)'!$A$1:$Z$1,0)),"")</f>
        <v/>
      </c>
      <c r="O423" s="1" t="str">
        <f>+IFERROR(INDEX('Restaurant Base (Hidden)'!$A$2:$Z$1048576,MATCH($C423,'Restaurant Base (Hidden)'!$C$2:$C$1048576,0),MATCH(O$6,'Restaurant Base (Hidden)'!$A$1:$Z$1,0)),"")</f>
        <v/>
      </c>
      <c r="P423" s="2" t="str">
        <f>+IFERROR(INDEX('Restaurant Base (Hidden)'!$A$2:$Z$1048576,MATCH($C423,'Restaurant Base (Hidden)'!$C$2:$C$1048576,0),MATCH(P$6,'Restaurant Base (Hidden)'!$A$1:$Z$1,0)),"")</f>
        <v/>
      </c>
      <c r="Q423" s="234" t="str">
        <f>+IFERROR(INDEX('Restaurant Base (Hidden)'!$A$2:$Z$1048576,MATCH($C423,'Restaurant Base (Hidden)'!$C$2:$C$1048576,0),MATCH(Q$6,'Restaurant Base (Hidden)'!$A$1:$Z$1,0)),"")</f>
        <v/>
      </c>
      <c r="R423" s="1" t="str">
        <f>+IFERROR(INDEX('Restaurant Base (Hidden)'!$A$2:$Z$1048576,MATCH($C423,'Restaurant Base (Hidden)'!$C$2:$C$1048576,0),MATCH(R$6,'Restaurant Base (Hidden)'!$A$1:$Z$1,0)),"")</f>
        <v/>
      </c>
      <c r="S423" s="2" t="str">
        <f>+IFERROR(INDEX('Restaurant Base (Hidden)'!$A$2:$Z$1048576,MATCH($C423,'Restaurant Base (Hidden)'!$C$2:$C$1048576,0),MATCH(S$6,'Restaurant Base (Hidden)'!$A$1:$Z$1,0)),"")</f>
        <v/>
      </c>
      <c r="T423" s="62" t="str">
        <f>+IFERROR(INDEX('Restaurant Base (Hidden)'!$A$2:$Z$1048576,MATCH($C423,'Restaurant Base (Hidden)'!$C$2:$C$1048576,0),MATCH(T$6,'Restaurant Base (Hidden)'!$A$1:$Z$1,0)),"")</f>
        <v/>
      </c>
      <c r="U423" s="1" t="str">
        <f>+IFERROR(INDEX('Restaurant Base (Hidden)'!$A$2:$Z$1048576,MATCH($C423,'Restaurant Base (Hidden)'!$C$2:$C$1048576,0),MATCH(U$6,'Restaurant Base (Hidden)'!$A$1:$Z$1,0)),"")</f>
        <v/>
      </c>
      <c r="V423" s="2" t="str">
        <f>+IFERROR(INDEX('Restaurant Base (Hidden)'!$A$2:$Z$1048576,MATCH($C423,'Restaurant Base (Hidden)'!$C$2:$C$1048576,0),MATCH(V$6,'Restaurant Base (Hidden)'!$A$1:$Z$1,0)),"")</f>
        <v/>
      </c>
      <c r="W423" s="65" t="str">
        <f>+IFERROR(INDEX('Restaurant Base (Hidden)'!$A$2:$Z$1048576,MATCH($C423,'Restaurant Base (Hidden)'!$C$2:$C$1048576,0),MATCH(W$6,'Restaurant Base (Hidden)'!$A$1:$Z$1,0)),"")</f>
        <v/>
      </c>
      <c r="X423" s="1" t="str">
        <f>+IFERROR(INDEX('Restaurant Base (Hidden)'!$A$2:$Z$1048576,MATCH($C423,'Restaurant Base (Hidden)'!$C$2:$C$1048576,0),MATCH(X$6,'Restaurant Base (Hidden)'!$A$1:$Z$1,0)),"")</f>
        <v/>
      </c>
      <c r="Y423" s="65" t="str">
        <f>+IFERROR(INDEX('Restaurant Base (Hidden)'!$A$2:$Z$1048576,MATCH($C423,'Restaurant Base (Hidden)'!$C$2:$C$1048576,0),MATCH(Y$6,'Restaurant Base (Hidden)'!$A$1:$Z$1,0)),"")</f>
        <v/>
      </c>
      <c r="Z423" s="106" t="str">
        <f>+IFERROR(INDEX('Restaurant Base (Hidden)'!$A$2:$Z$1048576,MATCH($C423,'Restaurant Base (Hidden)'!$C$2:$C$1048576,0),MATCH(Z$6,'Restaurant Base (Hidden)'!$A$1:$Z$1,0)),"")</f>
        <v/>
      </c>
      <c r="AA423" s="65" t="str">
        <f>+IFERROR(INDEX('Restaurant Base (Hidden)'!$A$2:$Z$1048576,MATCH($C423,'Restaurant Base (Hidden)'!$C$2:$C$1048576,0),MATCH(AA$6,'Restaurant Base (Hidden)'!$A$1:$Z$1,0)),"")</f>
        <v/>
      </c>
      <c r="AB423" s="1" t="str">
        <f>+IFERROR(INDEX('Restaurant Base (Hidden)'!$A$2:$Z$1048576,MATCH($C423,'Restaurant Base (Hidden)'!$C$2:$C$1048576,0),MATCH(AB$6,'Restaurant Base (Hidden)'!$A$1:$Z$1,0)),"")</f>
        <v/>
      </c>
      <c r="AC423" s="20" t="str">
        <f>+IFERROR(INDEX('Restaurant Base (Hidden)'!$A$2:$Z$1048576,MATCH($C423,'Restaurant Base (Hidden)'!$C$2:$C$1048576,0),MATCH(AC$6,'Restaurant Base (Hidden)'!$A$1:$Z$1,0)),"")</f>
        <v/>
      </c>
      <c r="AD423" s="65" t="str">
        <f>+IFERROR(INDEX('Restaurant Base (Hidden)'!$A$2:$Z$1048576,MATCH($C423,'Restaurant Base (Hidden)'!$C$2:$C$1048576,0),MATCH(AD$6,'Restaurant Base (Hidden)'!$A$1:$Z$1,0)),"")</f>
        <v/>
      </c>
      <c r="AE423" s="1" t="str">
        <f>+IFERROR(INDEX('Restaurant Base (Hidden)'!$A$2:$Z$1048576,MATCH($C423,'Restaurant Base (Hidden)'!$C$2:$C$1048576,0),MATCH(AE$6,'Restaurant Base (Hidden)'!$A$1:$Z$1,0)),"")</f>
        <v/>
      </c>
      <c r="AF423" s="65" t="str">
        <f>+IFERROR(INDEX('Restaurant Base (Hidden)'!$A$2:$Z$1048576,MATCH($C423,'Restaurant Base (Hidden)'!$C$2:$C$1048576,0),MATCH(AF$6,'Restaurant Base (Hidden)'!$A$1:$Z$1,0)),"")</f>
        <v/>
      </c>
      <c r="AG423" s="1" t="str">
        <f>+IFERROR(INDEX('Restaurant Base (Hidden)'!$A$2:$Z$1048576,MATCH($C423,'Restaurant Base (Hidden)'!$C$2:$C$1048576,0),MATCH(AG$6,'Restaurant Base (Hidden)'!$A$1:$Z$1,0)),"")</f>
        <v/>
      </c>
    </row>
    <row r="424" spans="1:33" ht="16" customHeight="1" x14ac:dyDescent="0.4">
      <c r="A424" s="163" t="str">
        <f>IF('Restaurant Base (Hidden)'!A419=0,"", 'Restaurant Base (Hidden)'!A419)</f>
        <v/>
      </c>
      <c r="B424" s="163" t="str">
        <f>IF('Restaurant Base (Hidden)'!B419=0,"", 'Restaurant Base (Hidden)'!B419)</f>
        <v/>
      </c>
      <c r="C424" s="163" t="str">
        <f>IF('Restaurant Base (Hidden)'!C419=0,"", 'Restaurant Base (Hidden)'!C419)</f>
        <v/>
      </c>
      <c r="D424" s="104" t="str">
        <f t="shared" si="6"/>
        <v/>
      </c>
      <c r="E424" s="105" t="str">
        <f>+IFERROR(INDEX('Restaurant Base (Hidden)'!$A$2:$Z$1048576,MATCH($C424,'Restaurant Base (Hidden)'!$C$2:$C$1048576,0),MATCH(E$6,'Restaurant Base (Hidden)'!$A$1:$Z$1,0)),"")</f>
        <v/>
      </c>
      <c r="F424" s="2" t="str">
        <f>+IFERROR(INDEX('Restaurant Base (Hidden)'!$A$2:$Z$1048576,MATCH($C424,'Restaurant Base (Hidden)'!$C$2:$C$1048576,0),MATCH(F$6,'Restaurant Base (Hidden)'!$A$1:$Z$1,0)),"")</f>
        <v/>
      </c>
      <c r="G424" s="20" t="str">
        <f>+IFERROR(INDEX('Restaurant Base (Hidden)'!$A$2:$Z$1048576,MATCH($C424,'Restaurant Base (Hidden)'!$C$2:$C$1048576,0),MATCH(G$6,'Restaurant Base (Hidden)'!$A$1:$Z$1,0)),"")</f>
        <v/>
      </c>
      <c r="H424" s="50" t="str">
        <f>+IFERROR(INDEX('Restaurant Base (Hidden)'!$A$2:$Z$1048576,MATCH($C424,'Restaurant Base (Hidden)'!$C$2:$C$1048576,0),MATCH(H$6,'Restaurant Base (Hidden)'!$A$1:$Z$1,0)),"")</f>
        <v/>
      </c>
      <c r="I424" s="20" t="str">
        <f>+IFERROR(INDEX('Restaurant Base (Hidden)'!$A$2:$Z$1048576,MATCH($C424,'Restaurant Base (Hidden)'!$C$2:$C$1048576,0),MATCH(I$6,'Restaurant Base (Hidden)'!$A$1:$Z$1,0)),"")</f>
        <v/>
      </c>
      <c r="J424" s="49" t="str">
        <f>+IFERROR(INDEX('Restaurant Base (Hidden)'!$A$2:$Z$1048576,MATCH($C424,'Restaurant Base (Hidden)'!$C$2:$C$1048576,0),MATCH(J$6,'Restaurant Base (Hidden)'!$A$1:$Z$1,0)),"")</f>
        <v/>
      </c>
      <c r="K424" s="20" t="str">
        <f>+IFERROR(INDEX('Restaurant Base (Hidden)'!$A$2:$Z$1048576,MATCH($C424,'Restaurant Base (Hidden)'!$C$2:$C$1048576,0),MATCH(K$6,'Restaurant Base (Hidden)'!$A$1:$Z$1,0)),"")</f>
        <v/>
      </c>
      <c r="L424" s="51" t="str">
        <f>+IFERROR(INDEX('Restaurant Base (Hidden)'!$A$2:$Z$1048576,MATCH($C424,'Restaurant Base (Hidden)'!$C$2:$C$1048576,0),MATCH(L$6,'Restaurant Base (Hidden)'!$A$1:$Z$1,0)),"")</f>
        <v/>
      </c>
      <c r="M424" s="2" t="str">
        <f>+IFERROR(INDEX('Restaurant Base (Hidden)'!$A$2:$Z$1048576,MATCH($C424,'Restaurant Base (Hidden)'!$C$2:$C$1048576,0),MATCH(M$6,'Restaurant Base (Hidden)'!$A$1:$Z$1,0)),"")</f>
        <v/>
      </c>
      <c r="N424" s="234" t="str">
        <f>+IFERROR(INDEX('Restaurant Base (Hidden)'!$A$2:$Z$1048576,MATCH($C424,'Restaurant Base (Hidden)'!$C$2:$C$1048576,0),MATCH(N$6,'Restaurant Base (Hidden)'!$A$1:$Z$1,0)),"")</f>
        <v/>
      </c>
      <c r="O424" s="1" t="str">
        <f>+IFERROR(INDEX('Restaurant Base (Hidden)'!$A$2:$Z$1048576,MATCH($C424,'Restaurant Base (Hidden)'!$C$2:$C$1048576,0),MATCH(O$6,'Restaurant Base (Hidden)'!$A$1:$Z$1,0)),"")</f>
        <v/>
      </c>
      <c r="P424" s="2" t="str">
        <f>+IFERROR(INDEX('Restaurant Base (Hidden)'!$A$2:$Z$1048576,MATCH($C424,'Restaurant Base (Hidden)'!$C$2:$C$1048576,0),MATCH(P$6,'Restaurant Base (Hidden)'!$A$1:$Z$1,0)),"")</f>
        <v/>
      </c>
      <c r="Q424" s="234" t="str">
        <f>+IFERROR(INDEX('Restaurant Base (Hidden)'!$A$2:$Z$1048576,MATCH($C424,'Restaurant Base (Hidden)'!$C$2:$C$1048576,0),MATCH(Q$6,'Restaurant Base (Hidden)'!$A$1:$Z$1,0)),"")</f>
        <v/>
      </c>
      <c r="R424" s="1" t="str">
        <f>+IFERROR(INDEX('Restaurant Base (Hidden)'!$A$2:$Z$1048576,MATCH($C424,'Restaurant Base (Hidden)'!$C$2:$C$1048576,0),MATCH(R$6,'Restaurant Base (Hidden)'!$A$1:$Z$1,0)),"")</f>
        <v/>
      </c>
      <c r="S424" s="2" t="str">
        <f>+IFERROR(INDEX('Restaurant Base (Hidden)'!$A$2:$Z$1048576,MATCH($C424,'Restaurant Base (Hidden)'!$C$2:$C$1048576,0),MATCH(S$6,'Restaurant Base (Hidden)'!$A$1:$Z$1,0)),"")</f>
        <v/>
      </c>
      <c r="T424" s="62" t="str">
        <f>+IFERROR(INDEX('Restaurant Base (Hidden)'!$A$2:$Z$1048576,MATCH($C424,'Restaurant Base (Hidden)'!$C$2:$C$1048576,0),MATCH(T$6,'Restaurant Base (Hidden)'!$A$1:$Z$1,0)),"")</f>
        <v/>
      </c>
      <c r="U424" s="1" t="str">
        <f>+IFERROR(INDEX('Restaurant Base (Hidden)'!$A$2:$Z$1048576,MATCH($C424,'Restaurant Base (Hidden)'!$C$2:$C$1048576,0),MATCH(U$6,'Restaurant Base (Hidden)'!$A$1:$Z$1,0)),"")</f>
        <v/>
      </c>
      <c r="V424" s="2" t="str">
        <f>+IFERROR(INDEX('Restaurant Base (Hidden)'!$A$2:$Z$1048576,MATCH($C424,'Restaurant Base (Hidden)'!$C$2:$C$1048576,0),MATCH(V$6,'Restaurant Base (Hidden)'!$A$1:$Z$1,0)),"")</f>
        <v/>
      </c>
      <c r="W424" s="65" t="str">
        <f>+IFERROR(INDEX('Restaurant Base (Hidden)'!$A$2:$Z$1048576,MATCH($C424,'Restaurant Base (Hidden)'!$C$2:$C$1048576,0),MATCH(W$6,'Restaurant Base (Hidden)'!$A$1:$Z$1,0)),"")</f>
        <v/>
      </c>
      <c r="X424" s="1" t="str">
        <f>+IFERROR(INDEX('Restaurant Base (Hidden)'!$A$2:$Z$1048576,MATCH($C424,'Restaurant Base (Hidden)'!$C$2:$C$1048576,0),MATCH(X$6,'Restaurant Base (Hidden)'!$A$1:$Z$1,0)),"")</f>
        <v/>
      </c>
      <c r="Y424" s="65" t="str">
        <f>+IFERROR(INDEX('Restaurant Base (Hidden)'!$A$2:$Z$1048576,MATCH($C424,'Restaurant Base (Hidden)'!$C$2:$C$1048576,0),MATCH(Y$6,'Restaurant Base (Hidden)'!$A$1:$Z$1,0)),"")</f>
        <v/>
      </c>
      <c r="Z424" s="106" t="str">
        <f>+IFERROR(INDEX('Restaurant Base (Hidden)'!$A$2:$Z$1048576,MATCH($C424,'Restaurant Base (Hidden)'!$C$2:$C$1048576,0),MATCH(Z$6,'Restaurant Base (Hidden)'!$A$1:$Z$1,0)),"")</f>
        <v/>
      </c>
      <c r="AA424" s="65" t="str">
        <f>+IFERROR(INDEX('Restaurant Base (Hidden)'!$A$2:$Z$1048576,MATCH($C424,'Restaurant Base (Hidden)'!$C$2:$C$1048576,0),MATCH(AA$6,'Restaurant Base (Hidden)'!$A$1:$Z$1,0)),"")</f>
        <v/>
      </c>
      <c r="AB424" s="1" t="str">
        <f>+IFERROR(INDEX('Restaurant Base (Hidden)'!$A$2:$Z$1048576,MATCH($C424,'Restaurant Base (Hidden)'!$C$2:$C$1048576,0),MATCH(AB$6,'Restaurant Base (Hidden)'!$A$1:$Z$1,0)),"")</f>
        <v/>
      </c>
      <c r="AC424" s="20" t="str">
        <f>+IFERROR(INDEX('Restaurant Base (Hidden)'!$A$2:$Z$1048576,MATCH($C424,'Restaurant Base (Hidden)'!$C$2:$C$1048576,0),MATCH(AC$6,'Restaurant Base (Hidden)'!$A$1:$Z$1,0)),"")</f>
        <v/>
      </c>
      <c r="AD424" s="65" t="str">
        <f>+IFERROR(INDEX('Restaurant Base (Hidden)'!$A$2:$Z$1048576,MATCH($C424,'Restaurant Base (Hidden)'!$C$2:$C$1048576,0),MATCH(AD$6,'Restaurant Base (Hidden)'!$A$1:$Z$1,0)),"")</f>
        <v/>
      </c>
      <c r="AE424" s="1" t="str">
        <f>+IFERROR(INDEX('Restaurant Base (Hidden)'!$A$2:$Z$1048576,MATCH($C424,'Restaurant Base (Hidden)'!$C$2:$C$1048576,0),MATCH(AE$6,'Restaurant Base (Hidden)'!$A$1:$Z$1,0)),"")</f>
        <v/>
      </c>
      <c r="AF424" s="65" t="str">
        <f>+IFERROR(INDEX('Restaurant Base (Hidden)'!$A$2:$Z$1048576,MATCH($C424,'Restaurant Base (Hidden)'!$C$2:$C$1048576,0),MATCH(AF$6,'Restaurant Base (Hidden)'!$A$1:$Z$1,0)),"")</f>
        <v/>
      </c>
      <c r="AG424" s="1" t="str">
        <f>+IFERROR(INDEX('Restaurant Base (Hidden)'!$A$2:$Z$1048576,MATCH($C424,'Restaurant Base (Hidden)'!$C$2:$C$1048576,0),MATCH(AG$6,'Restaurant Base (Hidden)'!$A$1:$Z$1,0)),"")</f>
        <v/>
      </c>
    </row>
    <row r="425" spans="1:33" ht="16" customHeight="1" x14ac:dyDescent="0.4">
      <c r="A425" s="163" t="str">
        <f>IF('Restaurant Base (Hidden)'!A420=0,"", 'Restaurant Base (Hidden)'!A420)</f>
        <v/>
      </c>
      <c r="B425" s="163" t="str">
        <f>IF('Restaurant Base (Hidden)'!B420=0,"", 'Restaurant Base (Hidden)'!B420)</f>
        <v/>
      </c>
      <c r="C425" s="163" t="str">
        <f>IF('Restaurant Base (Hidden)'!C420=0,"", 'Restaurant Base (Hidden)'!C420)</f>
        <v/>
      </c>
      <c r="D425" s="104" t="str">
        <f t="shared" si="6"/>
        <v/>
      </c>
      <c r="E425" s="105" t="str">
        <f>+IFERROR(INDEX('Restaurant Base (Hidden)'!$A$2:$Z$1048576,MATCH($C425,'Restaurant Base (Hidden)'!$C$2:$C$1048576,0),MATCH(E$6,'Restaurant Base (Hidden)'!$A$1:$Z$1,0)),"")</f>
        <v/>
      </c>
      <c r="F425" s="2" t="str">
        <f>+IFERROR(INDEX('Restaurant Base (Hidden)'!$A$2:$Z$1048576,MATCH($C425,'Restaurant Base (Hidden)'!$C$2:$C$1048576,0),MATCH(F$6,'Restaurant Base (Hidden)'!$A$1:$Z$1,0)),"")</f>
        <v/>
      </c>
      <c r="G425" s="20" t="str">
        <f>+IFERROR(INDEX('Restaurant Base (Hidden)'!$A$2:$Z$1048576,MATCH($C425,'Restaurant Base (Hidden)'!$C$2:$C$1048576,0),MATCH(G$6,'Restaurant Base (Hidden)'!$A$1:$Z$1,0)),"")</f>
        <v/>
      </c>
      <c r="H425" s="50" t="str">
        <f>+IFERROR(INDEX('Restaurant Base (Hidden)'!$A$2:$Z$1048576,MATCH($C425,'Restaurant Base (Hidden)'!$C$2:$C$1048576,0),MATCH(H$6,'Restaurant Base (Hidden)'!$A$1:$Z$1,0)),"")</f>
        <v/>
      </c>
      <c r="I425" s="20" t="str">
        <f>+IFERROR(INDEX('Restaurant Base (Hidden)'!$A$2:$Z$1048576,MATCH($C425,'Restaurant Base (Hidden)'!$C$2:$C$1048576,0),MATCH(I$6,'Restaurant Base (Hidden)'!$A$1:$Z$1,0)),"")</f>
        <v/>
      </c>
      <c r="J425" s="49" t="str">
        <f>+IFERROR(INDEX('Restaurant Base (Hidden)'!$A$2:$Z$1048576,MATCH($C425,'Restaurant Base (Hidden)'!$C$2:$C$1048576,0),MATCH(J$6,'Restaurant Base (Hidden)'!$A$1:$Z$1,0)),"")</f>
        <v/>
      </c>
      <c r="K425" s="20" t="str">
        <f>+IFERROR(INDEX('Restaurant Base (Hidden)'!$A$2:$Z$1048576,MATCH($C425,'Restaurant Base (Hidden)'!$C$2:$C$1048576,0),MATCH(K$6,'Restaurant Base (Hidden)'!$A$1:$Z$1,0)),"")</f>
        <v/>
      </c>
      <c r="L425" s="51" t="str">
        <f>+IFERROR(INDEX('Restaurant Base (Hidden)'!$A$2:$Z$1048576,MATCH($C425,'Restaurant Base (Hidden)'!$C$2:$C$1048576,0),MATCH(L$6,'Restaurant Base (Hidden)'!$A$1:$Z$1,0)),"")</f>
        <v/>
      </c>
      <c r="M425" s="2" t="str">
        <f>+IFERROR(INDEX('Restaurant Base (Hidden)'!$A$2:$Z$1048576,MATCH($C425,'Restaurant Base (Hidden)'!$C$2:$C$1048576,0),MATCH(M$6,'Restaurant Base (Hidden)'!$A$1:$Z$1,0)),"")</f>
        <v/>
      </c>
      <c r="N425" s="234" t="str">
        <f>+IFERROR(INDEX('Restaurant Base (Hidden)'!$A$2:$Z$1048576,MATCH($C425,'Restaurant Base (Hidden)'!$C$2:$C$1048576,0),MATCH(N$6,'Restaurant Base (Hidden)'!$A$1:$Z$1,0)),"")</f>
        <v/>
      </c>
      <c r="O425" s="1" t="str">
        <f>+IFERROR(INDEX('Restaurant Base (Hidden)'!$A$2:$Z$1048576,MATCH($C425,'Restaurant Base (Hidden)'!$C$2:$C$1048576,0),MATCH(O$6,'Restaurant Base (Hidden)'!$A$1:$Z$1,0)),"")</f>
        <v/>
      </c>
      <c r="P425" s="2" t="str">
        <f>+IFERROR(INDEX('Restaurant Base (Hidden)'!$A$2:$Z$1048576,MATCH($C425,'Restaurant Base (Hidden)'!$C$2:$C$1048576,0),MATCH(P$6,'Restaurant Base (Hidden)'!$A$1:$Z$1,0)),"")</f>
        <v/>
      </c>
      <c r="Q425" s="234" t="str">
        <f>+IFERROR(INDEX('Restaurant Base (Hidden)'!$A$2:$Z$1048576,MATCH($C425,'Restaurant Base (Hidden)'!$C$2:$C$1048576,0),MATCH(Q$6,'Restaurant Base (Hidden)'!$A$1:$Z$1,0)),"")</f>
        <v/>
      </c>
      <c r="R425" s="1" t="str">
        <f>+IFERROR(INDEX('Restaurant Base (Hidden)'!$A$2:$Z$1048576,MATCH($C425,'Restaurant Base (Hidden)'!$C$2:$C$1048576,0),MATCH(R$6,'Restaurant Base (Hidden)'!$A$1:$Z$1,0)),"")</f>
        <v/>
      </c>
      <c r="S425" s="2" t="str">
        <f>+IFERROR(INDEX('Restaurant Base (Hidden)'!$A$2:$Z$1048576,MATCH($C425,'Restaurant Base (Hidden)'!$C$2:$C$1048576,0),MATCH(S$6,'Restaurant Base (Hidden)'!$A$1:$Z$1,0)),"")</f>
        <v/>
      </c>
      <c r="T425" s="62" t="str">
        <f>+IFERROR(INDEX('Restaurant Base (Hidden)'!$A$2:$Z$1048576,MATCH($C425,'Restaurant Base (Hidden)'!$C$2:$C$1048576,0),MATCH(T$6,'Restaurant Base (Hidden)'!$A$1:$Z$1,0)),"")</f>
        <v/>
      </c>
      <c r="U425" s="1" t="str">
        <f>+IFERROR(INDEX('Restaurant Base (Hidden)'!$A$2:$Z$1048576,MATCH($C425,'Restaurant Base (Hidden)'!$C$2:$C$1048576,0),MATCH(U$6,'Restaurant Base (Hidden)'!$A$1:$Z$1,0)),"")</f>
        <v/>
      </c>
      <c r="V425" s="2" t="str">
        <f>+IFERROR(INDEX('Restaurant Base (Hidden)'!$A$2:$Z$1048576,MATCH($C425,'Restaurant Base (Hidden)'!$C$2:$C$1048576,0),MATCH(V$6,'Restaurant Base (Hidden)'!$A$1:$Z$1,0)),"")</f>
        <v/>
      </c>
      <c r="W425" s="65" t="str">
        <f>+IFERROR(INDEX('Restaurant Base (Hidden)'!$A$2:$Z$1048576,MATCH($C425,'Restaurant Base (Hidden)'!$C$2:$C$1048576,0),MATCH(W$6,'Restaurant Base (Hidden)'!$A$1:$Z$1,0)),"")</f>
        <v/>
      </c>
      <c r="X425" s="1" t="str">
        <f>+IFERROR(INDEX('Restaurant Base (Hidden)'!$A$2:$Z$1048576,MATCH($C425,'Restaurant Base (Hidden)'!$C$2:$C$1048576,0),MATCH(X$6,'Restaurant Base (Hidden)'!$A$1:$Z$1,0)),"")</f>
        <v/>
      </c>
      <c r="Y425" s="65" t="str">
        <f>+IFERROR(INDEX('Restaurant Base (Hidden)'!$A$2:$Z$1048576,MATCH($C425,'Restaurant Base (Hidden)'!$C$2:$C$1048576,0),MATCH(Y$6,'Restaurant Base (Hidden)'!$A$1:$Z$1,0)),"")</f>
        <v/>
      </c>
      <c r="Z425" s="106" t="str">
        <f>+IFERROR(INDEX('Restaurant Base (Hidden)'!$A$2:$Z$1048576,MATCH($C425,'Restaurant Base (Hidden)'!$C$2:$C$1048576,0),MATCH(Z$6,'Restaurant Base (Hidden)'!$A$1:$Z$1,0)),"")</f>
        <v/>
      </c>
      <c r="AA425" s="65" t="str">
        <f>+IFERROR(INDEX('Restaurant Base (Hidden)'!$A$2:$Z$1048576,MATCH($C425,'Restaurant Base (Hidden)'!$C$2:$C$1048576,0),MATCH(AA$6,'Restaurant Base (Hidden)'!$A$1:$Z$1,0)),"")</f>
        <v/>
      </c>
      <c r="AB425" s="1" t="str">
        <f>+IFERROR(INDEX('Restaurant Base (Hidden)'!$A$2:$Z$1048576,MATCH($C425,'Restaurant Base (Hidden)'!$C$2:$C$1048576,0),MATCH(AB$6,'Restaurant Base (Hidden)'!$A$1:$Z$1,0)),"")</f>
        <v/>
      </c>
      <c r="AC425" s="20" t="str">
        <f>+IFERROR(INDEX('Restaurant Base (Hidden)'!$A$2:$Z$1048576,MATCH($C425,'Restaurant Base (Hidden)'!$C$2:$C$1048576,0),MATCH(AC$6,'Restaurant Base (Hidden)'!$A$1:$Z$1,0)),"")</f>
        <v/>
      </c>
      <c r="AD425" s="65" t="str">
        <f>+IFERROR(INDEX('Restaurant Base (Hidden)'!$A$2:$Z$1048576,MATCH($C425,'Restaurant Base (Hidden)'!$C$2:$C$1048576,0),MATCH(AD$6,'Restaurant Base (Hidden)'!$A$1:$Z$1,0)),"")</f>
        <v/>
      </c>
      <c r="AE425" s="1" t="str">
        <f>+IFERROR(INDEX('Restaurant Base (Hidden)'!$A$2:$Z$1048576,MATCH($C425,'Restaurant Base (Hidden)'!$C$2:$C$1048576,0),MATCH(AE$6,'Restaurant Base (Hidden)'!$A$1:$Z$1,0)),"")</f>
        <v/>
      </c>
      <c r="AF425" s="65" t="str">
        <f>+IFERROR(INDEX('Restaurant Base (Hidden)'!$A$2:$Z$1048576,MATCH($C425,'Restaurant Base (Hidden)'!$C$2:$C$1048576,0),MATCH(AF$6,'Restaurant Base (Hidden)'!$A$1:$Z$1,0)),"")</f>
        <v/>
      </c>
      <c r="AG425" s="1" t="str">
        <f>+IFERROR(INDEX('Restaurant Base (Hidden)'!$A$2:$Z$1048576,MATCH($C425,'Restaurant Base (Hidden)'!$C$2:$C$1048576,0),MATCH(AG$6,'Restaurant Base (Hidden)'!$A$1:$Z$1,0)),"")</f>
        <v/>
      </c>
    </row>
    <row r="426" spans="1:33" ht="16" customHeight="1" x14ac:dyDescent="0.4">
      <c r="A426" s="163" t="str">
        <f>IF('Restaurant Base (Hidden)'!A421=0,"", 'Restaurant Base (Hidden)'!A421)</f>
        <v/>
      </c>
      <c r="B426" s="163" t="str">
        <f>IF('Restaurant Base (Hidden)'!B421=0,"", 'Restaurant Base (Hidden)'!B421)</f>
        <v/>
      </c>
      <c r="C426" s="163" t="str">
        <f>IF('Restaurant Base (Hidden)'!C421=0,"", 'Restaurant Base (Hidden)'!C421)</f>
        <v/>
      </c>
      <c r="D426" s="104" t="str">
        <f t="shared" si="6"/>
        <v/>
      </c>
      <c r="E426" s="105" t="str">
        <f>+IFERROR(INDEX('Restaurant Base (Hidden)'!$A$2:$Z$1048576,MATCH($C426,'Restaurant Base (Hidden)'!$C$2:$C$1048576,0),MATCH(E$6,'Restaurant Base (Hidden)'!$A$1:$Z$1,0)),"")</f>
        <v/>
      </c>
      <c r="F426" s="2" t="str">
        <f>+IFERROR(INDEX('Restaurant Base (Hidden)'!$A$2:$Z$1048576,MATCH($C426,'Restaurant Base (Hidden)'!$C$2:$C$1048576,0),MATCH(F$6,'Restaurant Base (Hidden)'!$A$1:$Z$1,0)),"")</f>
        <v/>
      </c>
      <c r="G426" s="20" t="str">
        <f>+IFERROR(INDEX('Restaurant Base (Hidden)'!$A$2:$Z$1048576,MATCH($C426,'Restaurant Base (Hidden)'!$C$2:$C$1048576,0),MATCH(G$6,'Restaurant Base (Hidden)'!$A$1:$Z$1,0)),"")</f>
        <v/>
      </c>
      <c r="H426" s="50" t="str">
        <f>+IFERROR(INDEX('Restaurant Base (Hidden)'!$A$2:$Z$1048576,MATCH($C426,'Restaurant Base (Hidden)'!$C$2:$C$1048576,0),MATCH(H$6,'Restaurant Base (Hidden)'!$A$1:$Z$1,0)),"")</f>
        <v/>
      </c>
      <c r="I426" s="20" t="str">
        <f>+IFERROR(INDEX('Restaurant Base (Hidden)'!$A$2:$Z$1048576,MATCH($C426,'Restaurant Base (Hidden)'!$C$2:$C$1048576,0),MATCH(I$6,'Restaurant Base (Hidden)'!$A$1:$Z$1,0)),"")</f>
        <v/>
      </c>
      <c r="J426" s="49" t="str">
        <f>+IFERROR(INDEX('Restaurant Base (Hidden)'!$A$2:$Z$1048576,MATCH($C426,'Restaurant Base (Hidden)'!$C$2:$C$1048576,0),MATCH(J$6,'Restaurant Base (Hidden)'!$A$1:$Z$1,0)),"")</f>
        <v/>
      </c>
      <c r="K426" s="20" t="str">
        <f>+IFERROR(INDEX('Restaurant Base (Hidden)'!$A$2:$Z$1048576,MATCH($C426,'Restaurant Base (Hidden)'!$C$2:$C$1048576,0),MATCH(K$6,'Restaurant Base (Hidden)'!$A$1:$Z$1,0)),"")</f>
        <v/>
      </c>
      <c r="L426" s="51" t="str">
        <f>+IFERROR(INDEX('Restaurant Base (Hidden)'!$A$2:$Z$1048576,MATCH($C426,'Restaurant Base (Hidden)'!$C$2:$C$1048576,0),MATCH(L$6,'Restaurant Base (Hidden)'!$A$1:$Z$1,0)),"")</f>
        <v/>
      </c>
      <c r="M426" s="2" t="str">
        <f>+IFERROR(INDEX('Restaurant Base (Hidden)'!$A$2:$Z$1048576,MATCH($C426,'Restaurant Base (Hidden)'!$C$2:$C$1048576,0),MATCH(M$6,'Restaurant Base (Hidden)'!$A$1:$Z$1,0)),"")</f>
        <v/>
      </c>
      <c r="N426" s="234" t="str">
        <f>+IFERROR(INDEX('Restaurant Base (Hidden)'!$A$2:$Z$1048576,MATCH($C426,'Restaurant Base (Hidden)'!$C$2:$C$1048576,0),MATCH(N$6,'Restaurant Base (Hidden)'!$A$1:$Z$1,0)),"")</f>
        <v/>
      </c>
      <c r="O426" s="1" t="str">
        <f>+IFERROR(INDEX('Restaurant Base (Hidden)'!$A$2:$Z$1048576,MATCH($C426,'Restaurant Base (Hidden)'!$C$2:$C$1048576,0),MATCH(O$6,'Restaurant Base (Hidden)'!$A$1:$Z$1,0)),"")</f>
        <v/>
      </c>
      <c r="P426" s="2" t="str">
        <f>+IFERROR(INDEX('Restaurant Base (Hidden)'!$A$2:$Z$1048576,MATCH($C426,'Restaurant Base (Hidden)'!$C$2:$C$1048576,0),MATCH(P$6,'Restaurant Base (Hidden)'!$A$1:$Z$1,0)),"")</f>
        <v/>
      </c>
      <c r="Q426" s="234" t="str">
        <f>+IFERROR(INDEX('Restaurant Base (Hidden)'!$A$2:$Z$1048576,MATCH($C426,'Restaurant Base (Hidden)'!$C$2:$C$1048576,0),MATCH(Q$6,'Restaurant Base (Hidden)'!$A$1:$Z$1,0)),"")</f>
        <v/>
      </c>
      <c r="R426" s="1" t="str">
        <f>+IFERROR(INDEX('Restaurant Base (Hidden)'!$A$2:$Z$1048576,MATCH($C426,'Restaurant Base (Hidden)'!$C$2:$C$1048576,0),MATCH(R$6,'Restaurant Base (Hidden)'!$A$1:$Z$1,0)),"")</f>
        <v/>
      </c>
      <c r="S426" s="2" t="str">
        <f>+IFERROR(INDEX('Restaurant Base (Hidden)'!$A$2:$Z$1048576,MATCH($C426,'Restaurant Base (Hidden)'!$C$2:$C$1048576,0),MATCH(S$6,'Restaurant Base (Hidden)'!$A$1:$Z$1,0)),"")</f>
        <v/>
      </c>
      <c r="T426" s="62" t="str">
        <f>+IFERROR(INDEX('Restaurant Base (Hidden)'!$A$2:$Z$1048576,MATCH($C426,'Restaurant Base (Hidden)'!$C$2:$C$1048576,0),MATCH(T$6,'Restaurant Base (Hidden)'!$A$1:$Z$1,0)),"")</f>
        <v/>
      </c>
      <c r="U426" s="1" t="str">
        <f>+IFERROR(INDEX('Restaurant Base (Hidden)'!$A$2:$Z$1048576,MATCH($C426,'Restaurant Base (Hidden)'!$C$2:$C$1048576,0),MATCH(U$6,'Restaurant Base (Hidden)'!$A$1:$Z$1,0)),"")</f>
        <v/>
      </c>
      <c r="V426" s="2" t="str">
        <f>+IFERROR(INDEX('Restaurant Base (Hidden)'!$A$2:$Z$1048576,MATCH($C426,'Restaurant Base (Hidden)'!$C$2:$C$1048576,0),MATCH(V$6,'Restaurant Base (Hidden)'!$A$1:$Z$1,0)),"")</f>
        <v/>
      </c>
      <c r="W426" s="65" t="str">
        <f>+IFERROR(INDEX('Restaurant Base (Hidden)'!$A$2:$Z$1048576,MATCH($C426,'Restaurant Base (Hidden)'!$C$2:$C$1048576,0),MATCH(W$6,'Restaurant Base (Hidden)'!$A$1:$Z$1,0)),"")</f>
        <v/>
      </c>
      <c r="X426" s="1" t="str">
        <f>+IFERROR(INDEX('Restaurant Base (Hidden)'!$A$2:$Z$1048576,MATCH($C426,'Restaurant Base (Hidden)'!$C$2:$C$1048576,0),MATCH(X$6,'Restaurant Base (Hidden)'!$A$1:$Z$1,0)),"")</f>
        <v/>
      </c>
      <c r="Y426" s="65" t="str">
        <f>+IFERROR(INDEX('Restaurant Base (Hidden)'!$A$2:$Z$1048576,MATCH($C426,'Restaurant Base (Hidden)'!$C$2:$C$1048576,0),MATCH(Y$6,'Restaurant Base (Hidden)'!$A$1:$Z$1,0)),"")</f>
        <v/>
      </c>
      <c r="Z426" s="106" t="str">
        <f>+IFERROR(INDEX('Restaurant Base (Hidden)'!$A$2:$Z$1048576,MATCH($C426,'Restaurant Base (Hidden)'!$C$2:$C$1048576,0),MATCH(Z$6,'Restaurant Base (Hidden)'!$A$1:$Z$1,0)),"")</f>
        <v/>
      </c>
      <c r="AA426" s="65" t="str">
        <f>+IFERROR(INDEX('Restaurant Base (Hidden)'!$A$2:$Z$1048576,MATCH($C426,'Restaurant Base (Hidden)'!$C$2:$C$1048576,0),MATCH(AA$6,'Restaurant Base (Hidden)'!$A$1:$Z$1,0)),"")</f>
        <v/>
      </c>
      <c r="AB426" s="1" t="str">
        <f>+IFERROR(INDEX('Restaurant Base (Hidden)'!$A$2:$Z$1048576,MATCH($C426,'Restaurant Base (Hidden)'!$C$2:$C$1048576,0),MATCH(AB$6,'Restaurant Base (Hidden)'!$A$1:$Z$1,0)),"")</f>
        <v/>
      </c>
      <c r="AC426" s="20" t="str">
        <f>+IFERROR(INDEX('Restaurant Base (Hidden)'!$A$2:$Z$1048576,MATCH($C426,'Restaurant Base (Hidden)'!$C$2:$C$1048576,0),MATCH(AC$6,'Restaurant Base (Hidden)'!$A$1:$Z$1,0)),"")</f>
        <v/>
      </c>
      <c r="AD426" s="65" t="str">
        <f>+IFERROR(INDEX('Restaurant Base (Hidden)'!$A$2:$Z$1048576,MATCH($C426,'Restaurant Base (Hidden)'!$C$2:$C$1048576,0),MATCH(AD$6,'Restaurant Base (Hidden)'!$A$1:$Z$1,0)),"")</f>
        <v/>
      </c>
      <c r="AE426" s="1" t="str">
        <f>+IFERROR(INDEX('Restaurant Base (Hidden)'!$A$2:$Z$1048576,MATCH($C426,'Restaurant Base (Hidden)'!$C$2:$C$1048576,0),MATCH(AE$6,'Restaurant Base (Hidden)'!$A$1:$Z$1,0)),"")</f>
        <v/>
      </c>
      <c r="AF426" s="65" t="str">
        <f>+IFERROR(INDEX('Restaurant Base (Hidden)'!$A$2:$Z$1048576,MATCH($C426,'Restaurant Base (Hidden)'!$C$2:$C$1048576,0),MATCH(AF$6,'Restaurant Base (Hidden)'!$A$1:$Z$1,0)),"")</f>
        <v/>
      </c>
      <c r="AG426" s="1" t="str">
        <f>+IFERROR(INDEX('Restaurant Base (Hidden)'!$A$2:$Z$1048576,MATCH($C426,'Restaurant Base (Hidden)'!$C$2:$C$1048576,0),MATCH(AG$6,'Restaurant Base (Hidden)'!$A$1:$Z$1,0)),"")</f>
        <v/>
      </c>
    </row>
    <row r="427" spans="1:33" ht="16" customHeight="1" x14ac:dyDescent="0.4">
      <c r="A427" s="163" t="str">
        <f>IF('Restaurant Base (Hidden)'!A422=0,"", 'Restaurant Base (Hidden)'!A422)</f>
        <v/>
      </c>
      <c r="B427" s="163" t="str">
        <f>IF('Restaurant Base (Hidden)'!B422=0,"", 'Restaurant Base (Hidden)'!B422)</f>
        <v/>
      </c>
      <c r="C427" s="163" t="str">
        <f>IF('Restaurant Base (Hidden)'!C422=0,"", 'Restaurant Base (Hidden)'!C422)</f>
        <v/>
      </c>
      <c r="D427" s="104" t="str">
        <f t="shared" si="6"/>
        <v/>
      </c>
      <c r="E427" s="105" t="str">
        <f>+IFERROR(INDEX('Restaurant Base (Hidden)'!$A$2:$Z$1048576,MATCH($C427,'Restaurant Base (Hidden)'!$C$2:$C$1048576,0),MATCH(E$6,'Restaurant Base (Hidden)'!$A$1:$Z$1,0)),"")</f>
        <v/>
      </c>
      <c r="F427" s="2" t="str">
        <f>+IFERROR(INDEX('Restaurant Base (Hidden)'!$A$2:$Z$1048576,MATCH($C427,'Restaurant Base (Hidden)'!$C$2:$C$1048576,0),MATCH(F$6,'Restaurant Base (Hidden)'!$A$1:$Z$1,0)),"")</f>
        <v/>
      </c>
      <c r="G427" s="20" t="str">
        <f>+IFERROR(INDEX('Restaurant Base (Hidden)'!$A$2:$Z$1048576,MATCH($C427,'Restaurant Base (Hidden)'!$C$2:$C$1048576,0),MATCH(G$6,'Restaurant Base (Hidden)'!$A$1:$Z$1,0)),"")</f>
        <v/>
      </c>
      <c r="H427" s="50" t="str">
        <f>+IFERROR(INDEX('Restaurant Base (Hidden)'!$A$2:$Z$1048576,MATCH($C427,'Restaurant Base (Hidden)'!$C$2:$C$1048576,0),MATCH(H$6,'Restaurant Base (Hidden)'!$A$1:$Z$1,0)),"")</f>
        <v/>
      </c>
      <c r="I427" s="20" t="str">
        <f>+IFERROR(INDEX('Restaurant Base (Hidden)'!$A$2:$Z$1048576,MATCH($C427,'Restaurant Base (Hidden)'!$C$2:$C$1048576,0),MATCH(I$6,'Restaurant Base (Hidden)'!$A$1:$Z$1,0)),"")</f>
        <v/>
      </c>
      <c r="J427" s="49" t="str">
        <f>+IFERROR(INDEX('Restaurant Base (Hidden)'!$A$2:$Z$1048576,MATCH($C427,'Restaurant Base (Hidden)'!$C$2:$C$1048576,0),MATCH(J$6,'Restaurant Base (Hidden)'!$A$1:$Z$1,0)),"")</f>
        <v/>
      </c>
      <c r="K427" s="20" t="str">
        <f>+IFERROR(INDEX('Restaurant Base (Hidden)'!$A$2:$Z$1048576,MATCH($C427,'Restaurant Base (Hidden)'!$C$2:$C$1048576,0),MATCH(K$6,'Restaurant Base (Hidden)'!$A$1:$Z$1,0)),"")</f>
        <v/>
      </c>
      <c r="L427" s="51" t="str">
        <f>+IFERROR(INDEX('Restaurant Base (Hidden)'!$A$2:$Z$1048576,MATCH($C427,'Restaurant Base (Hidden)'!$C$2:$C$1048576,0),MATCH(L$6,'Restaurant Base (Hidden)'!$A$1:$Z$1,0)),"")</f>
        <v/>
      </c>
      <c r="M427" s="2" t="str">
        <f>+IFERROR(INDEX('Restaurant Base (Hidden)'!$A$2:$Z$1048576,MATCH($C427,'Restaurant Base (Hidden)'!$C$2:$C$1048576,0),MATCH(M$6,'Restaurant Base (Hidden)'!$A$1:$Z$1,0)),"")</f>
        <v/>
      </c>
      <c r="N427" s="234" t="str">
        <f>+IFERROR(INDEX('Restaurant Base (Hidden)'!$A$2:$Z$1048576,MATCH($C427,'Restaurant Base (Hidden)'!$C$2:$C$1048576,0),MATCH(N$6,'Restaurant Base (Hidden)'!$A$1:$Z$1,0)),"")</f>
        <v/>
      </c>
      <c r="O427" s="1" t="str">
        <f>+IFERROR(INDEX('Restaurant Base (Hidden)'!$A$2:$Z$1048576,MATCH($C427,'Restaurant Base (Hidden)'!$C$2:$C$1048576,0),MATCH(O$6,'Restaurant Base (Hidden)'!$A$1:$Z$1,0)),"")</f>
        <v/>
      </c>
      <c r="P427" s="2" t="str">
        <f>+IFERROR(INDEX('Restaurant Base (Hidden)'!$A$2:$Z$1048576,MATCH($C427,'Restaurant Base (Hidden)'!$C$2:$C$1048576,0),MATCH(P$6,'Restaurant Base (Hidden)'!$A$1:$Z$1,0)),"")</f>
        <v/>
      </c>
      <c r="Q427" s="234" t="str">
        <f>+IFERROR(INDEX('Restaurant Base (Hidden)'!$A$2:$Z$1048576,MATCH($C427,'Restaurant Base (Hidden)'!$C$2:$C$1048576,0),MATCH(Q$6,'Restaurant Base (Hidden)'!$A$1:$Z$1,0)),"")</f>
        <v/>
      </c>
      <c r="R427" s="1" t="str">
        <f>+IFERROR(INDEX('Restaurant Base (Hidden)'!$A$2:$Z$1048576,MATCH($C427,'Restaurant Base (Hidden)'!$C$2:$C$1048576,0),MATCH(R$6,'Restaurant Base (Hidden)'!$A$1:$Z$1,0)),"")</f>
        <v/>
      </c>
      <c r="S427" s="2" t="str">
        <f>+IFERROR(INDEX('Restaurant Base (Hidden)'!$A$2:$Z$1048576,MATCH($C427,'Restaurant Base (Hidden)'!$C$2:$C$1048576,0),MATCH(S$6,'Restaurant Base (Hidden)'!$A$1:$Z$1,0)),"")</f>
        <v/>
      </c>
      <c r="T427" s="62" t="str">
        <f>+IFERROR(INDEX('Restaurant Base (Hidden)'!$A$2:$Z$1048576,MATCH($C427,'Restaurant Base (Hidden)'!$C$2:$C$1048576,0),MATCH(T$6,'Restaurant Base (Hidden)'!$A$1:$Z$1,0)),"")</f>
        <v/>
      </c>
      <c r="U427" s="1" t="str">
        <f>+IFERROR(INDEX('Restaurant Base (Hidden)'!$A$2:$Z$1048576,MATCH($C427,'Restaurant Base (Hidden)'!$C$2:$C$1048576,0),MATCH(U$6,'Restaurant Base (Hidden)'!$A$1:$Z$1,0)),"")</f>
        <v/>
      </c>
      <c r="V427" s="2" t="str">
        <f>+IFERROR(INDEX('Restaurant Base (Hidden)'!$A$2:$Z$1048576,MATCH($C427,'Restaurant Base (Hidden)'!$C$2:$C$1048576,0),MATCH(V$6,'Restaurant Base (Hidden)'!$A$1:$Z$1,0)),"")</f>
        <v/>
      </c>
      <c r="W427" s="65" t="str">
        <f>+IFERROR(INDEX('Restaurant Base (Hidden)'!$A$2:$Z$1048576,MATCH($C427,'Restaurant Base (Hidden)'!$C$2:$C$1048576,0),MATCH(W$6,'Restaurant Base (Hidden)'!$A$1:$Z$1,0)),"")</f>
        <v/>
      </c>
      <c r="X427" s="1" t="str">
        <f>+IFERROR(INDEX('Restaurant Base (Hidden)'!$A$2:$Z$1048576,MATCH($C427,'Restaurant Base (Hidden)'!$C$2:$C$1048576,0),MATCH(X$6,'Restaurant Base (Hidden)'!$A$1:$Z$1,0)),"")</f>
        <v/>
      </c>
      <c r="Y427" s="65" t="str">
        <f>+IFERROR(INDEX('Restaurant Base (Hidden)'!$A$2:$Z$1048576,MATCH($C427,'Restaurant Base (Hidden)'!$C$2:$C$1048576,0),MATCH(Y$6,'Restaurant Base (Hidden)'!$A$1:$Z$1,0)),"")</f>
        <v/>
      </c>
      <c r="Z427" s="106" t="str">
        <f>+IFERROR(INDEX('Restaurant Base (Hidden)'!$A$2:$Z$1048576,MATCH($C427,'Restaurant Base (Hidden)'!$C$2:$C$1048576,0),MATCH(Z$6,'Restaurant Base (Hidden)'!$A$1:$Z$1,0)),"")</f>
        <v/>
      </c>
      <c r="AA427" s="65" t="str">
        <f>+IFERROR(INDEX('Restaurant Base (Hidden)'!$A$2:$Z$1048576,MATCH($C427,'Restaurant Base (Hidden)'!$C$2:$C$1048576,0),MATCH(AA$6,'Restaurant Base (Hidden)'!$A$1:$Z$1,0)),"")</f>
        <v/>
      </c>
      <c r="AB427" s="1" t="str">
        <f>+IFERROR(INDEX('Restaurant Base (Hidden)'!$A$2:$Z$1048576,MATCH($C427,'Restaurant Base (Hidden)'!$C$2:$C$1048576,0),MATCH(AB$6,'Restaurant Base (Hidden)'!$A$1:$Z$1,0)),"")</f>
        <v/>
      </c>
      <c r="AC427" s="20" t="str">
        <f>+IFERROR(INDEX('Restaurant Base (Hidden)'!$A$2:$Z$1048576,MATCH($C427,'Restaurant Base (Hidden)'!$C$2:$C$1048576,0),MATCH(AC$6,'Restaurant Base (Hidden)'!$A$1:$Z$1,0)),"")</f>
        <v/>
      </c>
      <c r="AD427" s="65" t="str">
        <f>+IFERROR(INDEX('Restaurant Base (Hidden)'!$A$2:$Z$1048576,MATCH($C427,'Restaurant Base (Hidden)'!$C$2:$C$1048576,0),MATCH(AD$6,'Restaurant Base (Hidden)'!$A$1:$Z$1,0)),"")</f>
        <v/>
      </c>
      <c r="AE427" s="1" t="str">
        <f>+IFERROR(INDEX('Restaurant Base (Hidden)'!$A$2:$Z$1048576,MATCH($C427,'Restaurant Base (Hidden)'!$C$2:$C$1048576,0),MATCH(AE$6,'Restaurant Base (Hidden)'!$A$1:$Z$1,0)),"")</f>
        <v/>
      </c>
      <c r="AF427" s="65" t="str">
        <f>+IFERROR(INDEX('Restaurant Base (Hidden)'!$A$2:$Z$1048576,MATCH($C427,'Restaurant Base (Hidden)'!$C$2:$C$1048576,0),MATCH(AF$6,'Restaurant Base (Hidden)'!$A$1:$Z$1,0)),"")</f>
        <v/>
      </c>
      <c r="AG427" s="1" t="str">
        <f>+IFERROR(INDEX('Restaurant Base (Hidden)'!$A$2:$Z$1048576,MATCH($C427,'Restaurant Base (Hidden)'!$C$2:$C$1048576,0),MATCH(AG$6,'Restaurant Base (Hidden)'!$A$1:$Z$1,0)),"")</f>
        <v/>
      </c>
    </row>
    <row r="428" spans="1:33" ht="16" customHeight="1" x14ac:dyDescent="0.4">
      <c r="A428" s="163" t="str">
        <f>IF('Restaurant Base (Hidden)'!A423=0,"", 'Restaurant Base (Hidden)'!A423)</f>
        <v/>
      </c>
      <c r="B428" s="163" t="str">
        <f>IF('Restaurant Base (Hidden)'!B423=0,"", 'Restaurant Base (Hidden)'!B423)</f>
        <v/>
      </c>
      <c r="C428" s="163" t="str">
        <f>IF('Restaurant Base (Hidden)'!C423=0,"", 'Restaurant Base (Hidden)'!C423)</f>
        <v/>
      </c>
      <c r="D428" s="104" t="str">
        <f t="shared" si="6"/>
        <v/>
      </c>
      <c r="E428" s="105" t="str">
        <f>+IFERROR(INDEX('Restaurant Base (Hidden)'!$A$2:$Z$1048576,MATCH($C428,'Restaurant Base (Hidden)'!$C$2:$C$1048576,0),MATCH(E$6,'Restaurant Base (Hidden)'!$A$1:$Z$1,0)),"")</f>
        <v/>
      </c>
      <c r="F428" s="2" t="str">
        <f>+IFERROR(INDEX('Restaurant Base (Hidden)'!$A$2:$Z$1048576,MATCH($C428,'Restaurant Base (Hidden)'!$C$2:$C$1048576,0),MATCH(F$6,'Restaurant Base (Hidden)'!$A$1:$Z$1,0)),"")</f>
        <v/>
      </c>
      <c r="G428" s="20" t="str">
        <f>+IFERROR(INDEX('Restaurant Base (Hidden)'!$A$2:$Z$1048576,MATCH($C428,'Restaurant Base (Hidden)'!$C$2:$C$1048576,0),MATCH(G$6,'Restaurant Base (Hidden)'!$A$1:$Z$1,0)),"")</f>
        <v/>
      </c>
      <c r="H428" s="50" t="str">
        <f>+IFERROR(INDEX('Restaurant Base (Hidden)'!$A$2:$Z$1048576,MATCH($C428,'Restaurant Base (Hidden)'!$C$2:$C$1048576,0),MATCH(H$6,'Restaurant Base (Hidden)'!$A$1:$Z$1,0)),"")</f>
        <v/>
      </c>
      <c r="I428" s="20" t="str">
        <f>+IFERROR(INDEX('Restaurant Base (Hidden)'!$A$2:$Z$1048576,MATCH($C428,'Restaurant Base (Hidden)'!$C$2:$C$1048576,0),MATCH(I$6,'Restaurant Base (Hidden)'!$A$1:$Z$1,0)),"")</f>
        <v/>
      </c>
      <c r="J428" s="49" t="str">
        <f>+IFERROR(INDEX('Restaurant Base (Hidden)'!$A$2:$Z$1048576,MATCH($C428,'Restaurant Base (Hidden)'!$C$2:$C$1048576,0),MATCH(J$6,'Restaurant Base (Hidden)'!$A$1:$Z$1,0)),"")</f>
        <v/>
      </c>
      <c r="K428" s="20" t="str">
        <f>+IFERROR(INDEX('Restaurant Base (Hidden)'!$A$2:$Z$1048576,MATCH($C428,'Restaurant Base (Hidden)'!$C$2:$C$1048576,0),MATCH(K$6,'Restaurant Base (Hidden)'!$A$1:$Z$1,0)),"")</f>
        <v/>
      </c>
      <c r="L428" s="51" t="str">
        <f>+IFERROR(INDEX('Restaurant Base (Hidden)'!$A$2:$Z$1048576,MATCH($C428,'Restaurant Base (Hidden)'!$C$2:$C$1048576,0),MATCH(L$6,'Restaurant Base (Hidden)'!$A$1:$Z$1,0)),"")</f>
        <v/>
      </c>
      <c r="M428" s="2" t="str">
        <f>+IFERROR(INDEX('Restaurant Base (Hidden)'!$A$2:$Z$1048576,MATCH($C428,'Restaurant Base (Hidden)'!$C$2:$C$1048576,0),MATCH(M$6,'Restaurant Base (Hidden)'!$A$1:$Z$1,0)),"")</f>
        <v/>
      </c>
      <c r="N428" s="234" t="str">
        <f>+IFERROR(INDEX('Restaurant Base (Hidden)'!$A$2:$Z$1048576,MATCH($C428,'Restaurant Base (Hidden)'!$C$2:$C$1048576,0),MATCH(N$6,'Restaurant Base (Hidden)'!$A$1:$Z$1,0)),"")</f>
        <v/>
      </c>
      <c r="O428" s="1" t="str">
        <f>+IFERROR(INDEX('Restaurant Base (Hidden)'!$A$2:$Z$1048576,MATCH($C428,'Restaurant Base (Hidden)'!$C$2:$C$1048576,0),MATCH(O$6,'Restaurant Base (Hidden)'!$A$1:$Z$1,0)),"")</f>
        <v/>
      </c>
      <c r="P428" s="2" t="str">
        <f>+IFERROR(INDEX('Restaurant Base (Hidden)'!$A$2:$Z$1048576,MATCH($C428,'Restaurant Base (Hidden)'!$C$2:$C$1048576,0),MATCH(P$6,'Restaurant Base (Hidden)'!$A$1:$Z$1,0)),"")</f>
        <v/>
      </c>
      <c r="Q428" s="234" t="str">
        <f>+IFERROR(INDEX('Restaurant Base (Hidden)'!$A$2:$Z$1048576,MATCH($C428,'Restaurant Base (Hidden)'!$C$2:$C$1048576,0),MATCH(Q$6,'Restaurant Base (Hidden)'!$A$1:$Z$1,0)),"")</f>
        <v/>
      </c>
      <c r="R428" s="1" t="str">
        <f>+IFERROR(INDEX('Restaurant Base (Hidden)'!$A$2:$Z$1048576,MATCH($C428,'Restaurant Base (Hidden)'!$C$2:$C$1048576,0),MATCH(R$6,'Restaurant Base (Hidden)'!$A$1:$Z$1,0)),"")</f>
        <v/>
      </c>
      <c r="S428" s="2" t="str">
        <f>+IFERROR(INDEX('Restaurant Base (Hidden)'!$A$2:$Z$1048576,MATCH($C428,'Restaurant Base (Hidden)'!$C$2:$C$1048576,0),MATCH(S$6,'Restaurant Base (Hidden)'!$A$1:$Z$1,0)),"")</f>
        <v/>
      </c>
      <c r="T428" s="62" t="str">
        <f>+IFERROR(INDEX('Restaurant Base (Hidden)'!$A$2:$Z$1048576,MATCH($C428,'Restaurant Base (Hidden)'!$C$2:$C$1048576,0),MATCH(T$6,'Restaurant Base (Hidden)'!$A$1:$Z$1,0)),"")</f>
        <v/>
      </c>
      <c r="U428" s="1" t="str">
        <f>+IFERROR(INDEX('Restaurant Base (Hidden)'!$A$2:$Z$1048576,MATCH($C428,'Restaurant Base (Hidden)'!$C$2:$C$1048576,0),MATCH(U$6,'Restaurant Base (Hidden)'!$A$1:$Z$1,0)),"")</f>
        <v/>
      </c>
      <c r="V428" s="2" t="str">
        <f>+IFERROR(INDEX('Restaurant Base (Hidden)'!$A$2:$Z$1048576,MATCH($C428,'Restaurant Base (Hidden)'!$C$2:$C$1048576,0),MATCH(V$6,'Restaurant Base (Hidden)'!$A$1:$Z$1,0)),"")</f>
        <v/>
      </c>
      <c r="W428" s="65" t="str">
        <f>+IFERROR(INDEX('Restaurant Base (Hidden)'!$A$2:$Z$1048576,MATCH($C428,'Restaurant Base (Hidden)'!$C$2:$C$1048576,0),MATCH(W$6,'Restaurant Base (Hidden)'!$A$1:$Z$1,0)),"")</f>
        <v/>
      </c>
      <c r="X428" s="1" t="str">
        <f>+IFERROR(INDEX('Restaurant Base (Hidden)'!$A$2:$Z$1048576,MATCH($C428,'Restaurant Base (Hidden)'!$C$2:$C$1048576,0),MATCH(X$6,'Restaurant Base (Hidden)'!$A$1:$Z$1,0)),"")</f>
        <v/>
      </c>
      <c r="Y428" s="65" t="str">
        <f>+IFERROR(INDEX('Restaurant Base (Hidden)'!$A$2:$Z$1048576,MATCH($C428,'Restaurant Base (Hidden)'!$C$2:$C$1048576,0),MATCH(Y$6,'Restaurant Base (Hidden)'!$A$1:$Z$1,0)),"")</f>
        <v/>
      </c>
      <c r="Z428" s="106" t="str">
        <f>+IFERROR(INDEX('Restaurant Base (Hidden)'!$A$2:$Z$1048576,MATCH($C428,'Restaurant Base (Hidden)'!$C$2:$C$1048576,0),MATCH(Z$6,'Restaurant Base (Hidden)'!$A$1:$Z$1,0)),"")</f>
        <v/>
      </c>
      <c r="AA428" s="65" t="str">
        <f>+IFERROR(INDEX('Restaurant Base (Hidden)'!$A$2:$Z$1048576,MATCH($C428,'Restaurant Base (Hidden)'!$C$2:$C$1048576,0),MATCH(AA$6,'Restaurant Base (Hidden)'!$A$1:$Z$1,0)),"")</f>
        <v/>
      </c>
      <c r="AB428" s="1" t="str">
        <f>+IFERROR(INDEX('Restaurant Base (Hidden)'!$A$2:$Z$1048576,MATCH($C428,'Restaurant Base (Hidden)'!$C$2:$C$1048576,0),MATCH(AB$6,'Restaurant Base (Hidden)'!$A$1:$Z$1,0)),"")</f>
        <v/>
      </c>
      <c r="AC428" s="20" t="str">
        <f>+IFERROR(INDEX('Restaurant Base (Hidden)'!$A$2:$Z$1048576,MATCH($C428,'Restaurant Base (Hidden)'!$C$2:$C$1048576,0),MATCH(AC$6,'Restaurant Base (Hidden)'!$A$1:$Z$1,0)),"")</f>
        <v/>
      </c>
      <c r="AD428" s="65" t="str">
        <f>+IFERROR(INDEX('Restaurant Base (Hidden)'!$A$2:$Z$1048576,MATCH($C428,'Restaurant Base (Hidden)'!$C$2:$C$1048576,0),MATCH(AD$6,'Restaurant Base (Hidden)'!$A$1:$Z$1,0)),"")</f>
        <v/>
      </c>
      <c r="AE428" s="1" t="str">
        <f>+IFERROR(INDEX('Restaurant Base (Hidden)'!$A$2:$Z$1048576,MATCH($C428,'Restaurant Base (Hidden)'!$C$2:$C$1048576,0),MATCH(AE$6,'Restaurant Base (Hidden)'!$A$1:$Z$1,0)),"")</f>
        <v/>
      </c>
      <c r="AF428" s="65" t="str">
        <f>+IFERROR(INDEX('Restaurant Base (Hidden)'!$A$2:$Z$1048576,MATCH($C428,'Restaurant Base (Hidden)'!$C$2:$C$1048576,0),MATCH(AF$6,'Restaurant Base (Hidden)'!$A$1:$Z$1,0)),"")</f>
        <v/>
      </c>
      <c r="AG428" s="1" t="str">
        <f>+IFERROR(INDEX('Restaurant Base (Hidden)'!$A$2:$Z$1048576,MATCH($C428,'Restaurant Base (Hidden)'!$C$2:$C$1048576,0),MATCH(AG$6,'Restaurant Base (Hidden)'!$A$1:$Z$1,0)),"")</f>
        <v/>
      </c>
    </row>
    <row r="429" spans="1:33" ht="16" customHeight="1" x14ac:dyDescent="0.4">
      <c r="A429" s="163" t="str">
        <f>IF('Restaurant Base (Hidden)'!A424=0,"", 'Restaurant Base (Hidden)'!A424)</f>
        <v/>
      </c>
      <c r="B429" s="163" t="str">
        <f>IF('Restaurant Base (Hidden)'!B424=0,"", 'Restaurant Base (Hidden)'!B424)</f>
        <v/>
      </c>
      <c r="C429" s="163" t="str">
        <f>IF('Restaurant Base (Hidden)'!C424=0,"", 'Restaurant Base (Hidden)'!C424)</f>
        <v/>
      </c>
      <c r="D429" s="104" t="str">
        <f t="shared" si="6"/>
        <v/>
      </c>
      <c r="E429" s="105" t="str">
        <f>+IFERROR(INDEX('Restaurant Base (Hidden)'!$A$2:$Z$1048576,MATCH($C429,'Restaurant Base (Hidden)'!$C$2:$C$1048576,0),MATCH(E$6,'Restaurant Base (Hidden)'!$A$1:$Z$1,0)),"")</f>
        <v/>
      </c>
      <c r="F429" s="2" t="str">
        <f>+IFERROR(INDEX('Restaurant Base (Hidden)'!$A$2:$Z$1048576,MATCH($C429,'Restaurant Base (Hidden)'!$C$2:$C$1048576,0),MATCH(F$6,'Restaurant Base (Hidden)'!$A$1:$Z$1,0)),"")</f>
        <v/>
      </c>
      <c r="G429" s="20" t="str">
        <f>+IFERROR(INDEX('Restaurant Base (Hidden)'!$A$2:$Z$1048576,MATCH($C429,'Restaurant Base (Hidden)'!$C$2:$C$1048576,0),MATCH(G$6,'Restaurant Base (Hidden)'!$A$1:$Z$1,0)),"")</f>
        <v/>
      </c>
      <c r="H429" s="50" t="str">
        <f>+IFERROR(INDEX('Restaurant Base (Hidden)'!$A$2:$Z$1048576,MATCH($C429,'Restaurant Base (Hidden)'!$C$2:$C$1048576,0),MATCH(H$6,'Restaurant Base (Hidden)'!$A$1:$Z$1,0)),"")</f>
        <v/>
      </c>
      <c r="I429" s="20" t="str">
        <f>+IFERROR(INDEX('Restaurant Base (Hidden)'!$A$2:$Z$1048576,MATCH($C429,'Restaurant Base (Hidden)'!$C$2:$C$1048576,0),MATCH(I$6,'Restaurant Base (Hidden)'!$A$1:$Z$1,0)),"")</f>
        <v/>
      </c>
      <c r="J429" s="49" t="str">
        <f>+IFERROR(INDEX('Restaurant Base (Hidden)'!$A$2:$Z$1048576,MATCH($C429,'Restaurant Base (Hidden)'!$C$2:$C$1048576,0),MATCH(J$6,'Restaurant Base (Hidden)'!$A$1:$Z$1,0)),"")</f>
        <v/>
      </c>
      <c r="K429" s="20" t="str">
        <f>+IFERROR(INDEX('Restaurant Base (Hidden)'!$A$2:$Z$1048576,MATCH($C429,'Restaurant Base (Hidden)'!$C$2:$C$1048576,0),MATCH(K$6,'Restaurant Base (Hidden)'!$A$1:$Z$1,0)),"")</f>
        <v/>
      </c>
      <c r="L429" s="51" t="str">
        <f>+IFERROR(INDEX('Restaurant Base (Hidden)'!$A$2:$Z$1048576,MATCH($C429,'Restaurant Base (Hidden)'!$C$2:$C$1048576,0),MATCH(L$6,'Restaurant Base (Hidden)'!$A$1:$Z$1,0)),"")</f>
        <v/>
      </c>
      <c r="M429" s="2" t="str">
        <f>+IFERROR(INDEX('Restaurant Base (Hidden)'!$A$2:$Z$1048576,MATCH($C429,'Restaurant Base (Hidden)'!$C$2:$C$1048576,0),MATCH(M$6,'Restaurant Base (Hidden)'!$A$1:$Z$1,0)),"")</f>
        <v/>
      </c>
      <c r="N429" s="234" t="str">
        <f>+IFERROR(INDEX('Restaurant Base (Hidden)'!$A$2:$Z$1048576,MATCH($C429,'Restaurant Base (Hidden)'!$C$2:$C$1048576,0),MATCH(N$6,'Restaurant Base (Hidden)'!$A$1:$Z$1,0)),"")</f>
        <v/>
      </c>
      <c r="O429" s="1" t="str">
        <f>+IFERROR(INDEX('Restaurant Base (Hidden)'!$A$2:$Z$1048576,MATCH($C429,'Restaurant Base (Hidden)'!$C$2:$C$1048576,0),MATCH(O$6,'Restaurant Base (Hidden)'!$A$1:$Z$1,0)),"")</f>
        <v/>
      </c>
      <c r="P429" s="2" t="str">
        <f>+IFERROR(INDEX('Restaurant Base (Hidden)'!$A$2:$Z$1048576,MATCH($C429,'Restaurant Base (Hidden)'!$C$2:$C$1048576,0),MATCH(P$6,'Restaurant Base (Hidden)'!$A$1:$Z$1,0)),"")</f>
        <v/>
      </c>
      <c r="Q429" s="234" t="str">
        <f>+IFERROR(INDEX('Restaurant Base (Hidden)'!$A$2:$Z$1048576,MATCH($C429,'Restaurant Base (Hidden)'!$C$2:$C$1048576,0),MATCH(Q$6,'Restaurant Base (Hidden)'!$A$1:$Z$1,0)),"")</f>
        <v/>
      </c>
      <c r="R429" s="1" t="str">
        <f>+IFERROR(INDEX('Restaurant Base (Hidden)'!$A$2:$Z$1048576,MATCH($C429,'Restaurant Base (Hidden)'!$C$2:$C$1048576,0),MATCH(R$6,'Restaurant Base (Hidden)'!$A$1:$Z$1,0)),"")</f>
        <v/>
      </c>
      <c r="S429" s="2" t="str">
        <f>+IFERROR(INDEX('Restaurant Base (Hidden)'!$A$2:$Z$1048576,MATCH($C429,'Restaurant Base (Hidden)'!$C$2:$C$1048576,0),MATCH(S$6,'Restaurant Base (Hidden)'!$A$1:$Z$1,0)),"")</f>
        <v/>
      </c>
      <c r="T429" s="62" t="str">
        <f>+IFERROR(INDEX('Restaurant Base (Hidden)'!$A$2:$Z$1048576,MATCH($C429,'Restaurant Base (Hidden)'!$C$2:$C$1048576,0),MATCH(T$6,'Restaurant Base (Hidden)'!$A$1:$Z$1,0)),"")</f>
        <v/>
      </c>
      <c r="U429" s="1" t="str">
        <f>+IFERROR(INDEX('Restaurant Base (Hidden)'!$A$2:$Z$1048576,MATCH($C429,'Restaurant Base (Hidden)'!$C$2:$C$1048576,0),MATCH(U$6,'Restaurant Base (Hidden)'!$A$1:$Z$1,0)),"")</f>
        <v/>
      </c>
      <c r="V429" s="2" t="str">
        <f>+IFERROR(INDEX('Restaurant Base (Hidden)'!$A$2:$Z$1048576,MATCH($C429,'Restaurant Base (Hidden)'!$C$2:$C$1048576,0),MATCH(V$6,'Restaurant Base (Hidden)'!$A$1:$Z$1,0)),"")</f>
        <v/>
      </c>
      <c r="W429" s="65" t="str">
        <f>+IFERROR(INDEX('Restaurant Base (Hidden)'!$A$2:$Z$1048576,MATCH($C429,'Restaurant Base (Hidden)'!$C$2:$C$1048576,0),MATCH(W$6,'Restaurant Base (Hidden)'!$A$1:$Z$1,0)),"")</f>
        <v/>
      </c>
      <c r="X429" s="1" t="str">
        <f>+IFERROR(INDEX('Restaurant Base (Hidden)'!$A$2:$Z$1048576,MATCH($C429,'Restaurant Base (Hidden)'!$C$2:$C$1048576,0),MATCH(X$6,'Restaurant Base (Hidden)'!$A$1:$Z$1,0)),"")</f>
        <v/>
      </c>
      <c r="Y429" s="65" t="str">
        <f>+IFERROR(INDEX('Restaurant Base (Hidden)'!$A$2:$Z$1048576,MATCH($C429,'Restaurant Base (Hidden)'!$C$2:$C$1048576,0),MATCH(Y$6,'Restaurant Base (Hidden)'!$A$1:$Z$1,0)),"")</f>
        <v/>
      </c>
      <c r="Z429" s="106" t="str">
        <f>+IFERROR(INDEX('Restaurant Base (Hidden)'!$A$2:$Z$1048576,MATCH($C429,'Restaurant Base (Hidden)'!$C$2:$C$1048576,0),MATCH(Z$6,'Restaurant Base (Hidden)'!$A$1:$Z$1,0)),"")</f>
        <v/>
      </c>
      <c r="AA429" s="65" t="str">
        <f>+IFERROR(INDEX('Restaurant Base (Hidden)'!$A$2:$Z$1048576,MATCH($C429,'Restaurant Base (Hidden)'!$C$2:$C$1048576,0),MATCH(AA$6,'Restaurant Base (Hidden)'!$A$1:$Z$1,0)),"")</f>
        <v/>
      </c>
      <c r="AB429" s="1" t="str">
        <f>+IFERROR(INDEX('Restaurant Base (Hidden)'!$A$2:$Z$1048576,MATCH($C429,'Restaurant Base (Hidden)'!$C$2:$C$1048576,0),MATCH(AB$6,'Restaurant Base (Hidden)'!$A$1:$Z$1,0)),"")</f>
        <v/>
      </c>
      <c r="AC429" s="20" t="str">
        <f>+IFERROR(INDEX('Restaurant Base (Hidden)'!$A$2:$Z$1048576,MATCH($C429,'Restaurant Base (Hidden)'!$C$2:$C$1048576,0),MATCH(AC$6,'Restaurant Base (Hidden)'!$A$1:$Z$1,0)),"")</f>
        <v/>
      </c>
      <c r="AD429" s="65" t="str">
        <f>+IFERROR(INDEX('Restaurant Base (Hidden)'!$A$2:$Z$1048576,MATCH($C429,'Restaurant Base (Hidden)'!$C$2:$C$1048576,0),MATCH(AD$6,'Restaurant Base (Hidden)'!$A$1:$Z$1,0)),"")</f>
        <v/>
      </c>
      <c r="AE429" s="1" t="str">
        <f>+IFERROR(INDEX('Restaurant Base (Hidden)'!$A$2:$Z$1048576,MATCH($C429,'Restaurant Base (Hidden)'!$C$2:$C$1048576,0),MATCH(AE$6,'Restaurant Base (Hidden)'!$A$1:$Z$1,0)),"")</f>
        <v/>
      </c>
      <c r="AF429" s="65" t="str">
        <f>+IFERROR(INDEX('Restaurant Base (Hidden)'!$A$2:$Z$1048576,MATCH($C429,'Restaurant Base (Hidden)'!$C$2:$C$1048576,0),MATCH(AF$6,'Restaurant Base (Hidden)'!$A$1:$Z$1,0)),"")</f>
        <v/>
      </c>
      <c r="AG429" s="1" t="str">
        <f>+IFERROR(INDEX('Restaurant Base (Hidden)'!$A$2:$Z$1048576,MATCH($C429,'Restaurant Base (Hidden)'!$C$2:$C$1048576,0),MATCH(AG$6,'Restaurant Base (Hidden)'!$A$1:$Z$1,0)),"")</f>
        <v/>
      </c>
    </row>
    <row r="430" spans="1:33" ht="16" customHeight="1" x14ac:dyDescent="0.4">
      <c r="A430" s="163" t="str">
        <f>IF('Restaurant Base (Hidden)'!A425=0,"", 'Restaurant Base (Hidden)'!A425)</f>
        <v/>
      </c>
      <c r="B430" s="163" t="str">
        <f>IF('Restaurant Base (Hidden)'!B425=0,"", 'Restaurant Base (Hidden)'!B425)</f>
        <v/>
      </c>
      <c r="C430" s="163" t="str">
        <f>IF('Restaurant Base (Hidden)'!C425=0,"", 'Restaurant Base (Hidden)'!C425)</f>
        <v/>
      </c>
      <c r="D430" s="104" t="str">
        <f t="shared" si="6"/>
        <v/>
      </c>
      <c r="E430" s="105" t="str">
        <f>+IFERROR(INDEX('Restaurant Base (Hidden)'!$A$2:$Z$1048576,MATCH($C430,'Restaurant Base (Hidden)'!$C$2:$C$1048576,0),MATCH(E$6,'Restaurant Base (Hidden)'!$A$1:$Z$1,0)),"")</f>
        <v/>
      </c>
      <c r="F430" s="2" t="str">
        <f>+IFERROR(INDEX('Restaurant Base (Hidden)'!$A$2:$Z$1048576,MATCH($C430,'Restaurant Base (Hidden)'!$C$2:$C$1048576,0),MATCH(F$6,'Restaurant Base (Hidden)'!$A$1:$Z$1,0)),"")</f>
        <v/>
      </c>
      <c r="G430" s="20" t="str">
        <f>+IFERROR(INDEX('Restaurant Base (Hidden)'!$A$2:$Z$1048576,MATCH($C430,'Restaurant Base (Hidden)'!$C$2:$C$1048576,0),MATCH(G$6,'Restaurant Base (Hidden)'!$A$1:$Z$1,0)),"")</f>
        <v/>
      </c>
      <c r="H430" s="50" t="str">
        <f>+IFERROR(INDEX('Restaurant Base (Hidden)'!$A$2:$Z$1048576,MATCH($C430,'Restaurant Base (Hidden)'!$C$2:$C$1048576,0),MATCH(H$6,'Restaurant Base (Hidden)'!$A$1:$Z$1,0)),"")</f>
        <v/>
      </c>
      <c r="I430" s="20" t="str">
        <f>+IFERROR(INDEX('Restaurant Base (Hidden)'!$A$2:$Z$1048576,MATCH($C430,'Restaurant Base (Hidden)'!$C$2:$C$1048576,0),MATCH(I$6,'Restaurant Base (Hidden)'!$A$1:$Z$1,0)),"")</f>
        <v/>
      </c>
      <c r="J430" s="49" t="str">
        <f>+IFERROR(INDEX('Restaurant Base (Hidden)'!$A$2:$Z$1048576,MATCH($C430,'Restaurant Base (Hidden)'!$C$2:$C$1048576,0),MATCH(J$6,'Restaurant Base (Hidden)'!$A$1:$Z$1,0)),"")</f>
        <v/>
      </c>
      <c r="K430" s="20" t="str">
        <f>+IFERROR(INDEX('Restaurant Base (Hidden)'!$A$2:$Z$1048576,MATCH($C430,'Restaurant Base (Hidden)'!$C$2:$C$1048576,0),MATCH(K$6,'Restaurant Base (Hidden)'!$A$1:$Z$1,0)),"")</f>
        <v/>
      </c>
      <c r="L430" s="51" t="str">
        <f>+IFERROR(INDEX('Restaurant Base (Hidden)'!$A$2:$Z$1048576,MATCH($C430,'Restaurant Base (Hidden)'!$C$2:$C$1048576,0),MATCH(L$6,'Restaurant Base (Hidden)'!$A$1:$Z$1,0)),"")</f>
        <v/>
      </c>
      <c r="M430" s="2" t="str">
        <f>+IFERROR(INDEX('Restaurant Base (Hidden)'!$A$2:$Z$1048576,MATCH($C430,'Restaurant Base (Hidden)'!$C$2:$C$1048576,0),MATCH(M$6,'Restaurant Base (Hidden)'!$A$1:$Z$1,0)),"")</f>
        <v/>
      </c>
      <c r="N430" s="234" t="str">
        <f>+IFERROR(INDEX('Restaurant Base (Hidden)'!$A$2:$Z$1048576,MATCH($C430,'Restaurant Base (Hidden)'!$C$2:$C$1048576,0),MATCH(N$6,'Restaurant Base (Hidden)'!$A$1:$Z$1,0)),"")</f>
        <v/>
      </c>
      <c r="O430" s="1" t="str">
        <f>+IFERROR(INDEX('Restaurant Base (Hidden)'!$A$2:$Z$1048576,MATCH($C430,'Restaurant Base (Hidden)'!$C$2:$C$1048576,0),MATCH(O$6,'Restaurant Base (Hidden)'!$A$1:$Z$1,0)),"")</f>
        <v/>
      </c>
      <c r="P430" s="2" t="str">
        <f>+IFERROR(INDEX('Restaurant Base (Hidden)'!$A$2:$Z$1048576,MATCH($C430,'Restaurant Base (Hidden)'!$C$2:$C$1048576,0),MATCH(P$6,'Restaurant Base (Hidden)'!$A$1:$Z$1,0)),"")</f>
        <v/>
      </c>
      <c r="Q430" s="234" t="str">
        <f>+IFERROR(INDEX('Restaurant Base (Hidden)'!$A$2:$Z$1048576,MATCH($C430,'Restaurant Base (Hidden)'!$C$2:$C$1048576,0),MATCH(Q$6,'Restaurant Base (Hidden)'!$A$1:$Z$1,0)),"")</f>
        <v/>
      </c>
      <c r="R430" s="1" t="str">
        <f>+IFERROR(INDEX('Restaurant Base (Hidden)'!$A$2:$Z$1048576,MATCH($C430,'Restaurant Base (Hidden)'!$C$2:$C$1048576,0),MATCH(R$6,'Restaurant Base (Hidden)'!$A$1:$Z$1,0)),"")</f>
        <v/>
      </c>
      <c r="S430" s="2" t="str">
        <f>+IFERROR(INDEX('Restaurant Base (Hidden)'!$A$2:$Z$1048576,MATCH($C430,'Restaurant Base (Hidden)'!$C$2:$C$1048576,0),MATCH(S$6,'Restaurant Base (Hidden)'!$A$1:$Z$1,0)),"")</f>
        <v/>
      </c>
      <c r="T430" s="62" t="str">
        <f>+IFERROR(INDEX('Restaurant Base (Hidden)'!$A$2:$Z$1048576,MATCH($C430,'Restaurant Base (Hidden)'!$C$2:$C$1048576,0),MATCH(T$6,'Restaurant Base (Hidden)'!$A$1:$Z$1,0)),"")</f>
        <v/>
      </c>
      <c r="U430" s="1" t="str">
        <f>+IFERROR(INDEX('Restaurant Base (Hidden)'!$A$2:$Z$1048576,MATCH($C430,'Restaurant Base (Hidden)'!$C$2:$C$1048576,0),MATCH(U$6,'Restaurant Base (Hidden)'!$A$1:$Z$1,0)),"")</f>
        <v/>
      </c>
      <c r="V430" s="2" t="str">
        <f>+IFERROR(INDEX('Restaurant Base (Hidden)'!$A$2:$Z$1048576,MATCH($C430,'Restaurant Base (Hidden)'!$C$2:$C$1048576,0),MATCH(V$6,'Restaurant Base (Hidden)'!$A$1:$Z$1,0)),"")</f>
        <v/>
      </c>
      <c r="W430" s="65" t="str">
        <f>+IFERROR(INDEX('Restaurant Base (Hidden)'!$A$2:$Z$1048576,MATCH($C430,'Restaurant Base (Hidden)'!$C$2:$C$1048576,0),MATCH(W$6,'Restaurant Base (Hidden)'!$A$1:$Z$1,0)),"")</f>
        <v/>
      </c>
      <c r="X430" s="1" t="str">
        <f>+IFERROR(INDEX('Restaurant Base (Hidden)'!$A$2:$Z$1048576,MATCH($C430,'Restaurant Base (Hidden)'!$C$2:$C$1048576,0),MATCH(X$6,'Restaurant Base (Hidden)'!$A$1:$Z$1,0)),"")</f>
        <v/>
      </c>
      <c r="Y430" s="65" t="str">
        <f>+IFERROR(INDEX('Restaurant Base (Hidden)'!$A$2:$Z$1048576,MATCH($C430,'Restaurant Base (Hidden)'!$C$2:$C$1048576,0),MATCH(Y$6,'Restaurant Base (Hidden)'!$A$1:$Z$1,0)),"")</f>
        <v/>
      </c>
      <c r="Z430" s="106" t="str">
        <f>+IFERROR(INDEX('Restaurant Base (Hidden)'!$A$2:$Z$1048576,MATCH($C430,'Restaurant Base (Hidden)'!$C$2:$C$1048576,0),MATCH(Z$6,'Restaurant Base (Hidden)'!$A$1:$Z$1,0)),"")</f>
        <v/>
      </c>
      <c r="AA430" s="65" t="str">
        <f>+IFERROR(INDEX('Restaurant Base (Hidden)'!$A$2:$Z$1048576,MATCH($C430,'Restaurant Base (Hidden)'!$C$2:$C$1048576,0),MATCH(AA$6,'Restaurant Base (Hidden)'!$A$1:$Z$1,0)),"")</f>
        <v/>
      </c>
      <c r="AB430" s="1" t="str">
        <f>+IFERROR(INDEX('Restaurant Base (Hidden)'!$A$2:$Z$1048576,MATCH($C430,'Restaurant Base (Hidden)'!$C$2:$C$1048576,0),MATCH(AB$6,'Restaurant Base (Hidden)'!$A$1:$Z$1,0)),"")</f>
        <v/>
      </c>
      <c r="AC430" s="20" t="str">
        <f>+IFERROR(INDEX('Restaurant Base (Hidden)'!$A$2:$Z$1048576,MATCH($C430,'Restaurant Base (Hidden)'!$C$2:$C$1048576,0),MATCH(AC$6,'Restaurant Base (Hidden)'!$A$1:$Z$1,0)),"")</f>
        <v/>
      </c>
      <c r="AD430" s="65" t="str">
        <f>+IFERROR(INDEX('Restaurant Base (Hidden)'!$A$2:$Z$1048576,MATCH($C430,'Restaurant Base (Hidden)'!$C$2:$C$1048576,0),MATCH(AD$6,'Restaurant Base (Hidden)'!$A$1:$Z$1,0)),"")</f>
        <v/>
      </c>
      <c r="AE430" s="1" t="str">
        <f>+IFERROR(INDEX('Restaurant Base (Hidden)'!$A$2:$Z$1048576,MATCH($C430,'Restaurant Base (Hidden)'!$C$2:$C$1048576,0),MATCH(AE$6,'Restaurant Base (Hidden)'!$A$1:$Z$1,0)),"")</f>
        <v/>
      </c>
      <c r="AF430" s="65" t="str">
        <f>+IFERROR(INDEX('Restaurant Base (Hidden)'!$A$2:$Z$1048576,MATCH($C430,'Restaurant Base (Hidden)'!$C$2:$C$1048576,0),MATCH(AF$6,'Restaurant Base (Hidden)'!$A$1:$Z$1,0)),"")</f>
        <v/>
      </c>
      <c r="AG430" s="1" t="str">
        <f>+IFERROR(INDEX('Restaurant Base (Hidden)'!$A$2:$Z$1048576,MATCH($C430,'Restaurant Base (Hidden)'!$C$2:$C$1048576,0),MATCH(AG$6,'Restaurant Base (Hidden)'!$A$1:$Z$1,0)),"")</f>
        <v/>
      </c>
    </row>
    <row r="431" spans="1:33" ht="16" customHeight="1" x14ac:dyDescent="0.4">
      <c r="A431" s="163" t="str">
        <f>IF('Restaurant Base (Hidden)'!A426=0,"", 'Restaurant Base (Hidden)'!A426)</f>
        <v/>
      </c>
      <c r="B431" s="163" t="str">
        <f>IF('Restaurant Base (Hidden)'!B426=0,"", 'Restaurant Base (Hidden)'!B426)</f>
        <v/>
      </c>
      <c r="C431" s="163" t="str">
        <f>IF('Restaurant Base (Hidden)'!C426=0,"", 'Restaurant Base (Hidden)'!C426)</f>
        <v/>
      </c>
      <c r="D431" s="104" t="str">
        <f t="shared" si="6"/>
        <v/>
      </c>
      <c r="E431" s="105" t="str">
        <f>+IFERROR(INDEX('Restaurant Base (Hidden)'!$A$2:$Z$1048576,MATCH($C431,'Restaurant Base (Hidden)'!$C$2:$C$1048576,0),MATCH(E$6,'Restaurant Base (Hidden)'!$A$1:$Z$1,0)),"")</f>
        <v/>
      </c>
      <c r="F431" s="2" t="str">
        <f>+IFERROR(INDEX('Restaurant Base (Hidden)'!$A$2:$Z$1048576,MATCH($C431,'Restaurant Base (Hidden)'!$C$2:$C$1048576,0),MATCH(F$6,'Restaurant Base (Hidden)'!$A$1:$Z$1,0)),"")</f>
        <v/>
      </c>
      <c r="G431" s="20" t="str">
        <f>+IFERROR(INDEX('Restaurant Base (Hidden)'!$A$2:$Z$1048576,MATCH($C431,'Restaurant Base (Hidden)'!$C$2:$C$1048576,0),MATCH(G$6,'Restaurant Base (Hidden)'!$A$1:$Z$1,0)),"")</f>
        <v/>
      </c>
      <c r="H431" s="50" t="str">
        <f>+IFERROR(INDEX('Restaurant Base (Hidden)'!$A$2:$Z$1048576,MATCH($C431,'Restaurant Base (Hidden)'!$C$2:$C$1048576,0),MATCH(H$6,'Restaurant Base (Hidden)'!$A$1:$Z$1,0)),"")</f>
        <v/>
      </c>
      <c r="I431" s="20" t="str">
        <f>+IFERROR(INDEX('Restaurant Base (Hidden)'!$A$2:$Z$1048576,MATCH($C431,'Restaurant Base (Hidden)'!$C$2:$C$1048576,0),MATCH(I$6,'Restaurant Base (Hidden)'!$A$1:$Z$1,0)),"")</f>
        <v/>
      </c>
      <c r="J431" s="49" t="str">
        <f>+IFERROR(INDEX('Restaurant Base (Hidden)'!$A$2:$Z$1048576,MATCH($C431,'Restaurant Base (Hidden)'!$C$2:$C$1048576,0),MATCH(J$6,'Restaurant Base (Hidden)'!$A$1:$Z$1,0)),"")</f>
        <v/>
      </c>
      <c r="K431" s="20" t="str">
        <f>+IFERROR(INDEX('Restaurant Base (Hidden)'!$A$2:$Z$1048576,MATCH($C431,'Restaurant Base (Hidden)'!$C$2:$C$1048576,0),MATCH(K$6,'Restaurant Base (Hidden)'!$A$1:$Z$1,0)),"")</f>
        <v/>
      </c>
      <c r="L431" s="51" t="str">
        <f>+IFERROR(INDEX('Restaurant Base (Hidden)'!$A$2:$Z$1048576,MATCH($C431,'Restaurant Base (Hidden)'!$C$2:$C$1048576,0),MATCH(L$6,'Restaurant Base (Hidden)'!$A$1:$Z$1,0)),"")</f>
        <v/>
      </c>
      <c r="M431" s="2" t="str">
        <f>+IFERROR(INDEX('Restaurant Base (Hidden)'!$A$2:$Z$1048576,MATCH($C431,'Restaurant Base (Hidden)'!$C$2:$C$1048576,0),MATCH(M$6,'Restaurant Base (Hidden)'!$A$1:$Z$1,0)),"")</f>
        <v/>
      </c>
      <c r="N431" s="234" t="str">
        <f>+IFERROR(INDEX('Restaurant Base (Hidden)'!$A$2:$Z$1048576,MATCH($C431,'Restaurant Base (Hidden)'!$C$2:$C$1048576,0),MATCH(N$6,'Restaurant Base (Hidden)'!$A$1:$Z$1,0)),"")</f>
        <v/>
      </c>
      <c r="O431" s="1" t="str">
        <f>+IFERROR(INDEX('Restaurant Base (Hidden)'!$A$2:$Z$1048576,MATCH($C431,'Restaurant Base (Hidden)'!$C$2:$C$1048576,0),MATCH(O$6,'Restaurant Base (Hidden)'!$A$1:$Z$1,0)),"")</f>
        <v/>
      </c>
      <c r="P431" s="2" t="str">
        <f>+IFERROR(INDEX('Restaurant Base (Hidden)'!$A$2:$Z$1048576,MATCH($C431,'Restaurant Base (Hidden)'!$C$2:$C$1048576,0),MATCH(P$6,'Restaurant Base (Hidden)'!$A$1:$Z$1,0)),"")</f>
        <v/>
      </c>
      <c r="Q431" s="234" t="str">
        <f>+IFERROR(INDEX('Restaurant Base (Hidden)'!$A$2:$Z$1048576,MATCH($C431,'Restaurant Base (Hidden)'!$C$2:$C$1048576,0),MATCH(Q$6,'Restaurant Base (Hidden)'!$A$1:$Z$1,0)),"")</f>
        <v/>
      </c>
      <c r="R431" s="1" t="str">
        <f>+IFERROR(INDEX('Restaurant Base (Hidden)'!$A$2:$Z$1048576,MATCH($C431,'Restaurant Base (Hidden)'!$C$2:$C$1048576,0),MATCH(R$6,'Restaurant Base (Hidden)'!$A$1:$Z$1,0)),"")</f>
        <v/>
      </c>
      <c r="S431" s="2" t="str">
        <f>+IFERROR(INDEX('Restaurant Base (Hidden)'!$A$2:$Z$1048576,MATCH($C431,'Restaurant Base (Hidden)'!$C$2:$C$1048576,0),MATCH(S$6,'Restaurant Base (Hidden)'!$A$1:$Z$1,0)),"")</f>
        <v/>
      </c>
      <c r="T431" s="62" t="str">
        <f>+IFERROR(INDEX('Restaurant Base (Hidden)'!$A$2:$Z$1048576,MATCH($C431,'Restaurant Base (Hidden)'!$C$2:$C$1048576,0),MATCH(T$6,'Restaurant Base (Hidden)'!$A$1:$Z$1,0)),"")</f>
        <v/>
      </c>
      <c r="U431" s="1" t="str">
        <f>+IFERROR(INDEX('Restaurant Base (Hidden)'!$A$2:$Z$1048576,MATCH($C431,'Restaurant Base (Hidden)'!$C$2:$C$1048576,0),MATCH(U$6,'Restaurant Base (Hidden)'!$A$1:$Z$1,0)),"")</f>
        <v/>
      </c>
      <c r="V431" s="2" t="str">
        <f>+IFERROR(INDEX('Restaurant Base (Hidden)'!$A$2:$Z$1048576,MATCH($C431,'Restaurant Base (Hidden)'!$C$2:$C$1048576,0),MATCH(V$6,'Restaurant Base (Hidden)'!$A$1:$Z$1,0)),"")</f>
        <v/>
      </c>
      <c r="W431" s="65" t="str">
        <f>+IFERROR(INDEX('Restaurant Base (Hidden)'!$A$2:$Z$1048576,MATCH($C431,'Restaurant Base (Hidden)'!$C$2:$C$1048576,0),MATCH(W$6,'Restaurant Base (Hidden)'!$A$1:$Z$1,0)),"")</f>
        <v/>
      </c>
      <c r="X431" s="1" t="str">
        <f>+IFERROR(INDEX('Restaurant Base (Hidden)'!$A$2:$Z$1048576,MATCH($C431,'Restaurant Base (Hidden)'!$C$2:$C$1048576,0),MATCH(X$6,'Restaurant Base (Hidden)'!$A$1:$Z$1,0)),"")</f>
        <v/>
      </c>
      <c r="Y431" s="65" t="str">
        <f>+IFERROR(INDEX('Restaurant Base (Hidden)'!$A$2:$Z$1048576,MATCH($C431,'Restaurant Base (Hidden)'!$C$2:$C$1048576,0),MATCH(Y$6,'Restaurant Base (Hidden)'!$A$1:$Z$1,0)),"")</f>
        <v/>
      </c>
      <c r="Z431" s="106" t="str">
        <f>+IFERROR(INDEX('Restaurant Base (Hidden)'!$A$2:$Z$1048576,MATCH($C431,'Restaurant Base (Hidden)'!$C$2:$C$1048576,0),MATCH(Z$6,'Restaurant Base (Hidden)'!$A$1:$Z$1,0)),"")</f>
        <v/>
      </c>
      <c r="AA431" s="65" t="str">
        <f>+IFERROR(INDEX('Restaurant Base (Hidden)'!$A$2:$Z$1048576,MATCH($C431,'Restaurant Base (Hidden)'!$C$2:$C$1048576,0),MATCH(AA$6,'Restaurant Base (Hidden)'!$A$1:$Z$1,0)),"")</f>
        <v/>
      </c>
      <c r="AB431" s="1" t="str">
        <f>+IFERROR(INDEX('Restaurant Base (Hidden)'!$A$2:$Z$1048576,MATCH($C431,'Restaurant Base (Hidden)'!$C$2:$C$1048576,0),MATCH(AB$6,'Restaurant Base (Hidden)'!$A$1:$Z$1,0)),"")</f>
        <v/>
      </c>
      <c r="AC431" s="20" t="str">
        <f>+IFERROR(INDEX('Restaurant Base (Hidden)'!$A$2:$Z$1048576,MATCH($C431,'Restaurant Base (Hidden)'!$C$2:$C$1048576,0),MATCH(AC$6,'Restaurant Base (Hidden)'!$A$1:$Z$1,0)),"")</f>
        <v/>
      </c>
      <c r="AD431" s="65" t="str">
        <f>+IFERROR(INDEX('Restaurant Base (Hidden)'!$A$2:$Z$1048576,MATCH($C431,'Restaurant Base (Hidden)'!$C$2:$C$1048576,0),MATCH(AD$6,'Restaurant Base (Hidden)'!$A$1:$Z$1,0)),"")</f>
        <v/>
      </c>
      <c r="AE431" s="1" t="str">
        <f>+IFERROR(INDEX('Restaurant Base (Hidden)'!$A$2:$Z$1048576,MATCH($C431,'Restaurant Base (Hidden)'!$C$2:$C$1048576,0),MATCH(AE$6,'Restaurant Base (Hidden)'!$A$1:$Z$1,0)),"")</f>
        <v/>
      </c>
      <c r="AF431" s="65" t="str">
        <f>+IFERROR(INDEX('Restaurant Base (Hidden)'!$A$2:$Z$1048576,MATCH($C431,'Restaurant Base (Hidden)'!$C$2:$C$1048576,0),MATCH(AF$6,'Restaurant Base (Hidden)'!$A$1:$Z$1,0)),"")</f>
        <v/>
      </c>
      <c r="AG431" s="1" t="str">
        <f>+IFERROR(INDEX('Restaurant Base (Hidden)'!$A$2:$Z$1048576,MATCH($C431,'Restaurant Base (Hidden)'!$C$2:$C$1048576,0),MATCH(AG$6,'Restaurant Base (Hidden)'!$A$1:$Z$1,0)),"")</f>
        <v/>
      </c>
    </row>
    <row r="432" spans="1:33" ht="16" customHeight="1" x14ac:dyDescent="0.4">
      <c r="A432" s="163" t="str">
        <f>IF('Restaurant Base (Hidden)'!A427=0,"", 'Restaurant Base (Hidden)'!A427)</f>
        <v/>
      </c>
      <c r="B432" s="163" t="str">
        <f>IF('Restaurant Base (Hidden)'!B427=0,"", 'Restaurant Base (Hidden)'!B427)</f>
        <v/>
      </c>
      <c r="C432" s="163" t="str">
        <f>IF('Restaurant Base (Hidden)'!C427=0,"", 'Restaurant Base (Hidden)'!C427)</f>
        <v/>
      </c>
      <c r="D432" s="104" t="str">
        <f t="shared" si="6"/>
        <v/>
      </c>
      <c r="E432" s="105" t="str">
        <f>+IFERROR(INDEX('Restaurant Base (Hidden)'!$A$2:$Z$1048576,MATCH($C432,'Restaurant Base (Hidden)'!$C$2:$C$1048576,0),MATCH(E$6,'Restaurant Base (Hidden)'!$A$1:$Z$1,0)),"")</f>
        <v/>
      </c>
      <c r="F432" s="2" t="str">
        <f>+IFERROR(INDEX('Restaurant Base (Hidden)'!$A$2:$Z$1048576,MATCH($C432,'Restaurant Base (Hidden)'!$C$2:$C$1048576,0),MATCH(F$6,'Restaurant Base (Hidden)'!$A$1:$Z$1,0)),"")</f>
        <v/>
      </c>
      <c r="G432" s="20" t="str">
        <f>+IFERROR(INDEX('Restaurant Base (Hidden)'!$A$2:$Z$1048576,MATCH($C432,'Restaurant Base (Hidden)'!$C$2:$C$1048576,0),MATCH(G$6,'Restaurant Base (Hidden)'!$A$1:$Z$1,0)),"")</f>
        <v/>
      </c>
      <c r="H432" s="50" t="str">
        <f>+IFERROR(INDEX('Restaurant Base (Hidden)'!$A$2:$Z$1048576,MATCH($C432,'Restaurant Base (Hidden)'!$C$2:$C$1048576,0),MATCH(H$6,'Restaurant Base (Hidden)'!$A$1:$Z$1,0)),"")</f>
        <v/>
      </c>
      <c r="I432" s="20" t="str">
        <f>+IFERROR(INDEX('Restaurant Base (Hidden)'!$A$2:$Z$1048576,MATCH($C432,'Restaurant Base (Hidden)'!$C$2:$C$1048576,0),MATCH(I$6,'Restaurant Base (Hidden)'!$A$1:$Z$1,0)),"")</f>
        <v/>
      </c>
      <c r="J432" s="49" t="str">
        <f>+IFERROR(INDEX('Restaurant Base (Hidden)'!$A$2:$Z$1048576,MATCH($C432,'Restaurant Base (Hidden)'!$C$2:$C$1048576,0),MATCH(J$6,'Restaurant Base (Hidden)'!$A$1:$Z$1,0)),"")</f>
        <v/>
      </c>
      <c r="K432" s="20" t="str">
        <f>+IFERROR(INDEX('Restaurant Base (Hidden)'!$A$2:$Z$1048576,MATCH($C432,'Restaurant Base (Hidden)'!$C$2:$C$1048576,0),MATCH(K$6,'Restaurant Base (Hidden)'!$A$1:$Z$1,0)),"")</f>
        <v/>
      </c>
      <c r="L432" s="51" t="str">
        <f>+IFERROR(INDEX('Restaurant Base (Hidden)'!$A$2:$Z$1048576,MATCH($C432,'Restaurant Base (Hidden)'!$C$2:$C$1048576,0),MATCH(L$6,'Restaurant Base (Hidden)'!$A$1:$Z$1,0)),"")</f>
        <v/>
      </c>
      <c r="M432" s="2" t="str">
        <f>+IFERROR(INDEX('Restaurant Base (Hidden)'!$A$2:$Z$1048576,MATCH($C432,'Restaurant Base (Hidden)'!$C$2:$C$1048576,0),MATCH(M$6,'Restaurant Base (Hidden)'!$A$1:$Z$1,0)),"")</f>
        <v/>
      </c>
      <c r="N432" s="234" t="str">
        <f>+IFERROR(INDEX('Restaurant Base (Hidden)'!$A$2:$Z$1048576,MATCH($C432,'Restaurant Base (Hidden)'!$C$2:$C$1048576,0),MATCH(N$6,'Restaurant Base (Hidden)'!$A$1:$Z$1,0)),"")</f>
        <v/>
      </c>
      <c r="O432" s="1" t="str">
        <f>+IFERROR(INDEX('Restaurant Base (Hidden)'!$A$2:$Z$1048576,MATCH($C432,'Restaurant Base (Hidden)'!$C$2:$C$1048576,0),MATCH(O$6,'Restaurant Base (Hidden)'!$A$1:$Z$1,0)),"")</f>
        <v/>
      </c>
      <c r="P432" s="2" t="str">
        <f>+IFERROR(INDEX('Restaurant Base (Hidden)'!$A$2:$Z$1048576,MATCH($C432,'Restaurant Base (Hidden)'!$C$2:$C$1048576,0),MATCH(P$6,'Restaurant Base (Hidden)'!$A$1:$Z$1,0)),"")</f>
        <v/>
      </c>
      <c r="Q432" s="234" t="str">
        <f>+IFERROR(INDEX('Restaurant Base (Hidden)'!$A$2:$Z$1048576,MATCH($C432,'Restaurant Base (Hidden)'!$C$2:$C$1048576,0),MATCH(Q$6,'Restaurant Base (Hidden)'!$A$1:$Z$1,0)),"")</f>
        <v/>
      </c>
      <c r="R432" s="1" t="str">
        <f>+IFERROR(INDEX('Restaurant Base (Hidden)'!$A$2:$Z$1048576,MATCH($C432,'Restaurant Base (Hidden)'!$C$2:$C$1048576,0),MATCH(R$6,'Restaurant Base (Hidden)'!$A$1:$Z$1,0)),"")</f>
        <v/>
      </c>
      <c r="S432" s="2" t="str">
        <f>+IFERROR(INDEX('Restaurant Base (Hidden)'!$A$2:$Z$1048576,MATCH($C432,'Restaurant Base (Hidden)'!$C$2:$C$1048576,0),MATCH(S$6,'Restaurant Base (Hidden)'!$A$1:$Z$1,0)),"")</f>
        <v/>
      </c>
      <c r="T432" s="62" t="str">
        <f>+IFERROR(INDEX('Restaurant Base (Hidden)'!$A$2:$Z$1048576,MATCH($C432,'Restaurant Base (Hidden)'!$C$2:$C$1048576,0),MATCH(T$6,'Restaurant Base (Hidden)'!$A$1:$Z$1,0)),"")</f>
        <v/>
      </c>
      <c r="U432" s="1" t="str">
        <f>+IFERROR(INDEX('Restaurant Base (Hidden)'!$A$2:$Z$1048576,MATCH($C432,'Restaurant Base (Hidden)'!$C$2:$C$1048576,0),MATCH(U$6,'Restaurant Base (Hidden)'!$A$1:$Z$1,0)),"")</f>
        <v/>
      </c>
      <c r="V432" s="2" t="str">
        <f>+IFERROR(INDEX('Restaurant Base (Hidden)'!$A$2:$Z$1048576,MATCH($C432,'Restaurant Base (Hidden)'!$C$2:$C$1048576,0),MATCH(V$6,'Restaurant Base (Hidden)'!$A$1:$Z$1,0)),"")</f>
        <v/>
      </c>
      <c r="W432" s="65" t="str">
        <f>+IFERROR(INDEX('Restaurant Base (Hidden)'!$A$2:$Z$1048576,MATCH($C432,'Restaurant Base (Hidden)'!$C$2:$C$1048576,0),MATCH(W$6,'Restaurant Base (Hidden)'!$A$1:$Z$1,0)),"")</f>
        <v/>
      </c>
      <c r="X432" s="1" t="str">
        <f>+IFERROR(INDEX('Restaurant Base (Hidden)'!$A$2:$Z$1048576,MATCH($C432,'Restaurant Base (Hidden)'!$C$2:$C$1048576,0),MATCH(X$6,'Restaurant Base (Hidden)'!$A$1:$Z$1,0)),"")</f>
        <v/>
      </c>
      <c r="Y432" s="65" t="str">
        <f>+IFERROR(INDEX('Restaurant Base (Hidden)'!$A$2:$Z$1048576,MATCH($C432,'Restaurant Base (Hidden)'!$C$2:$C$1048576,0),MATCH(Y$6,'Restaurant Base (Hidden)'!$A$1:$Z$1,0)),"")</f>
        <v/>
      </c>
      <c r="Z432" s="106" t="str">
        <f>+IFERROR(INDEX('Restaurant Base (Hidden)'!$A$2:$Z$1048576,MATCH($C432,'Restaurant Base (Hidden)'!$C$2:$C$1048576,0),MATCH(Z$6,'Restaurant Base (Hidden)'!$A$1:$Z$1,0)),"")</f>
        <v/>
      </c>
      <c r="AA432" s="65" t="str">
        <f>+IFERROR(INDEX('Restaurant Base (Hidden)'!$A$2:$Z$1048576,MATCH($C432,'Restaurant Base (Hidden)'!$C$2:$C$1048576,0),MATCH(AA$6,'Restaurant Base (Hidden)'!$A$1:$Z$1,0)),"")</f>
        <v/>
      </c>
      <c r="AB432" s="1" t="str">
        <f>+IFERROR(INDEX('Restaurant Base (Hidden)'!$A$2:$Z$1048576,MATCH($C432,'Restaurant Base (Hidden)'!$C$2:$C$1048576,0),MATCH(AB$6,'Restaurant Base (Hidden)'!$A$1:$Z$1,0)),"")</f>
        <v/>
      </c>
      <c r="AC432" s="20" t="str">
        <f>+IFERROR(INDEX('Restaurant Base (Hidden)'!$A$2:$Z$1048576,MATCH($C432,'Restaurant Base (Hidden)'!$C$2:$C$1048576,0),MATCH(AC$6,'Restaurant Base (Hidden)'!$A$1:$Z$1,0)),"")</f>
        <v/>
      </c>
      <c r="AD432" s="65" t="str">
        <f>+IFERROR(INDEX('Restaurant Base (Hidden)'!$A$2:$Z$1048576,MATCH($C432,'Restaurant Base (Hidden)'!$C$2:$C$1048576,0),MATCH(AD$6,'Restaurant Base (Hidden)'!$A$1:$Z$1,0)),"")</f>
        <v/>
      </c>
      <c r="AE432" s="1" t="str">
        <f>+IFERROR(INDEX('Restaurant Base (Hidden)'!$A$2:$Z$1048576,MATCH($C432,'Restaurant Base (Hidden)'!$C$2:$C$1048576,0),MATCH(AE$6,'Restaurant Base (Hidden)'!$A$1:$Z$1,0)),"")</f>
        <v/>
      </c>
      <c r="AF432" s="65" t="str">
        <f>+IFERROR(INDEX('Restaurant Base (Hidden)'!$A$2:$Z$1048576,MATCH($C432,'Restaurant Base (Hidden)'!$C$2:$C$1048576,0),MATCH(AF$6,'Restaurant Base (Hidden)'!$A$1:$Z$1,0)),"")</f>
        <v/>
      </c>
      <c r="AG432" s="1" t="str">
        <f>+IFERROR(INDEX('Restaurant Base (Hidden)'!$A$2:$Z$1048576,MATCH($C432,'Restaurant Base (Hidden)'!$C$2:$C$1048576,0),MATCH(AG$6,'Restaurant Base (Hidden)'!$A$1:$Z$1,0)),"")</f>
        <v/>
      </c>
    </row>
    <row r="433" spans="1:33" ht="16" customHeight="1" x14ac:dyDescent="0.4">
      <c r="A433" s="163" t="str">
        <f>IF('Restaurant Base (Hidden)'!A428=0,"", 'Restaurant Base (Hidden)'!A428)</f>
        <v/>
      </c>
      <c r="B433" s="163" t="str">
        <f>IF('Restaurant Base (Hidden)'!B428=0,"", 'Restaurant Base (Hidden)'!B428)</f>
        <v/>
      </c>
      <c r="C433" s="163" t="str">
        <f>IF('Restaurant Base (Hidden)'!C428=0,"", 'Restaurant Base (Hidden)'!C428)</f>
        <v/>
      </c>
      <c r="D433" s="104" t="str">
        <f t="shared" si="6"/>
        <v/>
      </c>
      <c r="E433" s="105" t="str">
        <f>+IFERROR(INDEX('Restaurant Base (Hidden)'!$A$2:$Z$1048576,MATCH($C433,'Restaurant Base (Hidden)'!$C$2:$C$1048576,0),MATCH(E$6,'Restaurant Base (Hidden)'!$A$1:$Z$1,0)),"")</f>
        <v/>
      </c>
      <c r="F433" s="2" t="str">
        <f>+IFERROR(INDEX('Restaurant Base (Hidden)'!$A$2:$Z$1048576,MATCH($C433,'Restaurant Base (Hidden)'!$C$2:$C$1048576,0),MATCH(F$6,'Restaurant Base (Hidden)'!$A$1:$Z$1,0)),"")</f>
        <v/>
      </c>
      <c r="G433" s="20" t="str">
        <f>+IFERROR(INDEX('Restaurant Base (Hidden)'!$A$2:$Z$1048576,MATCH($C433,'Restaurant Base (Hidden)'!$C$2:$C$1048576,0),MATCH(G$6,'Restaurant Base (Hidden)'!$A$1:$Z$1,0)),"")</f>
        <v/>
      </c>
      <c r="H433" s="50" t="str">
        <f>+IFERROR(INDEX('Restaurant Base (Hidden)'!$A$2:$Z$1048576,MATCH($C433,'Restaurant Base (Hidden)'!$C$2:$C$1048576,0),MATCH(H$6,'Restaurant Base (Hidden)'!$A$1:$Z$1,0)),"")</f>
        <v/>
      </c>
      <c r="I433" s="20" t="str">
        <f>+IFERROR(INDEX('Restaurant Base (Hidden)'!$A$2:$Z$1048576,MATCH($C433,'Restaurant Base (Hidden)'!$C$2:$C$1048576,0),MATCH(I$6,'Restaurant Base (Hidden)'!$A$1:$Z$1,0)),"")</f>
        <v/>
      </c>
      <c r="J433" s="49" t="str">
        <f>+IFERROR(INDEX('Restaurant Base (Hidden)'!$A$2:$Z$1048576,MATCH($C433,'Restaurant Base (Hidden)'!$C$2:$C$1048576,0),MATCH(J$6,'Restaurant Base (Hidden)'!$A$1:$Z$1,0)),"")</f>
        <v/>
      </c>
      <c r="K433" s="20" t="str">
        <f>+IFERROR(INDEX('Restaurant Base (Hidden)'!$A$2:$Z$1048576,MATCH($C433,'Restaurant Base (Hidden)'!$C$2:$C$1048576,0),MATCH(K$6,'Restaurant Base (Hidden)'!$A$1:$Z$1,0)),"")</f>
        <v/>
      </c>
      <c r="L433" s="51" t="str">
        <f>+IFERROR(INDEX('Restaurant Base (Hidden)'!$A$2:$Z$1048576,MATCH($C433,'Restaurant Base (Hidden)'!$C$2:$C$1048576,0),MATCH(L$6,'Restaurant Base (Hidden)'!$A$1:$Z$1,0)),"")</f>
        <v/>
      </c>
      <c r="M433" s="2" t="str">
        <f>+IFERROR(INDEX('Restaurant Base (Hidden)'!$A$2:$Z$1048576,MATCH($C433,'Restaurant Base (Hidden)'!$C$2:$C$1048576,0),MATCH(M$6,'Restaurant Base (Hidden)'!$A$1:$Z$1,0)),"")</f>
        <v/>
      </c>
      <c r="N433" s="234" t="str">
        <f>+IFERROR(INDEX('Restaurant Base (Hidden)'!$A$2:$Z$1048576,MATCH($C433,'Restaurant Base (Hidden)'!$C$2:$C$1048576,0),MATCH(N$6,'Restaurant Base (Hidden)'!$A$1:$Z$1,0)),"")</f>
        <v/>
      </c>
      <c r="O433" s="1" t="str">
        <f>+IFERROR(INDEX('Restaurant Base (Hidden)'!$A$2:$Z$1048576,MATCH($C433,'Restaurant Base (Hidden)'!$C$2:$C$1048576,0),MATCH(O$6,'Restaurant Base (Hidden)'!$A$1:$Z$1,0)),"")</f>
        <v/>
      </c>
      <c r="P433" s="2" t="str">
        <f>+IFERROR(INDEX('Restaurant Base (Hidden)'!$A$2:$Z$1048576,MATCH($C433,'Restaurant Base (Hidden)'!$C$2:$C$1048576,0),MATCH(P$6,'Restaurant Base (Hidden)'!$A$1:$Z$1,0)),"")</f>
        <v/>
      </c>
      <c r="Q433" s="234" t="str">
        <f>+IFERROR(INDEX('Restaurant Base (Hidden)'!$A$2:$Z$1048576,MATCH($C433,'Restaurant Base (Hidden)'!$C$2:$C$1048576,0),MATCH(Q$6,'Restaurant Base (Hidden)'!$A$1:$Z$1,0)),"")</f>
        <v/>
      </c>
      <c r="R433" s="1" t="str">
        <f>+IFERROR(INDEX('Restaurant Base (Hidden)'!$A$2:$Z$1048576,MATCH($C433,'Restaurant Base (Hidden)'!$C$2:$C$1048576,0),MATCH(R$6,'Restaurant Base (Hidden)'!$A$1:$Z$1,0)),"")</f>
        <v/>
      </c>
      <c r="S433" s="2" t="str">
        <f>+IFERROR(INDEX('Restaurant Base (Hidden)'!$A$2:$Z$1048576,MATCH($C433,'Restaurant Base (Hidden)'!$C$2:$C$1048576,0),MATCH(S$6,'Restaurant Base (Hidden)'!$A$1:$Z$1,0)),"")</f>
        <v/>
      </c>
      <c r="T433" s="62" t="str">
        <f>+IFERROR(INDEX('Restaurant Base (Hidden)'!$A$2:$Z$1048576,MATCH($C433,'Restaurant Base (Hidden)'!$C$2:$C$1048576,0),MATCH(T$6,'Restaurant Base (Hidden)'!$A$1:$Z$1,0)),"")</f>
        <v/>
      </c>
      <c r="U433" s="1" t="str">
        <f>+IFERROR(INDEX('Restaurant Base (Hidden)'!$A$2:$Z$1048576,MATCH($C433,'Restaurant Base (Hidden)'!$C$2:$C$1048576,0),MATCH(U$6,'Restaurant Base (Hidden)'!$A$1:$Z$1,0)),"")</f>
        <v/>
      </c>
      <c r="V433" s="2" t="str">
        <f>+IFERROR(INDEX('Restaurant Base (Hidden)'!$A$2:$Z$1048576,MATCH($C433,'Restaurant Base (Hidden)'!$C$2:$C$1048576,0),MATCH(V$6,'Restaurant Base (Hidden)'!$A$1:$Z$1,0)),"")</f>
        <v/>
      </c>
      <c r="W433" s="65" t="str">
        <f>+IFERROR(INDEX('Restaurant Base (Hidden)'!$A$2:$Z$1048576,MATCH($C433,'Restaurant Base (Hidden)'!$C$2:$C$1048576,0),MATCH(W$6,'Restaurant Base (Hidden)'!$A$1:$Z$1,0)),"")</f>
        <v/>
      </c>
      <c r="X433" s="1" t="str">
        <f>+IFERROR(INDEX('Restaurant Base (Hidden)'!$A$2:$Z$1048576,MATCH($C433,'Restaurant Base (Hidden)'!$C$2:$C$1048576,0),MATCH(X$6,'Restaurant Base (Hidden)'!$A$1:$Z$1,0)),"")</f>
        <v/>
      </c>
      <c r="Y433" s="65" t="str">
        <f>+IFERROR(INDEX('Restaurant Base (Hidden)'!$A$2:$Z$1048576,MATCH($C433,'Restaurant Base (Hidden)'!$C$2:$C$1048576,0),MATCH(Y$6,'Restaurant Base (Hidden)'!$A$1:$Z$1,0)),"")</f>
        <v/>
      </c>
      <c r="Z433" s="106" t="str">
        <f>+IFERROR(INDEX('Restaurant Base (Hidden)'!$A$2:$Z$1048576,MATCH($C433,'Restaurant Base (Hidden)'!$C$2:$C$1048576,0),MATCH(Z$6,'Restaurant Base (Hidden)'!$A$1:$Z$1,0)),"")</f>
        <v/>
      </c>
      <c r="AA433" s="65" t="str">
        <f>+IFERROR(INDEX('Restaurant Base (Hidden)'!$A$2:$Z$1048576,MATCH($C433,'Restaurant Base (Hidden)'!$C$2:$C$1048576,0),MATCH(AA$6,'Restaurant Base (Hidden)'!$A$1:$Z$1,0)),"")</f>
        <v/>
      </c>
      <c r="AB433" s="1" t="str">
        <f>+IFERROR(INDEX('Restaurant Base (Hidden)'!$A$2:$Z$1048576,MATCH($C433,'Restaurant Base (Hidden)'!$C$2:$C$1048576,0),MATCH(AB$6,'Restaurant Base (Hidden)'!$A$1:$Z$1,0)),"")</f>
        <v/>
      </c>
      <c r="AC433" s="20" t="str">
        <f>+IFERROR(INDEX('Restaurant Base (Hidden)'!$A$2:$Z$1048576,MATCH($C433,'Restaurant Base (Hidden)'!$C$2:$C$1048576,0),MATCH(AC$6,'Restaurant Base (Hidden)'!$A$1:$Z$1,0)),"")</f>
        <v/>
      </c>
      <c r="AD433" s="65" t="str">
        <f>+IFERROR(INDEX('Restaurant Base (Hidden)'!$A$2:$Z$1048576,MATCH($C433,'Restaurant Base (Hidden)'!$C$2:$C$1048576,0),MATCH(AD$6,'Restaurant Base (Hidden)'!$A$1:$Z$1,0)),"")</f>
        <v/>
      </c>
      <c r="AE433" s="1" t="str">
        <f>+IFERROR(INDEX('Restaurant Base (Hidden)'!$A$2:$Z$1048576,MATCH($C433,'Restaurant Base (Hidden)'!$C$2:$C$1048576,0),MATCH(AE$6,'Restaurant Base (Hidden)'!$A$1:$Z$1,0)),"")</f>
        <v/>
      </c>
      <c r="AF433" s="65" t="str">
        <f>+IFERROR(INDEX('Restaurant Base (Hidden)'!$A$2:$Z$1048576,MATCH($C433,'Restaurant Base (Hidden)'!$C$2:$C$1048576,0),MATCH(AF$6,'Restaurant Base (Hidden)'!$A$1:$Z$1,0)),"")</f>
        <v/>
      </c>
      <c r="AG433" s="1" t="str">
        <f>+IFERROR(INDEX('Restaurant Base (Hidden)'!$A$2:$Z$1048576,MATCH($C433,'Restaurant Base (Hidden)'!$C$2:$C$1048576,0),MATCH(AG$6,'Restaurant Base (Hidden)'!$A$1:$Z$1,0)),"")</f>
        <v/>
      </c>
    </row>
    <row r="434" spans="1:33" ht="16" customHeight="1" x14ac:dyDescent="0.4">
      <c r="A434" s="163" t="str">
        <f>IF('Restaurant Base (Hidden)'!A429=0,"", 'Restaurant Base (Hidden)'!A429)</f>
        <v/>
      </c>
      <c r="B434" s="163" t="str">
        <f>IF('Restaurant Base (Hidden)'!B429=0,"", 'Restaurant Base (Hidden)'!B429)</f>
        <v/>
      </c>
      <c r="C434" s="163" t="str">
        <f>IF('Restaurant Base (Hidden)'!C429=0,"", 'Restaurant Base (Hidden)'!C429)</f>
        <v/>
      </c>
      <c r="D434" s="104" t="str">
        <f t="shared" si="6"/>
        <v/>
      </c>
      <c r="E434" s="105" t="str">
        <f>+IFERROR(INDEX('Restaurant Base (Hidden)'!$A$2:$Z$1048576,MATCH($C434,'Restaurant Base (Hidden)'!$C$2:$C$1048576,0),MATCH(E$6,'Restaurant Base (Hidden)'!$A$1:$Z$1,0)),"")</f>
        <v/>
      </c>
      <c r="F434" s="2" t="str">
        <f>+IFERROR(INDEX('Restaurant Base (Hidden)'!$A$2:$Z$1048576,MATCH($C434,'Restaurant Base (Hidden)'!$C$2:$C$1048576,0),MATCH(F$6,'Restaurant Base (Hidden)'!$A$1:$Z$1,0)),"")</f>
        <v/>
      </c>
      <c r="G434" s="20" t="str">
        <f>+IFERROR(INDEX('Restaurant Base (Hidden)'!$A$2:$Z$1048576,MATCH($C434,'Restaurant Base (Hidden)'!$C$2:$C$1048576,0),MATCH(G$6,'Restaurant Base (Hidden)'!$A$1:$Z$1,0)),"")</f>
        <v/>
      </c>
      <c r="H434" s="50" t="str">
        <f>+IFERROR(INDEX('Restaurant Base (Hidden)'!$A$2:$Z$1048576,MATCH($C434,'Restaurant Base (Hidden)'!$C$2:$C$1048576,0),MATCH(H$6,'Restaurant Base (Hidden)'!$A$1:$Z$1,0)),"")</f>
        <v/>
      </c>
      <c r="I434" s="20" t="str">
        <f>+IFERROR(INDEX('Restaurant Base (Hidden)'!$A$2:$Z$1048576,MATCH($C434,'Restaurant Base (Hidden)'!$C$2:$C$1048576,0),MATCH(I$6,'Restaurant Base (Hidden)'!$A$1:$Z$1,0)),"")</f>
        <v/>
      </c>
      <c r="J434" s="49" t="str">
        <f>+IFERROR(INDEX('Restaurant Base (Hidden)'!$A$2:$Z$1048576,MATCH($C434,'Restaurant Base (Hidden)'!$C$2:$C$1048576,0),MATCH(J$6,'Restaurant Base (Hidden)'!$A$1:$Z$1,0)),"")</f>
        <v/>
      </c>
      <c r="K434" s="20" t="str">
        <f>+IFERROR(INDEX('Restaurant Base (Hidden)'!$A$2:$Z$1048576,MATCH($C434,'Restaurant Base (Hidden)'!$C$2:$C$1048576,0),MATCH(K$6,'Restaurant Base (Hidden)'!$A$1:$Z$1,0)),"")</f>
        <v/>
      </c>
      <c r="L434" s="51" t="str">
        <f>+IFERROR(INDEX('Restaurant Base (Hidden)'!$A$2:$Z$1048576,MATCH($C434,'Restaurant Base (Hidden)'!$C$2:$C$1048576,0),MATCH(L$6,'Restaurant Base (Hidden)'!$A$1:$Z$1,0)),"")</f>
        <v/>
      </c>
      <c r="M434" s="2" t="str">
        <f>+IFERROR(INDEX('Restaurant Base (Hidden)'!$A$2:$Z$1048576,MATCH($C434,'Restaurant Base (Hidden)'!$C$2:$C$1048576,0),MATCH(M$6,'Restaurant Base (Hidden)'!$A$1:$Z$1,0)),"")</f>
        <v/>
      </c>
      <c r="N434" s="234" t="str">
        <f>+IFERROR(INDEX('Restaurant Base (Hidden)'!$A$2:$Z$1048576,MATCH($C434,'Restaurant Base (Hidden)'!$C$2:$C$1048576,0),MATCH(N$6,'Restaurant Base (Hidden)'!$A$1:$Z$1,0)),"")</f>
        <v/>
      </c>
      <c r="O434" s="1" t="str">
        <f>+IFERROR(INDEX('Restaurant Base (Hidden)'!$A$2:$Z$1048576,MATCH($C434,'Restaurant Base (Hidden)'!$C$2:$C$1048576,0),MATCH(O$6,'Restaurant Base (Hidden)'!$A$1:$Z$1,0)),"")</f>
        <v/>
      </c>
      <c r="P434" s="2" t="str">
        <f>+IFERROR(INDEX('Restaurant Base (Hidden)'!$A$2:$Z$1048576,MATCH($C434,'Restaurant Base (Hidden)'!$C$2:$C$1048576,0),MATCH(P$6,'Restaurant Base (Hidden)'!$A$1:$Z$1,0)),"")</f>
        <v/>
      </c>
      <c r="Q434" s="234" t="str">
        <f>+IFERROR(INDEX('Restaurant Base (Hidden)'!$A$2:$Z$1048576,MATCH($C434,'Restaurant Base (Hidden)'!$C$2:$C$1048576,0),MATCH(Q$6,'Restaurant Base (Hidden)'!$A$1:$Z$1,0)),"")</f>
        <v/>
      </c>
      <c r="R434" s="1" t="str">
        <f>+IFERROR(INDEX('Restaurant Base (Hidden)'!$A$2:$Z$1048576,MATCH($C434,'Restaurant Base (Hidden)'!$C$2:$C$1048576,0),MATCH(R$6,'Restaurant Base (Hidden)'!$A$1:$Z$1,0)),"")</f>
        <v/>
      </c>
      <c r="S434" s="2" t="str">
        <f>+IFERROR(INDEX('Restaurant Base (Hidden)'!$A$2:$Z$1048576,MATCH($C434,'Restaurant Base (Hidden)'!$C$2:$C$1048576,0),MATCH(S$6,'Restaurant Base (Hidden)'!$A$1:$Z$1,0)),"")</f>
        <v/>
      </c>
      <c r="T434" s="62" t="str">
        <f>+IFERROR(INDEX('Restaurant Base (Hidden)'!$A$2:$Z$1048576,MATCH($C434,'Restaurant Base (Hidden)'!$C$2:$C$1048576,0),MATCH(T$6,'Restaurant Base (Hidden)'!$A$1:$Z$1,0)),"")</f>
        <v/>
      </c>
      <c r="U434" s="1" t="str">
        <f>+IFERROR(INDEX('Restaurant Base (Hidden)'!$A$2:$Z$1048576,MATCH($C434,'Restaurant Base (Hidden)'!$C$2:$C$1048576,0),MATCH(U$6,'Restaurant Base (Hidden)'!$A$1:$Z$1,0)),"")</f>
        <v/>
      </c>
      <c r="V434" s="2" t="str">
        <f>+IFERROR(INDEX('Restaurant Base (Hidden)'!$A$2:$Z$1048576,MATCH($C434,'Restaurant Base (Hidden)'!$C$2:$C$1048576,0),MATCH(V$6,'Restaurant Base (Hidden)'!$A$1:$Z$1,0)),"")</f>
        <v/>
      </c>
      <c r="W434" s="65" t="str">
        <f>+IFERROR(INDEX('Restaurant Base (Hidden)'!$A$2:$Z$1048576,MATCH($C434,'Restaurant Base (Hidden)'!$C$2:$C$1048576,0),MATCH(W$6,'Restaurant Base (Hidden)'!$A$1:$Z$1,0)),"")</f>
        <v/>
      </c>
      <c r="X434" s="1" t="str">
        <f>+IFERROR(INDEX('Restaurant Base (Hidden)'!$A$2:$Z$1048576,MATCH($C434,'Restaurant Base (Hidden)'!$C$2:$C$1048576,0),MATCH(X$6,'Restaurant Base (Hidden)'!$A$1:$Z$1,0)),"")</f>
        <v/>
      </c>
      <c r="Y434" s="65" t="str">
        <f>+IFERROR(INDEX('Restaurant Base (Hidden)'!$A$2:$Z$1048576,MATCH($C434,'Restaurant Base (Hidden)'!$C$2:$C$1048576,0),MATCH(Y$6,'Restaurant Base (Hidden)'!$A$1:$Z$1,0)),"")</f>
        <v/>
      </c>
      <c r="Z434" s="106" t="str">
        <f>+IFERROR(INDEX('Restaurant Base (Hidden)'!$A$2:$Z$1048576,MATCH($C434,'Restaurant Base (Hidden)'!$C$2:$C$1048576,0),MATCH(Z$6,'Restaurant Base (Hidden)'!$A$1:$Z$1,0)),"")</f>
        <v/>
      </c>
      <c r="AA434" s="65" t="str">
        <f>+IFERROR(INDEX('Restaurant Base (Hidden)'!$A$2:$Z$1048576,MATCH($C434,'Restaurant Base (Hidden)'!$C$2:$C$1048576,0),MATCH(AA$6,'Restaurant Base (Hidden)'!$A$1:$Z$1,0)),"")</f>
        <v/>
      </c>
      <c r="AB434" s="1" t="str">
        <f>+IFERROR(INDEX('Restaurant Base (Hidden)'!$A$2:$Z$1048576,MATCH($C434,'Restaurant Base (Hidden)'!$C$2:$C$1048576,0),MATCH(AB$6,'Restaurant Base (Hidden)'!$A$1:$Z$1,0)),"")</f>
        <v/>
      </c>
      <c r="AC434" s="20" t="str">
        <f>+IFERROR(INDEX('Restaurant Base (Hidden)'!$A$2:$Z$1048576,MATCH($C434,'Restaurant Base (Hidden)'!$C$2:$C$1048576,0),MATCH(AC$6,'Restaurant Base (Hidden)'!$A$1:$Z$1,0)),"")</f>
        <v/>
      </c>
      <c r="AD434" s="65" t="str">
        <f>+IFERROR(INDEX('Restaurant Base (Hidden)'!$A$2:$Z$1048576,MATCH($C434,'Restaurant Base (Hidden)'!$C$2:$C$1048576,0),MATCH(AD$6,'Restaurant Base (Hidden)'!$A$1:$Z$1,0)),"")</f>
        <v/>
      </c>
      <c r="AE434" s="1" t="str">
        <f>+IFERROR(INDEX('Restaurant Base (Hidden)'!$A$2:$Z$1048576,MATCH($C434,'Restaurant Base (Hidden)'!$C$2:$C$1048576,0),MATCH(AE$6,'Restaurant Base (Hidden)'!$A$1:$Z$1,0)),"")</f>
        <v/>
      </c>
      <c r="AF434" s="65" t="str">
        <f>+IFERROR(INDEX('Restaurant Base (Hidden)'!$A$2:$Z$1048576,MATCH($C434,'Restaurant Base (Hidden)'!$C$2:$C$1048576,0),MATCH(AF$6,'Restaurant Base (Hidden)'!$A$1:$Z$1,0)),"")</f>
        <v/>
      </c>
      <c r="AG434" s="1" t="str">
        <f>+IFERROR(INDEX('Restaurant Base (Hidden)'!$A$2:$Z$1048576,MATCH($C434,'Restaurant Base (Hidden)'!$C$2:$C$1048576,0),MATCH(AG$6,'Restaurant Base (Hidden)'!$A$1:$Z$1,0)),"")</f>
        <v/>
      </c>
    </row>
    <row r="435" spans="1:33" ht="16" customHeight="1" x14ac:dyDescent="0.4">
      <c r="A435" s="163" t="str">
        <f>IF('Restaurant Base (Hidden)'!A430=0,"", 'Restaurant Base (Hidden)'!A430)</f>
        <v/>
      </c>
      <c r="B435" s="163" t="str">
        <f>IF('Restaurant Base (Hidden)'!B430=0,"", 'Restaurant Base (Hidden)'!B430)</f>
        <v/>
      </c>
      <c r="C435" s="163" t="str">
        <f>IF('Restaurant Base (Hidden)'!C430=0,"", 'Restaurant Base (Hidden)'!C430)</f>
        <v/>
      </c>
      <c r="D435" s="104" t="str">
        <f t="shared" si="6"/>
        <v/>
      </c>
      <c r="E435" s="105" t="str">
        <f>+IFERROR(INDEX('Restaurant Base (Hidden)'!$A$2:$Z$1048576,MATCH($C435,'Restaurant Base (Hidden)'!$C$2:$C$1048576,0),MATCH(E$6,'Restaurant Base (Hidden)'!$A$1:$Z$1,0)),"")</f>
        <v/>
      </c>
      <c r="F435" s="2" t="str">
        <f>+IFERROR(INDEX('Restaurant Base (Hidden)'!$A$2:$Z$1048576,MATCH($C435,'Restaurant Base (Hidden)'!$C$2:$C$1048576,0),MATCH(F$6,'Restaurant Base (Hidden)'!$A$1:$Z$1,0)),"")</f>
        <v/>
      </c>
      <c r="G435" s="20" t="str">
        <f>+IFERROR(INDEX('Restaurant Base (Hidden)'!$A$2:$Z$1048576,MATCH($C435,'Restaurant Base (Hidden)'!$C$2:$C$1048576,0),MATCH(G$6,'Restaurant Base (Hidden)'!$A$1:$Z$1,0)),"")</f>
        <v/>
      </c>
      <c r="H435" s="50" t="str">
        <f>+IFERROR(INDEX('Restaurant Base (Hidden)'!$A$2:$Z$1048576,MATCH($C435,'Restaurant Base (Hidden)'!$C$2:$C$1048576,0),MATCH(H$6,'Restaurant Base (Hidden)'!$A$1:$Z$1,0)),"")</f>
        <v/>
      </c>
      <c r="I435" s="20" t="str">
        <f>+IFERROR(INDEX('Restaurant Base (Hidden)'!$A$2:$Z$1048576,MATCH($C435,'Restaurant Base (Hidden)'!$C$2:$C$1048576,0),MATCH(I$6,'Restaurant Base (Hidden)'!$A$1:$Z$1,0)),"")</f>
        <v/>
      </c>
      <c r="J435" s="49" t="str">
        <f>+IFERROR(INDEX('Restaurant Base (Hidden)'!$A$2:$Z$1048576,MATCH($C435,'Restaurant Base (Hidden)'!$C$2:$C$1048576,0),MATCH(J$6,'Restaurant Base (Hidden)'!$A$1:$Z$1,0)),"")</f>
        <v/>
      </c>
      <c r="K435" s="20" t="str">
        <f>+IFERROR(INDEX('Restaurant Base (Hidden)'!$A$2:$Z$1048576,MATCH($C435,'Restaurant Base (Hidden)'!$C$2:$C$1048576,0),MATCH(K$6,'Restaurant Base (Hidden)'!$A$1:$Z$1,0)),"")</f>
        <v/>
      </c>
      <c r="L435" s="51" t="str">
        <f>+IFERROR(INDEX('Restaurant Base (Hidden)'!$A$2:$Z$1048576,MATCH($C435,'Restaurant Base (Hidden)'!$C$2:$C$1048576,0),MATCH(L$6,'Restaurant Base (Hidden)'!$A$1:$Z$1,0)),"")</f>
        <v/>
      </c>
      <c r="M435" s="2" t="str">
        <f>+IFERROR(INDEX('Restaurant Base (Hidden)'!$A$2:$Z$1048576,MATCH($C435,'Restaurant Base (Hidden)'!$C$2:$C$1048576,0),MATCH(M$6,'Restaurant Base (Hidden)'!$A$1:$Z$1,0)),"")</f>
        <v/>
      </c>
      <c r="N435" s="234" t="str">
        <f>+IFERROR(INDEX('Restaurant Base (Hidden)'!$A$2:$Z$1048576,MATCH($C435,'Restaurant Base (Hidden)'!$C$2:$C$1048576,0),MATCH(N$6,'Restaurant Base (Hidden)'!$A$1:$Z$1,0)),"")</f>
        <v/>
      </c>
      <c r="O435" s="1" t="str">
        <f>+IFERROR(INDEX('Restaurant Base (Hidden)'!$A$2:$Z$1048576,MATCH($C435,'Restaurant Base (Hidden)'!$C$2:$C$1048576,0),MATCH(O$6,'Restaurant Base (Hidden)'!$A$1:$Z$1,0)),"")</f>
        <v/>
      </c>
      <c r="P435" s="2" t="str">
        <f>+IFERROR(INDEX('Restaurant Base (Hidden)'!$A$2:$Z$1048576,MATCH($C435,'Restaurant Base (Hidden)'!$C$2:$C$1048576,0),MATCH(P$6,'Restaurant Base (Hidden)'!$A$1:$Z$1,0)),"")</f>
        <v/>
      </c>
      <c r="Q435" s="234" t="str">
        <f>+IFERROR(INDEX('Restaurant Base (Hidden)'!$A$2:$Z$1048576,MATCH($C435,'Restaurant Base (Hidden)'!$C$2:$C$1048576,0),MATCH(Q$6,'Restaurant Base (Hidden)'!$A$1:$Z$1,0)),"")</f>
        <v/>
      </c>
      <c r="R435" s="1" t="str">
        <f>+IFERROR(INDEX('Restaurant Base (Hidden)'!$A$2:$Z$1048576,MATCH($C435,'Restaurant Base (Hidden)'!$C$2:$C$1048576,0),MATCH(R$6,'Restaurant Base (Hidden)'!$A$1:$Z$1,0)),"")</f>
        <v/>
      </c>
      <c r="S435" s="2" t="str">
        <f>+IFERROR(INDEX('Restaurant Base (Hidden)'!$A$2:$Z$1048576,MATCH($C435,'Restaurant Base (Hidden)'!$C$2:$C$1048576,0),MATCH(S$6,'Restaurant Base (Hidden)'!$A$1:$Z$1,0)),"")</f>
        <v/>
      </c>
      <c r="T435" s="62" t="str">
        <f>+IFERROR(INDEX('Restaurant Base (Hidden)'!$A$2:$Z$1048576,MATCH($C435,'Restaurant Base (Hidden)'!$C$2:$C$1048576,0),MATCH(T$6,'Restaurant Base (Hidden)'!$A$1:$Z$1,0)),"")</f>
        <v/>
      </c>
      <c r="U435" s="1" t="str">
        <f>+IFERROR(INDEX('Restaurant Base (Hidden)'!$A$2:$Z$1048576,MATCH($C435,'Restaurant Base (Hidden)'!$C$2:$C$1048576,0),MATCH(U$6,'Restaurant Base (Hidden)'!$A$1:$Z$1,0)),"")</f>
        <v/>
      </c>
      <c r="V435" s="2" t="str">
        <f>+IFERROR(INDEX('Restaurant Base (Hidden)'!$A$2:$Z$1048576,MATCH($C435,'Restaurant Base (Hidden)'!$C$2:$C$1048576,0),MATCH(V$6,'Restaurant Base (Hidden)'!$A$1:$Z$1,0)),"")</f>
        <v/>
      </c>
      <c r="W435" s="65" t="str">
        <f>+IFERROR(INDEX('Restaurant Base (Hidden)'!$A$2:$Z$1048576,MATCH($C435,'Restaurant Base (Hidden)'!$C$2:$C$1048576,0),MATCH(W$6,'Restaurant Base (Hidden)'!$A$1:$Z$1,0)),"")</f>
        <v/>
      </c>
      <c r="X435" s="1" t="str">
        <f>+IFERROR(INDEX('Restaurant Base (Hidden)'!$A$2:$Z$1048576,MATCH($C435,'Restaurant Base (Hidden)'!$C$2:$C$1048576,0),MATCH(X$6,'Restaurant Base (Hidden)'!$A$1:$Z$1,0)),"")</f>
        <v/>
      </c>
      <c r="Y435" s="65" t="str">
        <f>+IFERROR(INDEX('Restaurant Base (Hidden)'!$A$2:$Z$1048576,MATCH($C435,'Restaurant Base (Hidden)'!$C$2:$C$1048576,0),MATCH(Y$6,'Restaurant Base (Hidden)'!$A$1:$Z$1,0)),"")</f>
        <v/>
      </c>
      <c r="Z435" s="106" t="str">
        <f>+IFERROR(INDEX('Restaurant Base (Hidden)'!$A$2:$Z$1048576,MATCH($C435,'Restaurant Base (Hidden)'!$C$2:$C$1048576,0),MATCH(Z$6,'Restaurant Base (Hidden)'!$A$1:$Z$1,0)),"")</f>
        <v/>
      </c>
      <c r="AA435" s="65" t="str">
        <f>+IFERROR(INDEX('Restaurant Base (Hidden)'!$A$2:$Z$1048576,MATCH($C435,'Restaurant Base (Hidden)'!$C$2:$C$1048576,0),MATCH(AA$6,'Restaurant Base (Hidden)'!$A$1:$Z$1,0)),"")</f>
        <v/>
      </c>
      <c r="AB435" s="1" t="str">
        <f>+IFERROR(INDEX('Restaurant Base (Hidden)'!$A$2:$Z$1048576,MATCH($C435,'Restaurant Base (Hidden)'!$C$2:$C$1048576,0),MATCH(AB$6,'Restaurant Base (Hidden)'!$A$1:$Z$1,0)),"")</f>
        <v/>
      </c>
      <c r="AC435" s="20" t="str">
        <f>+IFERROR(INDEX('Restaurant Base (Hidden)'!$A$2:$Z$1048576,MATCH($C435,'Restaurant Base (Hidden)'!$C$2:$C$1048576,0),MATCH(AC$6,'Restaurant Base (Hidden)'!$A$1:$Z$1,0)),"")</f>
        <v/>
      </c>
      <c r="AD435" s="65" t="str">
        <f>+IFERROR(INDEX('Restaurant Base (Hidden)'!$A$2:$Z$1048576,MATCH($C435,'Restaurant Base (Hidden)'!$C$2:$C$1048576,0),MATCH(AD$6,'Restaurant Base (Hidden)'!$A$1:$Z$1,0)),"")</f>
        <v/>
      </c>
      <c r="AE435" s="1" t="str">
        <f>+IFERROR(INDEX('Restaurant Base (Hidden)'!$A$2:$Z$1048576,MATCH($C435,'Restaurant Base (Hidden)'!$C$2:$C$1048576,0),MATCH(AE$6,'Restaurant Base (Hidden)'!$A$1:$Z$1,0)),"")</f>
        <v/>
      </c>
      <c r="AF435" s="65" t="str">
        <f>+IFERROR(INDEX('Restaurant Base (Hidden)'!$A$2:$Z$1048576,MATCH($C435,'Restaurant Base (Hidden)'!$C$2:$C$1048576,0),MATCH(AF$6,'Restaurant Base (Hidden)'!$A$1:$Z$1,0)),"")</f>
        <v/>
      </c>
      <c r="AG435" s="1" t="str">
        <f>+IFERROR(INDEX('Restaurant Base (Hidden)'!$A$2:$Z$1048576,MATCH($C435,'Restaurant Base (Hidden)'!$C$2:$C$1048576,0),MATCH(AG$6,'Restaurant Base (Hidden)'!$A$1:$Z$1,0)),"")</f>
        <v/>
      </c>
    </row>
    <row r="436" spans="1:33" ht="16" customHeight="1" x14ac:dyDescent="0.4">
      <c r="A436" s="163" t="str">
        <f>IF('Restaurant Base (Hidden)'!A431=0,"", 'Restaurant Base (Hidden)'!A431)</f>
        <v/>
      </c>
      <c r="B436" s="163" t="str">
        <f>IF('Restaurant Base (Hidden)'!B431=0,"", 'Restaurant Base (Hidden)'!B431)</f>
        <v/>
      </c>
      <c r="C436" s="163" t="str">
        <f>IF('Restaurant Base (Hidden)'!C431=0,"", 'Restaurant Base (Hidden)'!C431)</f>
        <v/>
      </c>
      <c r="D436" s="104" t="str">
        <f t="shared" si="6"/>
        <v/>
      </c>
      <c r="E436" s="105" t="str">
        <f>+IFERROR(INDEX('Restaurant Base (Hidden)'!$A$2:$Z$1048576,MATCH($C436,'Restaurant Base (Hidden)'!$C$2:$C$1048576,0),MATCH(E$6,'Restaurant Base (Hidden)'!$A$1:$Z$1,0)),"")</f>
        <v/>
      </c>
      <c r="F436" s="2" t="str">
        <f>+IFERROR(INDEX('Restaurant Base (Hidden)'!$A$2:$Z$1048576,MATCH($C436,'Restaurant Base (Hidden)'!$C$2:$C$1048576,0),MATCH(F$6,'Restaurant Base (Hidden)'!$A$1:$Z$1,0)),"")</f>
        <v/>
      </c>
      <c r="G436" s="20" t="str">
        <f>+IFERROR(INDEX('Restaurant Base (Hidden)'!$A$2:$Z$1048576,MATCH($C436,'Restaurant Base (Hidden)'!$C$2:$C$1048576,0),MATCH(G$6,'Restaurant Base (Hidden)'!$A$1:$Z$1,0)),"")</f>
        <v/>
      </c>
      <c r="H436" s="50" t="str">
        <f>+IFERROR(INDEX('Restaurant Base (Hidden)'!$A$2:$Z$1048576,MATCH($C436,'Restaurant Base (Hidden)'!$C$2:$C$1048576,0),MATCH(H$6,'Restaurant Base (Hidden)'!$A$1:$Z$1,0)),"")</f>
        <v/>
      </c>
      <c r="I436" s="20" t="str">
        <f>+IFERROR(INDEX('Restaurant Base (Hidden)'!$A$2:$Z$1048576,MATCH($C436,'Restaurant Base (Hidden)'!$C$2:$C$1048576,0),MATCH(I$6,'Restaurant Base (Hidden)'!$A$1:$Z$1,0)),"")</f>
        <v/>
      </c>
      <c r="J436" s="49" t="str">
        <f>+IFERROR(INDEX('Restaurant Base (Hidden)'!$A$2:$Z$1048576,MATCH($C436,'Restaurant Base (Hidden)'!$C$2:$C$1048576,0),MATCH(J$6,'Restaurant Base (Hidden)'!$A$1:$Z$1,0)),"")</f>
        <v/>
      </c>
      <c r="K436" s="20" t="str">
        <f>+IFERROR(INDEX('Restaurant Base (Hidden)'!$A$2:$Z$1048576,MATCH($C436,'Restaurant Base (Hidden)'!$C$2:$C$1048576,0),MATCH(K$6,'Restaurant Base (Hidden)'!$A$1:$Z$1,0)),"")</f>
        <v/>
      </c>
      <c r="L436" s="51" t="str">
        <f>+IFERROR(INDEX('Restaurant Base (Hidden)'!$A$2:$Z$1048576,MATCH($C436,'Restaurant Base (Hidden)'!$C$2:$C$1048576,0),MATCH(L$6,'Restaurant Base (Hidden)'!$A$1:$Z$1,0)),"")</f>
        <v/>
      </c>
      <c r="M436" s="2" t="str">
        <f>+IFERROR(INDEX('Restaurant Base (Hidden)'!$A$2:$Z$1048576,MATCH($C436,'Restaurant Base (Hidden)'!$C$2:$C$1048576,0),MATCH(M$6,'Restaurant Base (Hidden)'!$A$1:$Z$1,0)),"")</f>
        <v/>
      </c>
      <c r="N436" s="234" t="str">
        <f>+IFERROR(INDEX('Restaurant Base (Hidden)'!$A$2:$Z$1048576,MATCH($C436,'Restaurant Base (Hidden)'!$C$2:$C$1048576,0),MATCH(N$6,'Restaurant Base (Hidden)'!$A$1:$Z$1,0)),"")</f>
        <v/>
      </c>
      <c r="O436" s="1" t="str">
        <f>+IFERROR(INDEX('Restaurant Base (Hidden)'!$A$2:$Z$1048576,MATCH($C436,'Restaurant Base (Hidden)'!$C$2:$C$1048576,0),MATCH(O$6,'Restaurant Base (Hidden)'!$A$1:$Z$1,0)),"")</f>
        <v/>
      </c>
      <c r="P436" s="2" t="str">
        <f>+IFERROR(INDEX('Restaurant Base (Hidden)'!$A$2:$Z$1048576,MATCH($C436,'Restaurant Base (Hidden)'!$C$2:$C$1048576,0),MATCH(P$6,'Restaurant Base (Hidden)'!$A$1:$Z$1,0)),"")</f>
        <v/>
      </c>
      <c r="Q436" s="234" t="str">
        <f>+IFERROR(INDEX('Restaurant Base (Hidden)'!$A$2:$Z$1048576,MATCH($C436,'Restaurant Base (Hidden)'!$C$2:$C$1048576,0),MATCH(Q$6,'Restaurant Base (Hidden)'!$A$1:$Z$1,0)),"")</f>
        <v/>
      </c>
      <c r="R436" s="1" t="str">
        <f>+IFERROR(INDEX('Restaurant Base (Hidden)'!$A$2:$Z$1048576,MATCH($C436,'Restaurant Base (Hidden)'!$C$2:$C$1048576,0),MATCH(R$6,'Restaurant Base (Hidden)'!$A$1:$Z$1,0)),"")</f>
        <v/>
      </c>
      <c r="S436" s="2" t="str">
        <f>+IFERROR(INDEX('Restaurant Base (Hidden)'!$A$2:$Z$1048576,MATCH($C436,'Restaurant Base (Hidden)'!$C$2:$C$1048576,0),MATCH(S$6,'Restaurant Base (Hidden)'!$A$1:$Z$1,0)),"")</f>
        <v/>
      </c>
      <c r="T436" s="62" t="str">
        <f>+IFERROR(INDEX('Restaurant Base (Hidden)'!$A$2:$Z$1048576,MATCH($C436,'Restaurant Base (Hidden)'!$C$2:$C$1048576,0),MATCH(T$6,'Restaurant Base (Hidden)'!$A$1:$Z$1,0)),"")</f>
        <v/>
      </c>
      <c r="U436" s="1" t="str">
        <f>+IFERROR(INDEX('Restaurant Base (Hidden)'!$A$2:$Z$1048576,MATCH($C436,'Restaurant Base (Hidden)'!$C$2:$C$1048576,0),MATCH(U$6,'Restaurant Base (Hidden)'!$A$1:$Z$1,0)),"")</f>
        <v/>
      </c>
      <c r="V436" s="2" t="str">
        <f>+IFERROR(INDEX('Restaurant Base (Hidden)'!$A$2:$Z$1048576,MATCH($C436,'Restaurant Base (Hidden)'!$C$2:$C$1048576,0),MATCH(V$6,'Restaurant Base (Hidden)'!$A$1:$Z$1,0)),"")</f>
        <v/>
      </c>
      <c r="W436" s="65" t="str">
        <f>+IFERROR(INDEX('Restaurant Base (Hidden)'!$A$2:$Z$1048576,MATCH($C436,'Restaurant Base (Hidden)'!$C$2:$C$1048576,0),MATCH(W$6,'Restaurant Base (Hidden)'!$A$1:$Z$1,0)),"")</f>
        <v/>
      </c>
      <c r="X436" s="1" t="str">
        <f>+IFERROR(INDEX('Restaurant Base (Hidden)'!$A$2:$Z$1048576,MATCH($C436,'Restaurant Base (Hidden)'!$C$2:$C$1048576,0),MATCH(X$6,'Restaurant Base (Hidden)'!$A$1:$Z$1,0)),"")</f>
        <v/>
      </c>
      <c r="Y436" s="65" t="str">
        <f>+IFERROR(INDEX('Restaurant Base (Hidden)'!$A$2:$Z$1048576,MATCH($C436,'Restaurant Base (Hidden)'!$C$2:$C$1048576,0),MATCH(Y$6,'Restaurant Base (Hidden)'!$A$1:$Z$1,0)),"")</f>
        <v/>
      </c>
      <c r="Z436" s="106" t="str">
        <f>+IFERROR(INDEX('Restaurant Base (Hidden)'!$A$2:$Z$1048576,MATCH($C436,'Restaurant Base (Hidden)'!$C$2:$C$1048576,0),MATCH(Z$6,'Restaurant Base (Hidden)'!$A$1:$Z$1,0)),"")</f>
        <v/>
      </c>
      <c r="AA436" s="65" t="str">
        <f>+IFERROR(INDEX('Restaurant Base (Hidden)'!$A$2:$Z$1048576,MATCH($C436,'Restaurant Base (Hidden)'!$C$2:$C$1048576,0),MATCH(AA$6,'Restaurant Base (Hidden)'!$A$1:$Z$1,0)),"")</f>
        <v/>
      </c>
      <c r="AB436" s="1" t="str">
        <f>+IFERROR(INDEX('Restaurant Base (Hidden)'!$A$2:$Z$1048576,MATCH($C436,'Restaurant Base (Hidden)'!$C$2:$C$1048576,0),MATCH(AB$6,'Restaurant Base (Hidden)'!$A$1:$Z$1,0)),"")</f>
        <v/>
      </c>
      <c r="AC436" s="20" t="str">
        <f>+IFERROR(INDEX('Restaurant Base (Hidden)'!$A$2:$Z$1048576,MATCH($C436,'Restaurant Base (Hidden)'!$C$2:$C$1048576,0),MATCH(AC$6,'Restaurant Base (Hidden)'!$A$1:$Z$1,0)),"")</f>
        <v/>
      </c>
      <c r="AD436" s="65" t="str">
        <f>+IFERROR(INDEX('Restaurant Base (Hidden)'!$A$2:$Z$1048576,MATCH($C436,'Restaurant Base (Hidden)'!$C$2:$C$1048576,0),MATCH(AD$6,'Restaurant Base (Hidden)'!$A$1:$Z$1,0)),"")</f>
        <v/>
      </c>
      <c r="AE436" s="1" t="str">
        <f>+IFERROR(INDEX('Restaurant Base (Hidden)'!$A$2:$Z$1048576,MATCH($C436,'Restaurant Base (Hidden)'!$C$2:$C$1048576,0),MATCH(AE$6,'Restaurant Base (Hidden)'!$A$1:$Z$1,0)),"")</f>
        <v/>
      </c>
      <c r="AF436" s="65" t="str">
        <f>+IFERROR(INDEX('Restaurant Base (Hidden)'!$A$2:$Z$1048576,MATCH($C436,'Restaurant Base (Hidden)'!$C$2:$C$1048576,0),MATCH(AF$6,'Restaurant Base (Hidden)'!$A$1:$Z$1,0)),"")</f>
        <v/>
      </c>
      <c r="AG436" s="1" t="str">
        <f>+IFERROR(INDEX('Restaurant Base (Hidden)'!$A$2:$Z$1048576,MATCH($C436,'Restaurant Base (Hidden)'!$C$2:$C$1048576,0),MATCH(AG$6,'Restaurant Base (Hidden)'!$A$1:$Z$1,0)),"")</f>
        <v/>
      </c>
    </row>
    <row r="437" spans="1:33" ht="16" customHeight="1" x14ac:dyDescent="0.4">
      <c r="A437" s="163" t="str">
        <f>IF('Restaurant Base (Hidden)'!A432=0,"", 'Restaurant Base (Hidden)'!A432)</f>
        <v/>
      </c>
      <c r="B437" s="163" t="str">
        <f>IF('Restaurant Base (Hidden)'!B432=0,"", 'Restaurant Base (Hidden)'!B432)</f>
        <v/>
      </c>
      <c r="C437" s="163" t="str">
        <f>IF('Restaurant Base (Hidden)'!C432=0,"", 'Restaurant Base (Hidden)'!C432)</f>
        <v/>
      </c>
      <c r="D437" s="104" t="str">
        <f t="shared" si="6"/>
        <v/>
      </c>
      <c r="E437" s="105" t="str">
        <f>+IFERROR(INDEX('Restaurant Base (Hidden)'!$A$2:$Z$1048576,MATCH($C437,'Restaurant Base (Hidden)'!$C$2:$C$1048576,0),MATCH(E$6,'Restaurant Base (Hidden)'!$A$1:$Z$1,0)),"")</f>
        <v/>
      </c>
      <c r="F437" s="2" t="str">
        <f>+IFERROR(INDEX('Restaurant Base (Hidden)'!$A$2:$Z$1048576,MATCH($C437,'Restaurant Base (Hidden)'!$C$2:$C$1048576,0),MATCH(F$6,'Restaurant Base (Hidden)'!$A$1:$Z$1,0)),"")</f>
        <v/>
      </c>
      <c r="G437" s="20" t="str">
        <f>+IFERROR(INDEX('Restaurant Base (Hidden)'!$A$2:$Z$1048576,MATCH($C437,'Restaurant Base (Hidden)'!$C$2:$C$1048576,0),MATCH(G$6,'Restaurant Base (Hidden)'!$A$1:$Z$1,0)),"")</f>
        <v/>
      </c>
      <c r="H437" s="50" t="str">
        <f>+IFERROR(INDEX('Restaurant Base (Hidden)'!$A$2:$Z$1048576,MATCH($C437,'Restaurant Base (Hidden)'!$C$2:$C$1048576,0),MATCH(H$6,'Restaurant Base (Hidden)'!$A$1:$Z$1,0)),"")</f>
        <v/>
      </c>
      <c r="I437" s="20" t="str">
        <f>+IFERROR(INDEX('Restaurant Base (Hidden)'!$A$2:$Z$1048576,MATCH($C437,'Restaurant Base (Hidden)'!$C$2:$C$1048576,0),MATCH(I$6,'Restaurant Base (Hidden)'!$A$1:$Z$1,0)),"")</f>
        <v/>
      </c>
      <c r="J437" s="49" t="str">
        <f>+IFERROR(INDEX('Restaurant Base (Hidden)'!$A$2:$Z$1048576,MATCH($C437,'Restaurant Base (Hidden)'!$C$2:$C$1048576,0),MATCH(J$6,'Restaurant Base (Hidden)'!$A$1:$Z$1,0)),"")</f>
        <v/>
      </c>
      <c r="K437" s="20" t="str">
        <f>+IFERROR(INDEX('Restaurant Base (Hidden)'!$A$2:$Z$1048576,MATCH($C437,'Restaurant Base (Hidden)'!$C$2:$C$1048576,0),MATCH(K$6,'Restaurant Base (Hidden)'!$A$1:$Z$1,0)),"")</f>
        <v/>
      </c>
      <c r="L437" s="51" t="str">
        <f>+IFERROR(INDEX('Restaurant Base (Hidden)'!$A$2:$Z$1048576,MATCH($C437,'Restaurant Base (Hidden)'!$C$2:$C$1048576,0),MATCH(L$6,'Restaurant Base (Hidden)'!$A$1:$Z$1,0)),"")</f>
        <v/>
      </c>
      <c r="M437" s="2" t="str">
        <f>+IFERROR(INDEX('Restaurant Base (Hidden)'!$A$2:$Z$1048576,MATCH($C437,'Restaurant Base (Hidden)'!$C$2:$C$1048576,0),MATCH(M$6,'Restaurant Base (Hidden)'!$A$1:$Z$1,0)),"")</f>
        <v/>
      </c>
      <c r="N437" s="234" t="str">
        <f>+IFERROR(INDEX('Restaurant Base (Hidden)'!$A$2:$Z$1048576,MATCH($C437,'Restaurant Base (Hidden)'!$C$2:$C$1048576,0),MATCH(N$6,'Restaurant Base (Hidden)'!$A$1:$Z$1,0)),"")</f>
        <v/>
      </c>
      <c r="O437" s="1" t="str">
        <f>+IFERROR(INDEX('Restaurant Base (Hidden)'!$A$2:$Z$1048576,MATCH($C437,'Restaurant Base (Hidden)'!$C$2:$C$1048576,0),MATCH(O$6,'Restaurant Base (Hidden)'!$A$1:$Z$1,0)),"")</f>
        <v/>
      </c>
      <c r="P437" s="2" t="str">
        <f>+IFERROR(INDEX('Restaurant Base (Hidden)'!$A$2:$Z$1048576,MATCH($C437,'Restaurant Base (Hidden)'!$C$2:$C$1048576,0),MATCH(P$6,'Restaurant Base (Hidden)'!$A$1:$Z$1,0)),"")</f>
        <v/>
      </c>
      <c r="Q437" s="234" t="str">
        <f>+IFERROR(INDEX('Restaurant Base (Hidden)'!$A$2:$Z$1048576,MATCH($C437,'Restaurant Base (Hidden)'!$C$2:$C$1048576,0),MATCH(Q$6,'Restaurant Base (Hidden)'!$A$1:$Z$1,0)),"")</f>
        <v/>
      </c>
      <c r="R437" s="1" t="str">
        <f>+IFERROR(INDEX('Restaurant Base (Hidden)'!$A$2:$Z$1048576,MATCH($C437,'Restaurant Base (Hidden)'!$C$2:$C$1048576,0),MATCH(R$6,'Restaurant Base (Hidden)'!$A$1:$Z$1,0)),"")</f>
        <v/>
      </c>
      <c r="S437" s="2" t="str">
        <f>+IFERROR(INDEX('Restaurant Base (Hidden)'!$A$2:$Z$1048576,MATCH($C437,'Restaurant Base (Hidden)'!$C$2:$C$1048576,0),MATCH(S$6,'Restaurant Base (Hidden)'!$A$1:$Z$1,0)),"")</f>
        <v/>
      </c>
      <c r="T437" s="62" t="str">
        <f>+IFERROR(INDEX('Restaurant Base (Hidden)'!$A$2:$Z$1048576,MATCH($C437,'Restaurant Base (Hidden)'!$C$2:$C$1048576,0),MATCH(T$6,'Restaurant Base (Hidden)'!$A$1:$Z$1,0)),"")</f>
        <v/>
      </c>
      <c r="U437" s="1" t="str">
        <f>+IFERROR(INDEX('Restaurant Base (Hidden)'!$A$2:$Z$1048576,MATCH($C437,'Restaurant Base (Hidden)'!$C$2:$C$1048576,0),MATCH(U$6,'Restaurant Base (Hidden)'!$A$1:$Z$1,0)),"")</f>
        <v/>
      </c>
      <c r="V437" s="2" t="str">
        <f>+IFERROR(INDEX('Restaurant Base (Hidden)'!$A$2:$Z$1048576,MATCH($C437,'Restaurant Base (Hidden)'!$C$2:$C$1048576,0),MATCH(V$6,'Restaurant Base (Hidden)'!$A$1:$Z$1,0)),"")</f>
        <v/>
      </c>
      <c r="W437" s="65" t="str">
        <f>+IFERROR(INDEX('Restaurant Base (Hidden)'!$A$2:$Z$1048576,MATCH($C437,'Restaurant Base (Hidden)'!$C$2:$C$1048576,0),MATCH(W$6,'Restaurant Base (Hidden)'!$A$1:$Z$1,0)),"")</f>
        <v/>
      </c>
      <c r="X437" s="1" t="str">
        <f>+IFERROR(INDEX('Restaurant Base (Hidden)'!$A$2:$Z$1048576,MATCH($C437,'Restaurant Base (Hidden)'!$C$2:$C$1048576,0),MATCH(X$6,'Restaurant Base (Hidden)'!$A$1:$Z$1,0)),"")</f>
        <v/>
      </c>
      <c r="Y437" s="65" t="str">
        <f>+IFERROR(INDEX('Restaurant Base (Hidden)'!$A$2:$Z$1048576,MATCH($C437,'Restaurant Base (Hidden)'!$C$2:$C$1048576,0),MATCH(Y$6,'Restaurant Base (Hidden)'!$A$1:$Z$1,0)),"")</f>
        <v/>
      </c>
      <c r="Z437" s="106" t="str">
        <f>+IFERROR(INDEX('Restaurant Base (Hidden)'!$A$2:$Z$1048576,MATCH($C437,'Restaurant Base (Hidden)'!$C$2:$C$1048576,0),MATCH(Z$6,'Restaurant Base (Hidden)'!$A$1:$Z$1,0)),"")</f>
        <v/>
      </c>
      <c r="AA437" s="65" t="str">
        <f>+IFERROR(INDEX('Restaurant Base (Hidden)'!$A$2:$Z$1048576,MATCH($C437,'Restaurant Base (Hidden)'!$C$2:$C$1048576,0),MATCH(AA$6,'Restaurant Base (Hidden)'!$A$1:$Z$1,0)),"")</f>
        <v/>
      </c>
      <c r="AB437" s="1" t="str">
        <f>+IFERROR(INDEX('Restaurant Base (Hidden)'!$A$2:$Z$1048576,MATCH($C437,'Restaurant Base (Hidden)'!$C$2:$C$1048576,0),MATCH(AB$6,'Restaurant Base (Hidden)'!$A$1:$Z$1,0)),"")</f>
        <v/>
      </c>
      <c r="AC437" s="20" t="str">
        <f>+IFERROR(INDEX('Restaurant Base (Hidden)'!$A$2:$Z$1048576,MATCH($C437,'Restaurant Base (Hidden)'!$C$2:$C$1048576,0),MATCH(AC$6,'Restaurant Base (Hidden)'!$A$1:$Z$1,0)),"")</f>
        <v/>
      </c>
      <c r="AD437" s="65" t="str">
        <f>+IFERROR(INDEX('Restaurant Base (Hidden)'!$A$2:$Z$1048576,MATCH($C437,'Restaurant Base (Hidden)'!$C$2:$C$1048576,0),MATCH(AD$6,'Restaurant Base (Hidden)'!$A$1:$Z$1,0)),"")</f>
        <v/>
      </c>
      <c r="AE437" s="1" t="str">
        <f>+IFERROR(INDEX('Restaurant Base (Hidden)'!$A$2:$Z$1048576,MATCH($C437,'Restaurant Base (Hidden)'!$C$2:$C$1048576,0),MATCH(AE$6,'Restaurant Base (Hidden)'!$A$1:$Z$1,0)),"")</f>
        <v/>
      </c>
      <c r="AF437" s="65" t="str">
        <f>+IFERROR(INDEX('Restaurant Base (Hidden)'!$A$2:$Z$1048576,MATCH($C437,'Restaurant Base (Hidden)'!$C$2:$C$1048576,0),MATCH(AF$6,'Restaurant Base (Hidden)'!$A$1:$Z$1,0)),"")</f>
        <v/>
      </c>
      <c r="AG437" s="1" t="str">
        <f>+IFERROR(INDEX('Restaurant Base (Hidden)'!$A$2:$Z$1048576,MATCH($C437,'Restaurant Base (Hidden)'!$C$2:$C$1048576,0),MATCH(AG$6,'Restaurant Base (Hidden)'!$A$1:$Z$1,0)),"")</f>
        <v/>
      </c>
    </row>
    <row r="438" spans="1:33" ht="16" customHeight="1" x14ac:dyDescent="0.4">
      <c r="A438" s="163" t="str">
        <f>IF('Restaurant Base (Hidden)'!A433=0,"", 'Restaurant Base (Hidden)'!A433)</f>
        <v/>
      </c>
      <c r="B438" s="163" t="str">
        <f>IF('Restaurant Base (Hidden)'!B433=0,"", 'Restaurant Base (Hidden)'!B433)</f>
        <v/>
      </c>
      <c r="C438" s="163" t="str">
        <f>IF('Restaurant Base (Hidden)'!C433=0,"", 'Restaurant Base (Hidden)'!C433)</f>
        <v/>
      </c>
      <c r="D438" s="104" t="str">
        <f t="shared" si="6"/>
        <v/>
      </c>
      <c r="E438" s="105" t="str">
        <f>+IFERROR(INDEX('Restaurant Base (Hidden)'!$A$2:$Z$1048576,MATCH($C438,'Restaurant Base (Hidden)'!$C$2:$C$1048576,0),MATCH(E$6,'Restaurant Base (Hidden)'!$A$1:$Z$1,0)),"")</f>
        <v/>
      </c>
      <c r="F438" s="2" t="str">
        <f>+IFERROR(INDEX('Restaurant Base (Hidden)'!$A$2:$Z$1048576,MATCH($C438,'Restaurant Base (Hidden)'!$C$2:$C$1048576,0),MATCH(F$6,'Restaurant Base (Hidden)'!$A$1:$Z$1,0)),"")</f>
        <v/>
      </c>
      <c r="G438" s="20" t="str">
        <f>+IFERROR(INDEX('Restaurant Base (Hidden)'!$A$2:$Z$1048576,MATCH($C438,'Restaurant Base (Hidden)'!$C$2:$C$1048576,0),MATCH(G$6,'Restaurant Base (Hidden)'!$A$1:$Z$1,0)),"")</f>
        <v/>
      </c>
      <c r="H438" s="50" t="str">
        <f>+IFERROR(INDEX('Restaurant Base (Hidden)'!$A$2:$Z$1048576,MATCH($C438,'Restaurant Base (Hidden)'!$C$2:$C$1048576,0),MATCH(H$6,'Restaurant Base (Hidden)'!$A$1:$Z$1,0)),"")</f>
        <v/>
      </c>
      <c r="I438" s="20" t="str">
        <f>+IFERROR(INDEX('Restaurant Base (Hidden)'!$A$2:$Z$1048576,MATCH($C438,'Restaurant Base (Hidden)'!$C$2:$C$1048576,0),MATCH(I$6,'Restaurant Base (Hidden)'!$A$1:$Z$1,0)),"")</f>
        <v/>
      </c>
      <c r="J438" s="49" t="str">
        <f>+IFERROR(INDEX('Restaurant Base (Hidden)'!$A$2:$Z$1048576,MATCH($C438,'Restaurant Base (Hidden)'!$C$2:$C$1048576,0),MATCH(J$6,'Restaurant Base (Hidden)'!$A$1:$Z$1,0)),"")</f>
        <v/>
      </c>
      <c r="K438" s="20" t="str">
        <f>+IFERROR(INDEX('Restaurant Base (Hidden)'!$A$2:$Z$1048576,MATCH($C438,'Restaurant Base (Hidden)'!$C$2:$C$1048576,0),MATCH(K$6,'Restaurant Base (Hidden)'!$A$1:$Z$1,0)),"")</f>
        <v/>
      </c>
      <c r="L438" s="51" t="str">
        <f>+IFERROR(INDEX('Restaurant Base (Hidden)'!$A$2:$Z$1048576,MATCH($C438,'Restaurant Base (Hidden)'!$C$2:$C$1048576,0),MATCH(L$6,'Restaurant Base (Hidden)'!$A$1:$Z$1,0)),"")</f>
        <v/>
      </c>
      <c r="M438" s="2" t="str">
        <f>+IFERROR(INDEX('Restaurant Base (Hidden)'!$A$2:$Z$1048576,MATCH($C438,'Restaurant Base (Hidden)'!$C$2:$C$1048576,0),MATCH(M$6,'Restaurant Base (Hidden)'!$A$1:$Z$1,0)),"")</f>
        <v/>
      </c>
      <c r="N438" s="234" t="str">
        <f>+IFERROR(INDEX('Restaurant Base (Hidden)'!$A$2:$Z$1048576,MATCH($C438,'Restaurant Base (Hidden)'!$C$2:$C$1048576,0),MATCH(N$6,'Restaurant Base (Hidden)'!$A$1:$Z$1,0)),"")</f>
        <v/>
      </c>
      <c r="O438" s="1" t="str">
        <f>+IFERROR(INDEX('Restaurant Base (Hidden)'!$A$2:$Z$1048576,MATCH($C438,'Restaurant Base (Hidden)'!$C$2:$C$1048576,0),MATCH(O$6,'Restaurant Base (Hidden)'!$A$1:$Z$1,0)),"")</f>
        <v/>
      </c>
      <c r="P438" s="2" t="str">
        <f>+IFERROR(INDEX('Restaurant Base (Hidden)'!$A$2:$Z$1048576,MATCH($C438,'Restaurant Base (Hidden)'!$C$2:$C$1048576,0),MATCH(P$6,'Restaurant Base (Hidden)'!$A$1:$Z$1,0)),"")</f>
        <v/>
      </c>
      <c r="Q438" s="234" t="str">
        <f>+IFERROR(INDEX('Restaurant Base (Hidden)'!$A$2:$Z$1048576,MATCH($C438,'Restaurant Base (Hidden)'!$C$2:$C$1048576,0),MATCH(Q$6,'Restaurant Base (Hidden)'!$A$1:$Z$1,0)),"")</f>
        <v/>
      </c>
      <c r="R438" s="1" t="str">
        <f>+IFERROR(INDEX('Restaurant Base (Hidden)'!$A$2:$Z$1048576,MATCH($C438,'Restaurant Base (Hidden)'!$C$2:$C$1048576,0),MATCH(R$6,'Restaurant Base (Hidden)'!$A$1:$Z$1,0)),"")</f>
        <v/>
      </c>
      <c r="S438" s="2" t="str">
        <f>+IFERROR(INDEX('Restaurant Base (Hidden)'!$A$2:$Z$1048576,MATCH($C438,'Restaurant Base (Hidden)'!$C$2:$C$1048576,0),MATCH(S$6,'Restaurant Base (Hidden)'!$A$1:$Z$1,0)),"")</f>
        <v/>
      </c>
      <c r="T438" s="62" t="str">
        <f>+IFERROR(INDEX('Restaurant Base (Hidden)'!$A$2:$Z$1048576,MATCH($C438,'Restaurant Base (Hidden)'!$C$2:$C$1048576,0),MATCH(T$6,'Restaurant Base (Hidden)'!$A$1:$Z$1,0)),"")</f>
        <v/>
      </c>
      <c r="U438" s="1" t="str">
        <f>+IFERROR(INDEX('Restaurant Base (Hidden)'!$A$2:$Z$1048576,MATCH($C438,'Restaurant Base (Hidden)'!$C$2:$C$1048576,0),MATCH(U$6,'Restaurant Base (Hidden)'!$A$1:$Z$1,0)),"")</f>
        <v/>
      </c>
      <c r="V438" s="2" t="str">
        <f>+IFERROR(INDEX('Restaurant Base (Hidden)'!$A$2:$Z$1048576,MATCH($C438,'Restaurant Base (Hidden)'!$C$2:$C$1048576,0),MATCH(V$6,'Restaurant Base (Hidden)'!$A$1:$Z$1,0)),"")</f>
        <v/>
      </c>
      <c r="W438" s="65" t="str">
        <f>+IFERROR(INDEX('Restaurant Base (Hidden)'!$A$2:$Z$1048576,MATCH($C438,'Restaurant Base (Hidden)'!$C$2:$C$1048576,0),MATCH(W$6,'Restaurant Base (Hidden)'!$A$1:$Z$1,0)),"")</f>
        <v/>
      </c>
      <c r="X438" s="1" t="str">
        <f>+IFERROR(INDEX('Restaurant Base (Hidden)'!$A$2:$Z$1048576,MATCH($C438,'Restaurant Base (Hidden)'!$C$2:$C$1048576,0),MATCH(X$6,'Restaurant Base (Hidden)'!$A$1:$Z$1,0)),"")</f>
        <v/>
      </c>
      <c r="Y438" s="65" t="str">
        <f>+IFERROR(INDEX('Restaurant Base (Hidden)'!$A$2:$Z$1048576,MATCH($C438,'Restaurant Base (Hidden)'!$C$2:$C$1048576,0),MATCH(Y$6,'Restaurant Base (Hidden)'!$A$1:$Z$1,0)),"")</f>
        <v/>
      </c>
      <c r="Z438" s="106" t="str">
        <f>+IFERROR(INDEX('Restaurant Base (Hidden)'!$A$2:$Z$1048576,MATCH($C438,'Restaurant Base (Hidden)'!$C$2:$C$1048576,0),MATCH(Z$6,'Restaurant Base (Hidden)'!$A$1:$Z$1,0)),"")</f>
        <v/>
      </c>
      <c r="AA438" s="65" t="str">
        <f>+IFERROR(INDEX('Restaurant Base (Hidden)'!$A$2:$Z$1048576,MATCH($C438,'Restaurant Base (Hidden)'!$C$2:$C$1048576,0),MATCH(AA$6,'Restaurant Base (Hidden)'!$A$1:$Z$1,0)),"")</f>
        <v/>
      </c>
      <c r="AB438" s="1" t="str">
        <f>+IFERROR(INDEX('Restaurant Base (Hidden)'!$A$2:$Z$1048576,MATCH($C438,'Restaurant Base (Hidden)'!$C$2:$C$1048576,0),MATCH(AB$6,'Restaurant Base (Hidden)'!$A$1:$Z$1,0)),"")</f>
        <v/>
      </c>
      <c r="AC438" s="20" t="str">
        <f>+IFERROR(INDEX('Restaurant Base (Hidden)'!$A$2:$Z$1048576,MATCH($C438,'Restaurant Base (Hidden)'!$C$2:$C$1048576,0),MATCH(AC$6,'Restaurant Base (Hidden)'!$A$1:$Z$1,0)),"")</f>
        <v/>
      </c>
      <c r="AD438" s="65" t="str">
        <f>+IFERROR(INDEX('Restaurant Base (Hidden)'!$A$2:$Z$1048576,MATCH($C438,'Restaurant Base (Hidden)'!$C$2:$C$1048576,0),MATCH(AD$6,'Restaurant Base (Hidden)'!$A$1:$Z$1,0)),"")</f>
        <v/>
      </c>
      <c r="AE438" s="1" t="str">
        <f>+IFERROR(INDEX('Restaurant Base (Hidden)'!$A$2:$Z$1048576,MATCH($C438,'Restaurant Base (Hidden)'!$C$2:$C$1048576,0),MATCH(AE$6,'Restaurant Base (Hidden)'!$A$1:$Z$1,0)),"")</f>
        <v/>
      </c>
      <c r="AF438" s="65" t="str">
        <f>+IFERROR(INDEX('Restaurant Base (Hidden)'!$A$2:$Z$1048576,MATCH($C438,'Restaurant Base (Hidden)'!$C$2:$C$1048576,0),MATCH(AF$6,'Restaurant Base (Hidden)'!$A$1:$Z$1,0)),"")</f>
        <v/>
      </c>
      <c r="AG438" s="1" t="str">
        <f>+IFERROR(INDEX('Restaurant Base (Hidden)'!$A$2:$Z$1048576,MATCH($C438,'Restaurant Base (Hidden)'!$C$2:$C$1048576,0),MATCH(AG$6,'Restaurant Base (Hidden)'!$A$1:$Z$1,0)),"")</f>
        <v/>
      </c>
    </row>
    <row r="439" spans="1:33" ht="16" customHeight="1" x14ac:dyDescent="0.4">
      <c r="A439" s="163" t="str">
        <f>IF('Restaurant Base (Hidden)'!A434=0,"", 'Restaurant Base (Hidden)'!A434)</f>
        <v/>
      </c>
      <c r="B439" s="163" t="str">
        <f>IF('Restaurant Base (Hidden)'!B434=0,"", 'Restaurant Base (Hidden)'!B434)</f>
        <v/>
      </c>
      <c r="C439" s="163" t="str">
        <f>IF('Restaurant Base (Hidden)'!C434=0,"", 'Restaurant Base (Hidden)'!C434)</f>
        <v/>
      </c>
      <c r="D439" s="104" t="str">
        <f t="shared" si="6"/>
        <v/>
      </c>
      <c r="E439" s="105" t="str">
        <f>+IFERROR(INDEX('Restaurant Base (Hidden)'!$A$2:$Z$1048576,MATCH($C439,'Restaurant Base (Hidden)'!$C$2:$C$1048576,0),MATCH(E$6,'Restaurant Base (Hidden)'!$A$1:$Z$1,0)),"")</f>
        <v/>
      </c>
      <c r="F439" s="2" t="str">
        <f>+IFERROR(INDEX('Restaurant Base (Hidden)'!$A$2:$Z$1048576,MATCH($C439,'Restaurant Base (Hidden)'!$C$2:$C$1048576,0),MATCH(F$6,'Restaurant Base (Hidden)'!$A$1:$Z$1,0)),"")</f>
        <v/>
      </c>
      <c r="G439" s="20" t="str">
        <f>+IFERROR(INDEX('Restaurant Base (Hidden)'!$A$2:$Z$1048576,MATCH($C439,'Restaurant Base (Hidden)'!$C$2:$C$1048576,0),MATCH(G$6,'Restaurant Base (Hidden)'!$A$1:$Z$1,0)),"")</f>
        <v/>
      </c>
      <c r="H439" s="50" t="str">
        <f>+IFERROR(INDEX('Restaurant Base (Hidden)'!$A$2:$Z$1048576,MATCH($C439,'Restaurant Base (Hidden)'!$C$2:$C$1048576,0),MATCH(H$6,'Restaurant Base (Hidden)'!$A$1:$Z$1,0)),"")</f>
        <v/>
      </c>
      <c r="I439" s="20" t="str">
        <f>+IFERROR(INDEX('Restaurant Base (Hidden)'!$A$2:$Z$1048576,MATCH($C439,'Restaurant Base (Hidden)'!$C$2:$C$1048576,0),MATCH(I$6,'Restaurant Base (Hidden)'!$A$1:$Z$1,0)),"")</f>
        <v/>
      </c>
      <c r="J439" s="49" t="str">
        <f>+IFERROR(INDEX('Restaurant Base (Hidden)'!$A$2:$Z$1048576,MATCH($C439,'Restaurant Base (Hidden)'!$C$2:$C$1048576,0),MATCH(J$6,'Restaurant Base (Hidden)'!$A$1:$Z$1,0)),"")</f>
        <v/>
      </c>
      <c r="K439" s="20" t="str">
        <f>+IFERROR(INDEX('Restaurant Base (Hidden)'!$A$2:$Z$1048576,MATCH($C439,'Restaurant Base (Hidden)'!$C$2:$C$1048576,0),MATCH(K$6,'Restaurant Base (Hidden)'!$A$1:$Z$1,0)),"")</f>
        <v/>
      </c>
      <c r="L439" s="51" t="str">
        <f>+IFERROR(INDEX('Restaurant Base (Hidden)'!$A$2:$Z$1048576,MATCH($C439,'Restaurant Base (Hidden)'!$C$2:$C$1048576,0),MATCH(L$6,'Restaurant Base (Hidden)'!$A$1:$Z$1,0)),"")</f>
        <v/>
      </c>
      <c r="M439" s="2" t="str">
        <f>+IFERROR(INDEX('Restaurant Base (Hidden)'!$A$2:$Z$1048576,MATCH($C439,'Restaurant Base (Hidden)'!$C$2:$C$1048576,0),MATCH(M$6,'Restaurant Base (Hidden)'!$A$1:$Z$1,0)),"")</f>
        <v/>
      </c>
      <c r="N439" s="234" t="str">
        <f>+IFERROR(INDEX('Restaurant Base (Hidden)'!$A$2:$Z$1048576,MATCH($C439,'Restaurant Base (Hidden)'!$C$2:$C$1048576,0),MATCH(N$6,'Restaurant Base (Hidden)'!$A$1:$Z$1,0)),"")</f>
        <v/>
      </c>
      <c r="O439" s="1" t="str">
        <f>+IFERROR(INDEX('Restaurant Base (Hidden)'!$A$2:$Z$1048576,MATCH($C439,'Restaurant Base (Hidden)'!$C$2:$C$1048576,0),MATCH(O$6,'Restaurant Base (Hidden)'!$A$1:$Z$1,0)),"")</f>
        <v/>
      </c>
      <c r="P439" s="2" t="str">
        <f>+IFERROR(INDEX('Restaurant Base (Hidden)'!$A$2:$Z$1048576,MATCH($C439,'Restaurant Base (Hidden)'!$C$2:$C$1048576,0),MATCH(P$6,'Restaurant Base (Hidden)'!$A$1:$Z$1,0)),"")</f>
        <v/>
      </c>
      <c r="Q439" s="234" t="str">
        <f>+IFERROR(INDEX('Restaurant Base (Hidden)'!$A$2:$Z$1048576,MATCH($C439,'Restaurant Base (Hidden)'!$C$2:$C$1048576,0),MATCH(Q$6,'Restaurant Base (Hidden)'!$A$1:$Z$1,0)),"")</f>
        <v/>
      </c>
      <c r="R439" s="1" t="str">
        <f>+IFERROR(INDEX('Restaurant Base (Hidden)'!$A$2:$Z$1048576,MATCH($C439,'Restaurant Base (Hidden)'!$C$2:$C$1048576,0),MATCH(R$6,'Restaurant Base (Hidden)'!$A$1:$Z$1,0)),"")</f>
        <v/>
      </c>
      <c r="S439" s="2" t="str">
        <f>+IFERROR(INDEX('Restaurant Base (Hidden)'!$A$2:$Z$1048576,MATCH($C439,'Restaurant Base (Hidden)'!$C$2:$C$1048576,0),MATCH(S$6,'Restaurant Base (Hidden)'!$A$1:$Z$1,0)),"")</f>
        <v/>
      </c>
      <c r="T439" s="62" t="str">
        <f>+IFERROR(INDEX('Restaurant Base (Hidden)'!$A$2:$Z$1048576,MATCH($C439,'Restaurant Base (Hidden)'!$C$2:$C$1048576,0),MATCH(T$6,'Restaurant Base (Hidden)'!$A$1:$Z$1,0)),"")</f>
        <v/>
      </c>
      <c r="U439" s="1" t="str">
        <f>+IFERROR(INDEX('Restaurant Base (Hidden)'!$A$2:$Z$1048576,MATCH($C439,'Restaurant Base (Hidden)'!$C$2:$C$1048576,0),MATCH(U$6,'Restaurant Base (Hidden)'!$A$1:$Z$1,0)),"")</f>
        <v/>
      </c>
      <c r="V439" s="2" t="str">
        <f>+IFERROR(INDEX('Restaurant Base (Hidden)'!$A$2:$Z$1048576,MATCH($C439,'Restaurant Base (Hidden)'!$C$2:$C$1048576,0),MATCH(V$6,'Restaurant Base (Hidden)'!$A$1:$Z$1,0)),"")</f>
        <v/>
      </c>
      <c r="W439" s="65" t="str">
        <f>+IFERROR(INDEX('Restaurant Base (Hidden)'!$A$2:$Z$1048576,MATCH($C439,'Restaurant Base (Hidden)'!$C$2:$C$1048576,0),MATCH(W$6,'Restaurant Base (Hidden)'!$A$1:$Z$1,0)),"")</f>
        <v/>
      </c>
      <c r="X439" s="1" t="str">
        <f>+IFERROR(INDEX('Restaurant Base (Hidden)'!$A$2:$Z$1048576,MATCH($C439,'Restaurant Base (Hidden)'!$C$2:$C$1048576,0),MATCH(X$6,'Restaurant Base (Hidden)'!$A$1:$Z$1,0)),"")</f>
        <v/>
      </c>
      <c r="Y439" s="65" t="str">
        <f>+IFERROR(INDEX('Restaurant Base (Hidden)'!$A$2:$Z$1048576,MATCH($C439,'Restaurant Base (Hidden)'!$C$2:$C$1048576,0),MATCH(Y$6,'Restaurant Base (Hidden)'!$A$1:$Z$1,0)),"")</f>
        <v/>
      </c>
      <c r="Z439" s="106" t="str">
        <f>+IFERROR(INDEX('Restaurant Base (Hidden)'!$A$2:$Z$1048576,MATCH($C439,'Restaurant Base (Hidden)'!$C$2:$C$1048576,0),MATCH(Z$6,'Restaurant Base (Hidden)'!$A$1:$Z$1,0)),"")</f>
        <v/>
      </c>
      <c r="AA439" s="65" t="str">
        <f>+IFERROR(INDEX('Restaurant Base (Hidden)'!$A$2:$Z$1048576,MATCH($C439,'Restaurant Base (Hidden)'!$C$2:$C$1048576,0),MATCH(AA$6,'Restaurant Base (Hidden)'!$A$1:$Z$1,0)),"")</f>
        <v/>
      </c>
      <c r="AB439" s="1" t="str">
        <f>+IFERROR(INDEX('Restaurant Base (Hidden)'!$A$2:$Z$1048576,MATCH($C439,'Restaurant Base (Hidden)'!$C$2:$C$1048576,0),MATCH(AB$6,'Restaurant Base (Hidden)'!$A$1:$Z$1,0)),"")</f>
        <v/>
      </c>
      <c r="AC439" s="20" t="str">
        <f>+IFERROR(INDEX('Restaurant Base (Hidden)'!$A$2:$Z$1048576,MATCH($C439,'Restaurant Base (Hidden)'!$C$2:$C$1048576,0),MATCH(AC$6,'Restaurant Base (Hidden)'!$A$1:$Z$1,0)),"")</f>
        <v/>
      </c>
      <c r="AD439" s="65" t="str">
        <f>+IFERROR(INDEX('Restaurant Base (Hidden)'!$A$2:$Z$1048576,MATCH($C439,'Restaurant Base (Hidden)'!$C$2:$C$1048576,0),MATCH(AD$6,'Restaurant Base (Hidden)'!$A$1:$Z$1,0)),"")</f>
        <v/>
      </c>
      <c r="AE439" s="1" t="str">
        <f>+IFERROR(INDEX('Restaurant Base (Hidden)'!$A$2:$Z$1048576,MATCH($C439,'Restaurant Base (Hidden)'!$C$2:$C$1048576,0),MATCH(AE$6,'Restaurant Base (Hidden)'!$A$1:$Z$1,0)),"")</f>
        <v/>
      </c>
      <c r="AF439" s="65" t="str">
        <f>+IFERROR(INDEX('Restaurant Base (Hidden)'!$A$2:$Z$1048576,MATCH($C439,'Restaurant Base (Hidden)'!$C$2:$C$1048576,0),MATCH(AF$6,'Restaurant Base (Hidden)'!$A$1:$Z$1,0)),"")</f>
        <v/>
      </c>
      <c r="AG439" s="1" t="str">
        <f>+IFERROR(INDEX('Restaurant Base (Hidden)'!$A$2:$Z$1048576,MATCH($C439,'Restaurant Base (Hidden)'!$C$2:$C$1048576,0),MATCH(AG$6,'Restaurant Base (Hidden)'!$A$1:$Z$1,0)),"")</f>
        <v/>
      </c>
    </row>
    <row r="440" spans="1:33" ht="16" customHeight="1" x14ac:dyDescent="0.4">
      <c r="A440" s="163" t="str">
        <f>IF('Restaurant Base (Hidden)'!A435=0,"", 'Restaurant Base (Hidden)'!A435)</f>
        <v/>
      </c>
      <c r="B440" s="163" t="str">
        <f>IF('Restaurant Base (Hidden)'!B435=0,"", 'Restaurant Base (Hidden)'!B435)</f>
        <v/>
      </c>
      <c r="C440" s="163" t="str">
        <f>IF('Restaurant Base (Hidden)'!C435=0,"", 'Restaurant Base (Hidden)'!C435)</f>
        <v/>
      </c>
      <c r="D440" s="104" t="str">
        <f t="shared" si="6"/>
        <v/>
      </c>
      <c r="E440" s="105" t="str">
        <f>+IFERROR(INDEX('Restaurant Base (Hidden)'!$A$2:$Z$1048576,MATCH($C440,'Restaurant Base (Hidden)'!$C$2:$C$1048576,0),MATCH(E$6,'Restaurant Base (Hidden)'!$A$1:$Z$1,0)),"")</f>
        <v/>
      </c>
      <c r="F440" s="2" t="str">
        <f>+IFERROR(INDEX('Restaurant Base (Hidden)'!$A$2:$Z$1048576,MATCH($C440,'Restaurant Base (Hidden)'!$C$2:$C$1048576,0),MATCH(F$6,'Restaurant Base (Hidden)'!$A$1:$Z$1,0)),"")</f>
        <v/>
      </c>
      <c r="G440" s="20" t="str">
        <f>+IFERROR(INDEX('Restaurant Base (Hidden)'!$A$2:$Z$1048576,MATCH($C440,'Restaurant Base (Hidden)'!$C$2:$C$1048576,0),MATCH(G$6,'Restaurant Base (Hidden)'!$A$1:$Z$1,0)),"")</f>
        <v/>
      </c>
      <c r="H440" s="50" t="str">
        <f>+IFERROR(INDEX('Restaurant Base (Hidden)'!$A$2:$Z$1048576,MATCH($C440,'Restaurant Base (Hidden)'!$C$2:$C$1048576,0),MATCH(H$6,'Restaurant Base (Hidden)'!$A$1:$Z$1,0)),"")</f>
        <v/>
      </c>
      <c r="I440" s="20" t="str">
        <f>+IFERROR(INDEX('Restaurant Base (Hidden)'!$A$2:$Z$1048576,MATCH($C440,'Restaurant Base (Hidden)'!$C$2:$C$1048576,0),MATCH(I$6,'Restaurant Base (Hidden)'!$A$1:$Z$1,0)),"")</f>
        <v/>
      </c>
      <c r="J440" s="49" t="str">
        <f>+IFERROR(INDEX('Restaurant Base (Hidden)'!$A$2:$Z$1048576,MATCH($C440,'Restaurant Base (Hidden)'!$C$2:$C$1048576,0),MATCH(J$6,'Restaurant Base (Hidden)'!$A$1:$Z$1,0)),"")</f>
        <v/>
      </c>
      <c r="K440" s="20" t="str">
        <f>+IFERROR(INDEX('Restaurant Base (Hidden)'!$A$2:$Z$1048576,MATCH($C440,'Restaurant Base (Hidden)'!$C$2:$C$1048576,0),MATCH(K$6,'Restaurant Base (Hidden)'!$A$1:$Z$1,0)),"")</f>
        <v/>
      </c>
      <c r="L440" s="51" t="str">
        <f>+IFERROR(INDEX('Restaurant Base (Hidden)'!$A$2:$Z$1048576,MATCH($C440,'Restaurant Base (Hidden)'!$C$2:$C$1048576,0),MATCH(L$6,'Restaurant Base (Hidden)'!$A$1:$Z$1,0)),"")</f>
        <v/>
      </c>
      <c r="M440" s="2" t="str">
        <f>+IFERROR(INDEX('Restaurant Base (Hidden)'!$A$2:$Z$1048576,MATCH($C440,'Restaurant Base (Hidden)'!$C$2:$C$1048576,0),MATCH(M$6,'Restaurant Base (Hidden)'!$A$1:$Z$1,0)),"")</f>
        <v/>
      </c>
      <c r="N440" s="234" t="str">
        <f>+IFERROR(INDEX('Restaurant Base (Hidden)'!$A$2:$Z$1048576,MATCH($C440,'Restaurant Base (Hidden)'!$C$2:$C$1048576,0),MATCH(N$6,'Restaurant Base (Hidden)'!$A$1:$Z$1,0)),"")</f>
        <v/>
      </c>
      <c r="O440" s="1" t="str">
        <f>+IFERROR(INDEX('Restaurant Base (Hidden)'!$A$2:$Z$1048576,MATCH($C440,'Restaurant Base (Hidden)'!$C$2:$C$1048576,0),MATCH(O$6,'Restaurant Base (Hidden)'!$A$1:$Z$1,0)),"")</f>
        <v/>
      </c>
      <c r="P440" s="2" t="str">
        <f>+IFERROR(INDEX('Restaurant Base (Hidden)'!$A$2:$Z$1048576,MATCH($C440,'Restaurant Base (Hidden)'!$C$2:$C$1048576,0),MATCH(P$6,'Restaurant Base (Hidden)'!$A$1:$Z$1,0)),"")</f>
        <v/>
      </c>
      <c r="Q440" s="234" t="str">
        <f>+IFERROR(INDEX('Restaurant Base (Hidden)'!$A$2:$Z$1048576,MATCH($C440,'Restaurant Base (Hidden)'!$C$2:$C$1048576,0),MATCH(Q$6,'Restaurant Base (Hidden)'!$A$1:$Z$1,0)),"")</f>
        <v/>
      </c>
      <c r="R440" s="1" t="str">
        <f>+IFERROR(INDEX('Restaurant Base (Hidden)'!$A$2:$Z$1048576,MATCH($C440,'Restaurant Base (Hidden)'!$C$2:$C$1048576,0),MATCH(R$6,'Restaurant Base (Hidden)'!$A$1:$Z$1,0)),"")</f>
        <v/>
      </c>
      <c r="S440" s="2" t="str">
        <f>+IFERROR(INDEX('Restaurant Base (Hidden)'!$A$2:$Z$1048576,MATCH($C440,'Restaurant Base (Hidden)'!$C$2:$C$1048576,0),MATCH(S$6,'Restaurant Base (Hidden)'!$A$1:$Z$1,0)),"")</f>
        <v/>
      </c>
      <c r="T440" s="62" t="str">
        <f>+IFERROR(INDEX('Restaurant Base (Hidden)'!$A$2:$Z$1048576,MATCH($C440,'Restaurant Base (Hidden)'!$C$2:$C$1048576,0),MATCH(T$6,'Restaurant Base (Hidden)'!$A$1:$Z$1,0)),"")</f>
        <v/>
      </c>
      <c r="U440" s="1" t="str">
        <f>+IFERROR(INDEX('Restaurant Base (Hidden)'!$A$2:$Z$1048576,MATCH($C440,'Restaurant Base (Hidden)'!$C$2:$C$1048576,0),MATCH(U$6,'Restaurant Base (Hidden)'!$A$1:$Z$1,0)),"")</f>
        <v/>
      </c>
      <c r="V440" s="2" t="str">
        <f>+IFERROR(INDEX('Restaurant Base (Hidden)'!$A$2:$Z$1048576,MATCH($C440,'Restaurant Base (Hidden)'!$C$2:$C$1048576,0),MATCH(V$6,'Restaurant Base (Hidden)'!$A$1:$Z$1,0)),"")</f>
        <v/>
      </c>
      <c r="W440" s="65" t="str">
        <f>+IFERROR(INDEX('Restaurant Base (Hidden)'!$A$2:$Z$1048576,MATCH($C440,'Restaurant Base (Hidden)'!$C$2:$C$1048576,0),MATCH(W$6,'Restaurant Base (Hidden)'!$A$1:$Z$1,0)),"")</f>
        <v/>
      </c>
      <c r="X440" s="1" t="str">
        <f>+IFERROR(INDEX('Restaurant Base (Hidden)'!$A$2:$Z$1048576,MATCH($C440,'Restaurant Base (Hidden)'!$C$2:$C$1048576,0),MATCH(X$6,'Restaurant Base (Hidden)'!$A$1:$Z$1,0)),"")</f>
        <v/>
      </c>
      <c r="Y440" s="65" t="str">
        <f>+IFERROR(INDEX('Restaurant Base (Hidden)'!$A$2:$Z$1048576,MATCH($C440,'Restaurant Base (Hidden)'!$C$2:$C$1048576,0),MATCH(Y$6,'Restaurant Base (Hidden)'!$A$1:$Z$1,0)),"")</f>
        <v/>
      </c>
      <c r="Z440" s="106" t="str">
        <f>+IFERROR(INDEX('Restaurant Base (Hidden)'!$A$2:$Z$1048576,MATCH($C440,'Restaurant Base (Hidden)'!$C$2:$C$1048576,0),MATCH(Z$6,'Restaurant Base (Hidden)'!$A$1:$Z$1,0)),"")</f>
        <v/>
      </c>
      <c r="AA440" s="65" t="str">
        <f>+IFERROR(INDEX('Restaurant Base (Hidden)'!$A$2:$Z$1048576,MATCH($C440,'Restaurant Base (Hidden)'!$C$2:$C$1048576,0),MATCH(AA$6,'Restaurant Base (Hidden)'!$A$1:$Z$1,0)),"")</f>
        <v/>
      </c>
      <c r="AB440" s="1" t="str">
        <f>+IFERROR(INDEX('Restaurant Base (Hidden)'!$A$2:$Z$1048576,MATCH($C440,'Restaurant Base (Hidden)'!$C$2:$C$1048576,0),MATCH(AB$6,'Restaurant Base (Hidden)'!$A$1:$Z$1,0)),"")</f>
        <v/>
      </c>
      <c r="AC440" s="20" t="str">
        <f>+IFERROR(INDEX('Restaurant Base (Hidden)'!$A$2:$Z$1048576,MATCH($C440,'Restaurant Base (Hidden)'!$C$2:$C$1048576,0),MATCH(AC$6,'Restaurant Base (Hidden)'!$A$1:$Z$1,0)),"")</f>
        <v/>
      </c>
      <c r="AD440" s="65" t="str">
        <f>+IFERROR(INDEX('Restaurant Base (Hidden)'!$A$2:$Z$1048576,MATCH($C440,'Restaurant Base (Hidden)'!$C$2:$C$1048576,0),MATCH(AD$6,'Restaurant Base (Hidden)'!$A$1:$Z$1,0)),"")</f>
        <v/>
      </c>
      <c r="AE440" s="1" t="str">
        <f>+IFERROR(INDEX('Restaurant Base (Hidden)'!$A$2:$Z$1048576,MATCH($C440,'Restaurant Base (Hidden)'!$C$2:$C$1048576,0),MATCH(AE$6,'Restaurant Base (Hidden)'!$A$1:$Z$1,0)),"")</f>
        <v/>
      </c>
      <c r="AF440" s="65" t="str">
        <f>+IFERROR(INDEX('Restaurant Base (Hidden)'!$A$2:$Z$1048576,MATCH($C440,'Restaurant Base (Hidden)'!$C$2:$C$1048576,0),MATCH(AF$6,'Restaurant Base (Hidden)'!$A$1:$Z$1,0)),"")</f>
        <v/>
      </c>
      <c r="AG440" s="1" t="str">
        <f>+IFERROR(INDEX('Restaurant Base (Hidden)'!$A$2:$Z$1048576,MATCH($C440,'Restaurant Base (Hidden)'!$C$2:$C$1048576,0),MATCH(AG$6,'Restaurant Base (Hidden)'!$A$1:$Z$1,0)),"")</f>
        <v/>
      </c>
    </row>
    <row r="441" spans="1:33" ht="16" customHeight="1" x14ac:dyDescent="0.4">
      <c r="A441" s="163" t="str">
        <f>IF('Restaurant Base (Hidden)'!A436=0,"", 'Restaurant Base (Hidden)'!A436)</f>
        <v/>
      </c>
      <c r="B441" s="163" t="str">
        <f>IF('Restaurant Base (Hidden)'!B436=0,"", 'Restaurant Base (Hidden)'!B436)</f>
        <v/>
      </c>
      <c r="C441" s="163" t="str">
        <f>IF('Restaurant Base (Hidden)'!C436=0,"", 'Restaurant Base (Hidden)'!C436)</f>
        <v/>
      </c>
      <c r="D441" s="104" t="str">
        <f t="shared" si="6"/>
        <v/>
      </c>
      <c r="E441" s="105" t="str">
        <f>+IFERROR(INDEX('Restaurant Base (Hidden)'!$A$2:$Z$1048576,MATCH($C441,'Restaurant Base (Hidden)'!$C$2:$C$1048576,0),MATCH(E$6,'Restaurant Base (Hidden)'!$A$1:$Z$1,0)),"")</f>
        <v/>
      </c>
      <c r="F441" s="2" t="str">
        <f>+IFERROR(INDEX('Restaurant Base (Hidden)'!$A$2:$Z$1048576,MATCH($C441,'Restaurant Base (Hidden)'!$C$2:$C$1048576,0),MATCH(F$6,'Restaurant Base (Hidden)'!$A$1:$Z$1,0)),"")</f>
        <v/>
      </c>
      <c r="G441" s="20" t="str">
        <f>+IFERROR(INDEX('Restaurant Base (Hidden)'!$A$2:$Z$1048576,MATCH($C441,'Restaurant Base (Hidden)'!$C$2:$C$1048576,0),MATCH(G$6,'Restaurant Base (Hidden)'!$A$1:$Z$1,0)),"")</f>
        <v/>
      </c>
      <c r="H441" s="50" t="str">
        <f>+IFERROR(INDEX('Restaurant Base (Hidden)'!$A$2:$Z$1048576,MATCH($C441,'Restaurant Base (Hidden)'!$C$2:$C$1048576,0),MATCH(H$6,'Restaurant Base (Hidden)'!$A$1:$Z$1,0)),"")</f>
        <v/>
      </c>
      <c r="I441" s="20" t="str">
        <f>+IFERROR(INDEX('Restaurant Base (Hidden)'!$A$2:$Z$1048576,MATCH($C441,'Restaurant Base (Hidden)'!$C$2:$C$1048576,0),MATCH(I$6,'Restaurant Base (Hidden)'!$A$1:$Z$1,0)),"")</f>
        <v/>
      </c>
      <c r="J441" s="49" t="str">
        <f>+IFERROR(INDEX('Restaurant Base (Hidden)'!$A$2:$Z$1048576,MATCH($C441,'Restaurant Base (Hidden)'!$C$2:$C$1048576,0),MATCH(J$6,'Restaurant Base (Hidden)'!$A$1:$Z$1,0)),"")</f>
        <v/>
      </c>
      <c r="K441" s="20" t="str">
        <f>+IFERROR(INDEX('Restaurant Base (Hidden)'!$A$2:$Z$1048576,MATCH($C441,'Restaurant Base (Hidden)'!$C$2:$C$1048576,0),MATCH(K$6,'Restaurant Base (Hidden)'!$A$1:$Z$1,0)),"")</f>
        <v/>
      </c>
      <c r="L441" s="51" t="str">
        <f>+IFERROR(INDEX('Restaurant Base (Hidden)'!$A$2:$Z$1048576,MATCH($C441,'Restaurant Base (Hidden)'!$C$2:$C$1048576,0),MATCH(L$6,'Restaurant Base (Hidden)'!$A$1:$Z$1,0)),"")</f>
        <v/>
      </c>
      <c r="M441" s="2" t="str">
        <f>+IFERROR(INDEX('Restaurant Base (Hidden)'!$A$2:$Z$1048576,MATCH($C441,'Restaurant Base (Hidden)'!$C$2:$C$1048576,0),MATCH(M$6,'Restaurant Base (Hidden)'!$A$1:$Z$1,0)),"")</f>
        <v/>
      </c>
      <c r="N441" s="234" t="str">
        <f>+IFERROR(INDEX('Restaurant Base (Hidden)'!$A$2:$Z$1048576,MATCH($C441,'Restaurant Base (Hidden)'!$C$2:$C$1048576,0),MATCH(N$6,'Restaurant Base (Hidden)'!$A$1:$Z$1,0)),"")</f>
        <v/>
      </c>
      <c r="O441" s="1" t="str">
        <f>+IFERROR(INDEX('Restaurant Base (Hidden)'!$A$2:$Z$1048576,MATCH($C441,'Restaurant Base (Hidden)'!$C$2:$C$1048576,0),MATCH(O$6,'Restaurant Base (Hidden)'!$A$1:$Z$1,0)),"")</f>
        <v/>
      </c>
      <c r="P441" s="2" t="str">
        <f>+IFERROR(INDEX('Restaurant Base (Hidden)'!$A$2:$Z$1048576,MATCH($C441,'Restaurant Base (Hidden)'!$C$2:$C$1048576,0),MATCH(P$6,'Restaurant Base (Hidden)'!$A$1:$Z$1,0)),"")</f>
        <v/>
      </c>
      <c r="Q441" s="234" t="str">
        <f>+IFERROR(INDEX('Restaurant Base (Hidden)'!$A$2:$Z$1048576,MATCH($C441,'Restaurant Base (Hidden)'!$C$2:$C$1048576,0),MATCH(Q$6,'Restaurant Base (Hidden)'!$A$1:$Z$1,0)),"")</f>
        <v/>
      </c>
      <c r="R441" s="1" t="str">
        <f>+IFERROR(INDEX('Restaurant Base (Hidden)'!$A$2:$Z$1048576,MATCH($C441,'Restaurant Base (Hidden)'!$C$2:$C$1048576,0),MATCH(R$6,'Restaurant Base (Hidden)'!$A$1:$Z$1,0)),"")</f>
        <v/>
      </c>
      <c r="S441" s="2" t="str">
        <f>+IFERROR(INDEX('Restaurant Base (Hidden)'!$A$2:$Z$1048576,MATCH($C441,'Restaurant Base (Hidden)'!$C$2:$C$1048576,0),MATCH(S$6,'Restaurant Base (Hidden)'!$A$1:$Z$1,0)),"")</f>
        <v/>
      </c>
      <c r="T441" s="62" t="str">
        <f>+IFERROR(INDEX('Restaurant Base (Hidden)'!$A$2:$Z$1048576,MATCH($C441,'Restaurant Base (Hidden)'!$C$2:$C$1048576,0),MATCH(T$6,'Restaurant Base (Hidden)'!$A$1:$Z$1,0)),"")</f>
        <v/>
      </c>
      <c r="U441" s="1" t="str">
        <f>+IFERROR(INDEX('Restaurant Base (Hidden)'!$A$2:$Z$1048576,MATCH($C441,'Restaurant Base (Hidden)'!$C$2:$C$1048576,0),MATCH(U$6,'Restaurant Base (Hidden)'!$A$1:$Z$1,0)),"")</f>
        <v/>
      </c>
      <c r="V441" s="2" t="str">
        <f>+IFERROR(INDEX('Restaurant Base (Hidden)'!$A$2:$Z$1048576,MATCH($C441,'Restaurant Base (Hidden)'!$C$2:$C$1048576,0),MATCH(V$6,'Restaurant Base (Hidden)'!$A$1:$Z$1,0)),"")</f>
        <v/>
      </c>
      <c r="W441" s="65" t="str">
        <f>+IFERROR(INDEX('Restaurant Base (Hidden)'!$A$2:$Z$1048576,MATCH($C441,'Restaurant Base (Hidden)'!$C$2:$C$1048576,0),MATCH(W$6,'Restaurant Base (Hidden)'!$A$1:$Z$1,0)),"")</f>
        <v/>
      </c>
      <c r="X441" s="1" t="str">
        <f>+IFERROR(INDEX('Restaurant Base (Hidden)'!$A$2:$Z$1048576,MATCH($C441,'Restaurant Base (Hidden)'!$C$2:$C$1048576,0),MATCH(X$6,'Restaurant Base (Hidden)'!$A$1:$Z$1,0)),"")</f>
        <v/>
      </c>
      <c r="Y441" s="65" t="str">
        <f>+IFERROR(INDEX('Restaurant Base (Hidden)'!$A$2:$Z$1048576,MATCH($C441,'Restaurant Base (Hidden)'!$C$2:$C$1048576,0),MATCH(Y$6,'Restaurant Base (Hidden)'!$A$1:$Z$1,0)),"")</f>
        <v/>
      </c>
      <c r="Z441" s="106" t="str">
        <f>+IFERROR(INDEX('Restaurant Base (Hidden)'!$A$2:$Z$1048576,MATCH($C441,'Restaurant Base (Hidden)'!$C$2:$C$1048576,0),MATCH(Z$6,'Restaurant Base (Hidden)'!$A$1:$Z$1,0)),"")</f>
        <v/>
      </c>
      <c r="AA441" s="65" t="str">
        <f>+IFERROR(INDEX('Restaurant Base (Hidden)'!$A$2:$Z$1048576,MATCH($C441,'Restaurant Base (Hidden)'!$C$2:$C$1048576,0),MATCH(AA$6,'Restaurant Base (Hidden)'!$A$1:$Z$1,0)),"")</f>
        <v/>
      </c>
      <c r="AB441" s="1" t="str">
        <f>+IFERROR(INDEX('Restaurant Base (Hidden)'!$A$2:$Z$1048576,MATCH($C441,'Restaurant Base (Hidden)'!$C$2:$C$1048576,0),MATCH(AB$6,'Restaurant Base (Hidden)'!$A$1:$Z$1,0)),"")</f>
        <v/>
      </c>
      <c r="AC441" s="20" t="str">
        <f>+IFERROR(INDEX('Restaurant Base (Hidden)'!$A$2:$Z$1048576,MATCH($C441,'Restaurant Base (Hidden)'!$C$2:$C$1048576,0),MATCH(AC$6,'Restaurant Base (Hidden)'!$A$1:$Z$1,0)),"")</f>
        <v/>
      </c>
      <c r="AD441" s="65" t="str">
        <f>+IFERROR(INDEX('Restaurant Base (Hidden)'!$A$2:$Z$1048576,MATCH($C441,'Restaurant Base (Hidden)'!$C$2:$C$1048576,0),MATCH(AD$6,'Restaurant Base (Hidden)'!$A$1:$Z$1,0)),"")</f>
        <v/>
      </c>
      <c r="AE441" s="1" t="str">
        <f>+IFERROR(INDEX('Restaurant Base (Hidden)'!$A$2:$Z$1048576,MATCH($C441,'Restaurant Base (Hidden)'!$C$2:$C$1048576,0),MATCH(AE$6,'Restaurant Base (Hidden)'!$A$1:$Z$1,0)),"")</f>
        <v/>
      </c>
      <c r="AF441" s="65" t="str">
        <f>+IFERROR(INDEX('Restaurant Base (Hidden)'!$A$2:$Z$1048576,MATCH($C441,'Restaurant Base (Hidden)'!$C$2:$C$1048576,0),MATCH(AF$6,'Restaurant Base (Hidden)'!$A$1:$Z$1,0)),"")</f>
        <v/>
      </c>
      <c r="AG441" s="1" t="str">
        <f>+IFERROR(INDEX('Restaurant Base (Hidden)'!$A$2:$Z$1048576,MATCH($C441,'Restaurant Base (Hidden)'!$C$2:$C$1048576,0),MATCH(AG$6,'Restaurant Base (Hidden)'!$A$1:$Z$1,0)),"")</f>
        <v/>
      </c>
    </row>
    <row r="442" spans="1:33" ht="16" customHeight="1" x14ac:dyDescent="0.4">
      <c r="A442" s="163" t="str">
        <f>IF('Restaurant Base (Hidden)'!A437=0,"", 'Restaurant Base (Hidden)'!A437)</f>
        <v/>
      </c>
      <c r="B442" s="163" t="str">
        <f>IF('Restaurant Base (Hidden)'!B437=0,"", 'Restaurant Base (Hidden)'!B437)</f>
        <v/>
      </c>
      <c r="C442" s="163" t="str">
        <f>IF('Restaurant Base (Hidden)'!C437=0,"", 'Restaurant Base (Hidden)'!C437)</f>
        <v/>
      </c>
      <c r="D442" s="104" t="str">
        <f t="shared" si="6"/>
        <v/>
      </c>
      <c r="E442" s="105" t="str">
        <f>+IFERROR(INDEX('Restaurant Base (Hidden)'!$A$2:$Z$1048576,MATCH($C442,'Restaurant Base (Hidden)'!$C$2:$C$1048576,0),MATCH(E$6,'Restaurant Base (Hidden)'!$A$1:$Z$1,0)),"")</f>
        <v/>
      </c>
      <c r="F442" s="2" t="str">
        <f>+IFERROR(INDEX('Restaurant Base (Hidden)'!$A$2:$Z$1048576,MATCH($C442,'Restaurant Base (Hidden)'!$C$2:$C$1048576,0),MATCH(F$6,'Restaurant Base (Hidden)'!$A$1:$Z$1,0)),"")</f>
        <v/>
      </c>
      <c r="G442" s="20" t="str">
        <f>+IFERROR(INDEX('Restaurant Base (Hidden)'!$A$2:$Z$1048576,MATCH($C442,'Restaurant Base (Hidden)'!$C$2:$C$1048576,0),MATCH(G$6,'Restaurant Base (Hidden)'!$A$1:$Z$1,0)),"")</f>
        <v/>
      </c>
      <c r="H442" s="50" t="str">
        <f>+IFERROR(INDEX('Restaurant Base (Hidden)'!$A$2:$Z$1048576,MATCH($C442,'Restaurant Base (Hidden)'!$C$2:$C$1048576,0),MATCH(H$6,'Restaurant Base (Hidden)'!$A$1:$Z$1,0)),"")</f>
        <v/>
      </c>
      <c r="I442" s="20" t="str">
        <f>+IFERROR(INDEX('Restaurant Base (Hidden)'!$A$2:$Z$1048576,MATCH($C442,'Restaurant Base (Hidden)'!$C$2:$C$1048576,0),MATCH(I$6,'Restaurant Base (Hidden)'!$A$1:$Z$1,0)),"")</f>
        <v/>
      </c>
      <c r="J442" s="49" t="str">
        <f>+IFERROR(INDEX('Restaurant Base (Hidden)'!$A$2:$Z$1048576,MATCH($C442,'Restaurant Base (Hidden)'!$C$2:$C$1048576,0),MATCH(J$6,'Restaurant Base (Hidden)'!$A$1:$Z$1,0)),"")</f>
        <v/>
      </c>
      <c r="K442" s="20" t="str">
        <f>+IFERROR(INDEX('Restaurant Base (Hidden)'!$A$2:$Z$1048576,MATCH($C442,'Restaurant Base (Hidden)'!$C$2:$C$1048576,0),MATCH(K$6,'Restaurant Base (Hidden)'!$A$1:$Z$1,0)),"")</f>
        <v/>
      </c>
      <c r="L442" s="51" t="str">
        <f>+IFERROR(INDEX('Restaurant Base (Hidden)'!$A$2:$Z$1048576,MATCH($C442,'Restaurant Base (Hidden)'!$C$2:$C$1048576,0),MATCH(L$6,'Restaurant Base (Hidden)'!$A$1:$Z$1,0)),"")</f>
        <v/>
      </c>
      <c r="M442" s="2" t="str">
        <f>+IFERROR(INDEX('Restaurant Base (Hidden)'!$A$2:$Z$1048576,MATCH($C442,'Restaurant Base (Hidden)'!$C$2:$C$1048576,0),MATCH(M$6,'Restaurant Base (Hidden)'!$A$1:$Z$1,0)),"")</f>
        <v/>
      </c>
      <c r="N442" s="234" t="str">
        <f>+IFERROR(INDEX('Restaurant Base (Hidden)'!$A$2:$Z$1048576,MATCH($C442,'Restaurant Base (Hidden)'!$C$2:$C$1048576,0),MATCH(N$6,'Restaurant Base (Hidden)'!$A$1:$Z$1,0)),"")</f>
        <v/>
      </c>
      <c r="O442" s="1" t="str">
        <f>+IFERROR(INDEX('Restaurant Base (Hidden)'!$A$2:$Z$1048576,MATCH($C442,'Restaurant Base (Hidden)'!$C$2:$C$1048576,0),MATCH(O$6,'Restaurant Base (Hidden)'!$A$1:$Z$1,0)),"")</f>
        <v/>
      </c>
      <c r="P442" s="2" t="str">
        <f>+IFERROR(INDEX('Restaurant Base (Hidden)'!$A$2:$Z$1048576,MATCH($C442,'Restaurant Base (Hidden)'!$C$2:$C$1048576,0),MATCH(P$6,'Restaurant Base (Hidden)'!$A$1:$Z$1,0)),"")</f>
        <v/>
      </c>
      <c r="Q442" s="234" t="str">
        <f>+IFERROR(INDEX('Restaurant Base (Hidden)'!$A$2:$Z$1048576,MATCH($C442,'Restaurant Base (Hidden)'!$C$2:$C$1048576,0),MATCH(Q$6,'Restaurant Base (Hidden)'!$A$1:$Z$1,0)),"")</f>
        <v/>
      </c>
      <c r="R442" s="1" t="str">
        <f>+IFERROR(INDEX('Restaurant Base (Hidden)'!$A$2:$Z$1048576,MATCH($C442,'Restaurant Base (Hidden)'!$C$2:$C$1048576,0),MATCH(R$6,'Restaurant Base (Hidden)'!$A$1:$Z$1,0)),"")</f>
        <v/>
      </c>
      <c r="S442" s="2" t="str">
        <f>+IFERROR(INDEX('Restaurant Base (Hidden)'!$A$2:$Z$1048576,MATCH($C442,'Restaurant Base (Hidden)'!$C$2:$C$1048576,0),MATCH(S$6,'Restaurant Base (Hidden)'!$A$1:$Z$1,0)),"")</f>
        <v/>
      </c>
      <c r="T442" s="62" t="str">
        <f>+IFERROR(INDEX('Restaurant Base (Hidden)'!$A$2:$Z$1048576,MATCH($C442,'Restaurant Base (Hidden)'!$C$2:$C$1048576,0),MATCH(T$6,'Restaurant Base (Hidden)'!$A$1:$Z$1,0)),"")</f>
        <v/>
      </c>
      <c r="U442" s="1" t="str">
        <f>+IFERROR(INDEX('Restaurant Base (Hidden)'!$A$2:$Z$1048576,MATCH($C442,'Restaurant Base (Hidden)'!$C$2:$C$1048576,0),MATCH(U$6,'Restaurant Base (Hidden)'!$A$1:$Z$1,0)),"")</f>
        <v/>
      </c>
      <c r="V442" s="2" t="str">
        <f>+IFERROR(INDEX('Restaurant Base (Hidden)'!$A$2:$Z$1048576,MATCH($C442,'Restaurant Base (Hidden)'!$C$2:$C$1048576,0),MATCH(V$6,'Restaurant Base (Hidden)'!$A$1:$Z$1,0)),"")</f>
        <v/>
      </c>
      <c r="W442" s="65" t="str">
        <f>+IFERROR(INDEX('Restaurant Base (Hidden)'!$A$2:$Z$1048576,MATCH($C442,'Restaurant Base (Hidden)'!$C$2:$C$1048576,0),MATCH(W$6,'Restaurant Base (Hidden)'!$A$1:$Z$1,0)),"")</f>
        <v/>
      </c>
      <c r="X442" s="1" t="str">
        <f>+IFERROR(INDEX('Restaurant Base (Hidden)'!$A$2:$Z$1048576,MATCH($C442,'Restaurant Base (Hidden)'!$C$2:$C$1048576,0),MATCH(X$6,'Restaurant Base (Hidden)'!$A$1:$Z$1,0)),"")</f>
        <v/>
      </c>
      <c r="Y442" s="65" t="str">
        <f>+IFERROR(INDEX('Restaurant Base (Hidden)'!$A$2:$Z$1048576,MATCH($C442,'Restaurant Base (Hidden)'!$C$2:$C$1048576,0),MATCH(Y$6,'Restaurant Base (Hidden)'!$A$1:$Z$1,0)),"")</f>
        <v/>
      </c>
      <c r="Z442" s="106" t="str">
        <f>+IFERROR(INDEX('Restaurant Base (Hidden)'!$A$2:$Z$1048576,MATCH($C442,'Restaurant Base (Hidden)'!$C$2:$C$1048576,0),MATCH(Z$6,'Restaurant Base (Hidden)'!$A$1:$Z$1,0)),"")</f>
        <v/>
      </c>
      <c r="AA442" s="65" t="str">
        <f>+IFERROR(INDEX('Restaurant Base (Hidden)'!$A$2:$Z$1048576,MATCH($C442,'Restaurant Base (Hidden)'!$C$2:$C$1048576,0),MATCH(AA$6,'Restaurant Base (Hidden)'!$A$1:$Z$1,0)),"")</f>
        <v/>
      </c>
      <c r="AB442" s="1" t="str">
        <f>+IFERROR(INDEX('Restaurant Base (Hidden)'!$A$2:$Z$1048576,MATCH($C442,'Restaurant Base (Hidden)'!$C$2:$C$1048576,0),MATCH(AB$6,'Restaurant Base (Hidden)'!$A$1:$Z$1,0)),"")</f>
        <v/>
      </c>
      <c r="AC442" s="20" t="str">
        <f>+IFERROR(INDEX('Restaurant Base (Hidden)'!$A$2:$Z$1048576,MATCH($C442,'Restaurant Base (Hidden)'!$C$2:$C$1048576,0),MATCH(AC$6,'Restaurant Base (Hidden)'!$A$1:$Z$1,0)),"")</f>
        <v/>
      </c>
      <c r="AD442" s="65" t="str">
        <f>+IFERROR(INDEX('Restaurant Base (Hidden)'!$A$2:$Z$1048576,MATCH($C442,'Restaurant Base (Hidden)'!$C$2:$C$1048576,0),MATCH(AD$6,'Restaurant Base (Hidden)'!$A$1:$Z$1,0)),"")</f>
        <v/>
      </c>
      <c r="AE442" s="1" t="str">
        <f>+IFERROR(INDEX('Restaurant Base (Hidden)'!$A$2:$Z$1048576,MATCH($C442,'Restaurant Base (Hidden)'!$C$2:$C$1048576,0),MATCH(AE$6,'Restaurant Base (Hidden)'!$A$1:$Z$1,0)),"")</f>
        <v/>
      </c>
      <c r="AF442" s="65" t="str">
        <f>+IFERROR(INDEX('Restaurant Base (Hidden)'!$A$2:$Z$1048576,MATCH($C442,'Restaurant Base (Hidden)'!$C$2:$C$1048576,0),MATCH(AF$6,'Restaurant Base (Hidden)'!$A$1:$Z$1,0)),"")</f>
        <v/>
      </c>
      <c r="AG442" s="1" t="str">
        <f>+IFERROR(INDEX('Restaurant Base (Hidden)'!$A$2:$Z$1048576,MATCH($C442,'Restaurant Base (Hidden)'!$C$2:$C$1048576,0),MATCH(AG$6,'Restaurant Base (Hidden)'!$A$1:$Z$1,0)),"")</f>
        <v/>
      </c>
    </row>
    <row r="443" spans="1:33" ht="16" customHeight="1" x14ac:dyDescent="0.4">
      <c r="A443" s="163" t="str">
        <f>IF('Restaurant Base (Hidden)'!A438=0,"", 'Restaurant Base (Hidden)'!A438)</f>
        <v/>
      </c>
      <c r="B443" s="163" t="str">
        <f>IF('Restaurant Base (Hidden)'!B438=0,"", 'Restaurant Base (Hidden)'!B438)</f>
        <v/>
      </c>
      <c r="C443" s="163" t="str">
        <f>IF('Restaurant Base (Hidden)'!C438=0,"", 'Restaurant Base (Hidden)'!C438)</f>
        <v/>
      </c>
      <c r="D443" s="104" t="str">
        <f t="shared" si="6"/>
        <v/>
      </c>
      <c r="E443" s="105" t="str">
        <f>+IFERROR(INDEX('Restaurant Base (Hidden)'!$A$2:$Z$1048576,MATCH($C443,'Restaurant Base (Hidden)'!$C$2:$C$1048576,0),MATCH(E$6,'Restaurant Base (Hidden)'!$A$1:$Z$1,0)),"")</f>
        <v/>
      </c>
      <c r="F443" s="2" t="str">
        <f>+IFERROR(INDEX('Restaurant Base (Hidden)'!$A$2:$Z$1048576,MATCH($C443,'Restaurant Base (Hidden)'!$C$2:$C$1048576,0),MATCH(F$6,'Restaurant Base (Hidden)'!$A$1:$Z$1,0)),"")</f>
        <v/>
      </c>
      <c r="G443" s="20" t="str">
        <f>+IFERROR(INDEX('Restaurant Base (Hidden)'!$A$2:$Z$1048576,MATCH($C443,'Restaurant Base (Hidden)'!$C$2:$C$1048576,0),MATCH(G$6,'Restaurant Base (Hidden)'!$A$1:$Z$1,0)),"")</f>
        <v/>
      </c>
      <c r="H443" s="50" t="str">
        <f>+IFERROR(INDEX('Restaurant Base (Hidden)'!$A$2:$Z$1048576,MATCH($C443,'Restaurant Base (Hidden)'!$C$2:$C$1048576,0),MATCH(H$6,'Restaurant Base (Hidden)'!$A$1:$Z$1,0)),"")</f>
        <v/>
      </c>
      <c r="I443" s="20" t="str">
        <f>+IFERROR(INDEX('Restaurant Base (Hidden)'!$A$2:$Z$1048576,MATCH($C443,'Restaurant Base (Hidden)'!$C$2:$C$1048576,0),MATCH(I$6,'Restaurant Base (Hidden)'!$A$1:$Z$1,0)),"")</f>
        <v/>
      </c>
      <c r="J443" s="49" t="str">
        <f>+IFERROR(INDEX('Restaurant Base (Hidden)'!$A$2:$Z$1048576,MATCH($C443,'Restaurant Base (Hidden)'!$C$2:$C$1048576,0),MATCH(J$6,'Restaurant Base (Hidden)'!$A$1:$Z$1,0)),"")</f>
        <v/>
      </c>
      <c r="K443" s="20" t="str">
        <f>+IFERROR(INDEX('Restaurant Base (Hidden)'!$A$2:$Z$1048576,MATCH($C443,'Restaurant Base (Hidden)'!$C$2:$C$1048576,0),MATCH(K$6,'Restaurant Base (Hidden)'!$A$1:$Z$1,0)),"")</f>
        <v/>
      </c>
      <c r="L443" s="51" t="str">
        <f>+IFERROR(INDEX('Restaurant Base (Hidden)'!$A$2:$Z$1048576,MATCH($C443,'Restaurant Base (Hidden)'!$C$2:$C$1048576,0),MATCH(L$6,'Restaurant Base (Hidden)'!$A$1:$Z$1,0)),"")</f>
        <v/>
      </c>
      <c r="M443" s="2" t="str">
        <f>+IFERROR(INDEX('Restaurant Base (Hidden)'!$A$2:$Z$1048576,MATCH($C443,'Restaurant Base (Hidden)'!$C$2:$C$1048576,0),MATCH(M$6,'Restaurant Base (Hidden)'!$A$1:$Z$1,0)),"")</f>
        <v/>
      </c>
      <c r="N443" s="234" t="str">
        <f>+IFERROR(INDEX('Restaurant Base (Hidden)'!$A$2:$Z$1048576,MATCH($C443,'Restaurant Base (Hidden)'!$C$2:$C$1048576,0),MATCH(N$6,'Restaurant Base (Hidden)'!$A$1:$Z$1,0)),"")</f>
        <v/>
      </c>
      <c r="O443" s="1" t="str">
        <f>+IFERROR(INDEX('Restaurant Base (Hidden)'!$A$2:$Z$1048576,MATCH($C443,'Restaurant Base (Hidden)'!$C$2:$C$1048576,0),MATCH(O$6,'Restaurant Base (Hidden)'!$A$1:$Z$1,0)),"")</f>
        <v/>
      </c>
      <c r="P443" s="2" t="str">
        <f>+IFERROR(INDEX('Restaurant Base (Hidden)'!$A$2:$Z$1048576,MATCH($C443,'Restaurant Base (Hidden)'!$C$2:$C$1048576,0),MATCH(P$6,'Restaurant Base (Hidden)'!$A$1:$Z$1,0)),"")</f>
        <v/>
      </c>
      <c r="Q443" s="234" t="str">
        <f>+IFERROR(INDEX('Restaurant Base (Hidden)'!$A$2:$Z$1048576,MATCH($C443,'Restaurant Base (Hidden)'!$C$2:$C$1048576,0),MATCH(Q$6,'Restaurant Base (Hidden)'!$A$1:$Z$1,0)),"")</f>
        <v/>
      </c>
      <c r="R443" s="1" t="str">
        <f>+IFERROR(INDEX('Restaurant Base (Hidden)'!$A$2:$Z$1048576,MATCH($C443,'Restaurant Base (Hidden)'!$C$2:$C$1048576,0),MATCH(R$6,'Restaurant Base (Hidden)'!$A$1:$Z$1,0)),"")</f>
        <v/>
      </c>
      <c r="S443" s="2" t="str">
        <f>+IFERROR(INDEX('Restaurant Base (Hidden)'!$A$2:$Z$1048576,MATCH($C443,'Restaurant Base (Hidden)'!$C$2:$C$1048576,0),MATCH(S$6,'Restaurant Base (Hidden)'!$A$1:$Z$1,0)),"")</f>
        <v/>
      </c>
      <c r="T443" s="62" t="str">
        <f>+IFERROR(INDEX('Restaurant Base (Hidden)'!$A$2:$Z$1048576,MATCH($C443,'Restaurant Base (Hidden)'!$C$2:$C$1048576,0),MATCH(T$6,'Restaurant Base (Hidden)'!$A$1:$Z$1,0)),"")</f>
        <v/>
      </c>
      <c r="U443" s="1" t="str">
        <f>+IFERROR(INDEX('Restaurant Base (Hidden)'!$A$2:$Z$1048576,MATCH($C443,'Restaurant Base (Hidden)'!$C$2:$C$1048576,0),MATCH(U$6,'Restaurant Base (Hidden)'!$A$1:$Z$1,0)),"")</f>
        <v/>
      </c>
      <c r="V443" s="2" t="str">
        <f>+IFERROR(INDEX('Restaurant Base (Hidden)'!$A$2:$Z$1048576,MATCH($C443,'Restaurant Base (Hidden)'!$C$2:$C$1048576,0),MATCH(V$6,'Restaurant Base (Hidden)'!$A$1:$Z$1,0)),"")</f>
        <v/>
      </c>
      <c r="W443" s="65" t="str">
        <f>+IFERROR(INDEX('Restaurant Base (Hidden)'!$A$2:$Z$1048576,MATCH($C443,'Restaurant Base (Hidden)'!$C$2:$C$1048576,0),MATCH(W$6,'Restaurant Base (Hidden)'!$A$1:$Z$1,0)),"")</f>
        <v/>
      </c>
      <c r="X443" s="1" t="str">
        <f>+IFERROR(INDEX('Restaurant Base (Hidden)'!$A$2:$Z$1048576,MATCH($C443,'Restaurant Base (Hidden)'!$C$2:$C$1048576,0),MATCH(X$6,'Restaurant Base (Hidden)'!$A$1:$Z$1,0)),"")</f>
        <v/>
      </c>
      <c r="Y443" s="65" t="str">
        <f>+IFERROR(INDEX('Restaurant Base (Hidden)'!$A$2:$Z$1048576,MATCH($C443,'Restaurant Base (Hidden)'!$C$2:$C$1048576,0),MATCH(Y$6,'Restaurant Base (Hidden)'!$A$1:$Z$1,0)),"")</f>
        <v/>
      </c>
      <c r="Z443" s="106" t="str">
        <f>+IFERROR(INDEX('Restaurant Base (Hidden)'!$A$2:$Z$1048576,MATCH($C443,'Restaurant Base (Hidden)'!$C$2:$C$1048576,0),MATCH(Z$6,'Restaurant Base (Hidden)'!$A$1:$Z$1,0)),"")</f>
        <v/>
      </c>
      <c r="AA443" s="65" t="str">
        <f>+IFERROR(INDEX('Restaurant Base (Hidden)'!$A$2:$Z$1048576,MATCH($C443,'Restaurant Base (Hidden)'!$C$2:$C$1048576,0),MATCH(AA$6,'Restaurant Base (Hidden)'!$A$1:$Z$1,0)),"")</f>
        <v/>
      </c>
      <c r="AB443" s="1" t="str">
        <f>+IFERROR(INDEX('Restaurant Base (Hidden)'!$A$2:$Z$1048576,MATCH($C443,'Restaurant Base (Hidden)'!$C$2:$C$1048576,0),MATCH(AB$6,'Restaurant Base (Hidden)'!$A$1:$Z$1,0)),"")</f>
        <v/>
      </c>
      <c r="AC443" s="20" t="str">
        <f>+IFERROR(INDEX('Restaurant Base (Hidden)'!$A$2:$Z$1048576,MATCH($C443,'Restaurant Base (Hidden)'!$C$2:$C$1048576,0),MATCH(AC$6,'Restaurant Base (Hidden)'!$A$1:$Z$1,0)),"")</f>
        <v/>
      </c>
      <c r="AD443" s="65" t="str">
        <f>+IFERROR(INDEX('Restaurant Base (Hidden)'!$A$2:$Z$1048576,MATCH($C443,'Restaurant Base (Hidden)'!$C$2:$C$1048576,0),MATCH(AD$6,'Restaurant Base (Hidden)'!$A$1:$Z$1,0)),"")</f>
        <v/>
      </c>
      <c r="AE443" s="1" t="str">
        <f>+IFERROR(INDEX('Restaurant Base (Hidden)'!$A$2:$Z$1048576,MATCH($C443,'Restaurant Base (Hidden)'!$C$2:$C$1048576,0),MATCH(AE$6,'Restaurant Base (Hidden)'!$A$1:$Z$1,0)),"")</f>
        <v/>
      </c>
      <c r="AF443" s="65" t="str">
        <f>+IFERROR(INDEX('Restaurant Base (Hidden)'!$A$2:$Z$1048576,MATCH($C443,'Restaurant Base (Hidden)'!$C$2:$C$1048576,0),MATCH(AF$6,'Restaurant Base (Hidden)'!$A$1:$Z$1,0)),"")</f>
        <v/>
      </c>
      <c r="AG443" s="1" t="str">
        <f>+IFERROR(INDEX('Restaurant Base (Hidden)'!$A$2:$Z$1048576,MATCH($C443,'Restaurant Base (Hidden)'!$C$2:$C$1048576,0),MATCH(AG$6,'Restaurant Base (Hidden)'!$A$1:$Z$1,0)),"")</f>
        <v/>
      </c>
    </row>
    <row r="444" spans="1:33" ht="16" customHeight="1" x14ac:dyDescent="0.4">
      <c r="A444" s="163" t="str">
        <f>IF('Restaurant Base (Hidden)'!A439=0,"", 'Restaurant Base (Hidden)'!A439)</f>
        <v/>
      </c>
      <c r="B444" s="163" t="str">
        <f>IF('Restaurant Base (Hidden)'!B439=0,"", 'Restaurant Base (Hidden)'!B439)</f>
        <v/>
      </c>
      <c r="C444" s="163" t="str">
        <f>IF('Restaurant Base (Hidden)'!C439=0,"", 'Restaurant Base (Hidden)'!C439)</f>
        <v/>
      </c>
      <c r="D444" s="104" t="str">
        <f t="shared" si="6"/>
        <v/>
      </c>
      <c r="E444" s="105" t="str">
        <f>+IFERROR(INDEX('Restaurant Base (Hidden)'!$A$2:$Z$1048576,MATCH($C444,'Restaurant Base (Hidden)'!$C$2:$C$1048576,0),MATCH(E$6,'Restaurant Base (Hidden)'!$A$1:$Z$1,0)),"")</f>
        <v/>
      </c>
      <c r="F444" s="2" t="str">
        <f>+IFERROR(INDEX('Restaurant Base (Hidden)'!$A$2:$Z$1048576,MATCH($C444,'Restaurant Base (Hidden)'!$C$2:$C$1048576,0),MATCH(F$6,'Restaurant Base (Hidden)'!$A$1:$Z$1,0)),"")</f>
        <v/>
      </c>
      <c r="G444" s="20" t="str">
        <f>+IFERROR(INDEX('Restaurant Base (Hidden)'!$A$2:$Z$1048576,MATCH($C444,'Restaurant Base (Hidden)'!$C$2:$C$1048576,0),MATCH(G$6,'Restaurant Base (Hidden)'!$A$1:$Z$1,0)),"")</f>
        <v/>
      </c>
      <c r="H444" s="50" t="str">
        <f>+IFERROR(INDEX('Restaurant Base (Hidden)'!$A$2:$Z$1048576,MATCH($C444,'Restaurant Base (Hidden)'!$C$2:$C$1048576,0),MATCH(H$6,'Restaurant Base (Hidden)'!$A$1:$Z$1,0)),"")</f>
        <v/>
      </c>
      <c r="I444" s="20" t="str">
        <f>+IFERROR(INDEX('Restaurant Base (Hidden)'!$A$2:$Z$1048576,MATCH($C444,'Restaurant Base (Hidden)'!$C$2:$C$1048576,0),MATCH(I$6,'Restaurant Base (Hidden)'!$A$1:$Z$1,0)),"")</f>
        <v/>
      </c>
      <c r="J444" s="49" t="str">
        <f>+IFERROR(INDEX('Restaurant Base (Hidden)'!$A$2:$Z$1048576,MATCH($C444,'Restaurant Base (Hidden)'!$C$2:$C$1048576,0),MATCH(J$6,'Restaurant Base (Hidden)'!$A$1:$Z$1,0)),"")</f>
        <v/>
      </c>
      <c r="K444" s="20" t="str">
        <f>+IFERROR(INDEX('Restaurant Base (Hidden)'!$A$2:$Z$1048576,MATCH($C444,'Restaurant Base (Hidden)'!$C$2:$C$1048576,0),MATCH(K$6,'Restaurant Base (Hidden)'!$A$1:$Z$1,0)),"")</f>
        <v/>
      </c>
      <c r="L444" s="51" t="str">
        <f>+IFERROR(INDEX('Restaurant Base (Hidden)'!$A$2:$Z$1048576,MATCH($C444,'Restaurant Base (Hidden)'!$C$2:$C$1048576,0),MATCH(L$6,'Restaurant Base (Hidden)'!$A$1:$Z$1,0)),"")</f>
        <v/>
      </c>
      <c r="M444" s="2" t="str">
        <f>+IFERROR(INDEX('Restaurant Base (Hidden)'!$A$2:$Z$1048576,MATCH($C444,'Restaurant Base (Hidden)'!$C$2:$C$1048576,0),MATCH(M$6,'Restaurant Base (Hidden)'!$A$1:$Z$1,0)),"")</f>
        <v/>
      </c>
      <c r="N444" s="234" t="str">
        <f>+IFERROR(INDEX('Restaurant Base (Hidden)'!$A$2:$Z$1048576,MATCH($C444,'Restaurant Base (Hidden)'!$C$2:$C$1048576,0),MATCH(N$6,'Restaurant Base (Hidden)'!$A$1:$Z$1,0)),"")</f>
        <v/>
      </c>
      <c r="O444" s="1" t="str">
        <f>+IFERROR(INDEX('Restaurant Base (Hidden)'!$A$2:$Z$1048576,MATCH($C444,'Restaurant Base (Hidden)'!$C$2:$C$1048576,0),MATCH(O$6,'Restaurant Base (Hidden)'!$A$1:$Z$1,0)),"")</f>
        <v/>
      </c>
      <c r="P444" s="2" t="str">
        <f>+IFERROR(INDEX('Restaurant Base (Hidden)'!$A$2:$Z$1048576,MATCH($C444,'Restaurant Base (Hidden)'!$C$2:$C$1048576,0),MATCH(P$6,'Restaurant Base (Hidden)'!$A$1:$Z$1,0)),"")</f>
        <v/>
      </c>
      <c r="Q444" s="234" t="str">
        <f>+IFERROR(INDEX('Restaurant Base (Hidden)'!$A$2:$Z$1048576,MATCH($C444,'Restaurant Base (Hidden)'!$C$2:$C$1048576,0),MATCH(Q$6,'Restaurant Base (Hidden)'!$A$1:$Z$1,0)),"")</f>
        <v/>
      </c>
      <c r="R444" s="1" t="str">
        <f>+IFERROR(INDEX('Restaurant Base (Hidden)'!$A$2:$Z$1048576,MATCH($C444,'Restaurant Base (Hidden)'!$C$2:$C$1048576,0),MATCH(R$6,'Restaurant Base (Hidden)'!$A$1:$Z$1,0)),"")</f>
        <v/>
      </c>
      <c r="S444" s="2" t="str">
        <f>+IFERROR(INDEX('Restaurant Base (Hidden)'!$A$2:$Z$1048576,MATCH($C444,'Restaurant Base (Hidden)'!$C$2:$C$1048576,0),MATCH(S$6,'Restaurant Base (Hidden)'!$A$1:$Z$1,0)),"")</f>
        <v/>
      </c>
      <c r="T444" s="62" t="str">
        <f>+IFERROR(INDEX('Restaurant Base (Hidden)'!$A$2:$Z$1048576,MATCH($C444,'Restaurant Base (Hidden)'!$C$2:$C$1048576,0),MATCH(T$6,'Restaurant Base (Hidden)'!$A$1:$Z$1,0)),"")</f>
        <v/>
      </c>
      <c r="U444" s="1" t="str">
        <f>+IFERROR(INDEX('Restaurant Base (Hidden)'!$A$2:$Z$1048576,MATCH($C444,'Restaurant Base (Hidden)'!$C$2:$C$1048576,0),MATCH(U$6,'Restaurant Base (Hidden)'!$A$1:$Z$1,0)),"")</f>
        <v/>
      </c>
      <c r="V444" s="2" t="str">
        <f>+IFERROR(INDEX('Restaurant Base (Hidden)'!$A$2:$Z$1048576,MATCH($C444,'Restaurant Base (Hidden)'!$C$2:$C$1048576,0),MATCH(V$6,'Restaurant Base (Hidden)'!$A$1:$Z$1,0)),"")</f>
        <v/>
      </c>
      <c r="W444" s="65" t="str">
        <f>+IFERROR(INDEX('Restaurant Base (Hidden)'!$A$2:$Z$1048576,MATCH($C444,'Restaurant Base (Hidden)'!$C$2:$C$1048576,0),MATCH(W$6,'Restaurant Base (Hidden)'!$A$1:$Z$1,0)),"")</f>
        <v/>
      </c>
      <c r="X444" s="1" t="str">
        <f>+IFERROR(INDEX('Restaurant Base (Hidden)'!$A$2:$Z$1048576,MATCH($C444,'Restaurant Base (Hidden)'!$C$2:$C$1048576,0),MATCH(X$6,'Restaurant Base (Hidden)'!$A$1:$Z$1,0)),"")</f>
        <v/>
      </c>
      <c r="Y444" s="65" t="str">
        <f>+IFERROR(INDEX('Restaurant Base (Hidden)'!$A$2:$Z$1048576,MATCH($C444,'Restaurant Base (Hidden)'!$C$2:$C$1048576,0),MATCH(Y$6,'Restaurant Base (Hidden)'!$A$1:$Z$1,0)),"")</f>
        <v/>
      </c>
      <c r="Z444" s="106" t="str">
        <f>+IFERROR(INDEX('Restaurant Base (Hidden)'!$A$2:$Z$1048576,MATCH($C444,'Restaurant Base (Hidden)'!$C$2:$C$1048576,0),MATCH(Z$6,'Restaurant Base (Hidden)'!$A$1:$Z$1,0)),"")</f>
        <v/>
      </c>
      <c r="AA444" s="65" t="str">
        <f>+IFERROR(INDEX('Restaurant Base (Hidden)'!$A$2:$Z$1048576,MATCH($C444,'Restaurant Base (Hidden)'!$C$2:$C$1048576,0),MATCH(AA$6,'Restaurant Base (Hidden)'!$A$1:$Z$1,0)),"")</f>
        <v/>
      </c>
      <c r="AB444" s="1" t="str">
        <f>+IFERROR(INDEX('Restaurant Base (Hidden)'!$A$2:$Z$1048576,MATCH($C444,'Restaurant Base (Hidden)'!$C$2:$C$1048576,0),MATCH(AB$6,'Restaurant Base (Hidden)'!$A$1:$Z$1,0)),"")</f>
        <v/>
      </c>
      <c r="AC444" s="20" t="str">
        <f>+IFERROR(INDEX('Restaurant Base (Hidden)'!$A$2:$Z$1048576,MATCH($C444,'Restaurant Base (Hidden)'!$C$2:$C$1048576,0),MATCH(AC$6,'Restaurant Base (Hidden)'!$A$1:$Z$1,0)),"")</f>
        <v/>
      </c>
      <c r="AD444" s="65" t="str">
        <f>+IFERROR(INDEX('Restaurant Base (Hidden)'!$A$2:$Z$1048576,MATCH($C444,'Restaurant Base (Hidden)'!$C$2:$C$1048576,0),MATCH(AD$6,'Restaurant Base (Hidden)'!$A$1:$Z$1,0)),"")</f>
        <v/>
      </c>
      <c r="AE444" s="1" t="str">
        <f>+IFERROR(INDEX('Restaurant Base (Hidden)'!$A$2:$Z$1048576,MATCH($C444,'Restaurant Base (Hidden)'!$C$2:$C$1048576,0),MATCH(AE$6,'Restaurant Base (Hidden)'!$A$1:$Z$1,0)),"")</f>
        <v/>
      </c>
      <c r="AF444" s="65" t="str">
        <f>+IFERROR(INDEX('Restaurant Base (Hidden)'!$A$2:$Z$1048576,MATCH($C444,'Restaurant Base (Hidden)'!$C$2:$C$1048576,0),MATCH(AF$6,'Restaurant Base (Hidden)'!$A$1:$Z$1,0)),"")</f>
        <v/>
      </c>
      <c r="AG444" s="1" t="str">
        <f>+IFERROR(INDEX('Restaurant Base (Hidden)'!$A$2:$Z$1048576,MATCH($C444,'Restaurant Base (Hidden)'!$C$2:$C$1048576,0),MATCH(AG$6,'Restaurant Base (Hidden)'!$A$1:$Z$1,0)),"")</f>
        <v/>
      </c>
    </row>
    <row r="445" spans="1:33" ht="16" customHeight="1" x14ac:dyDescent="0.4">
      <c r="A445" s="163" t="str">
        <f>IF('Restaurant Base (Hidden)'!A440=0,"", 'Restaurant Base (Hidden)'!A440)</f>
        <v/>
      </c>
      <c r="B445" s="163" t="str">
        <f>IF('Restaurant Base (Hidden)'!B440=0,"", 'Restaurant Base (Hidden)'!B440)</f>
        <v/>
      </c>
      <c r="C445" s="163" t="str">
        <f>IF('Restaurant Base (Hidden)'!C440=0,"", 'Restaurant Base (Hidden)'!C440)</f>
        <v/>
      </c>
      <c r="D445" s="104" t="str">
        <f t="shared" si="6"/>
        <v/>
      </c>
      <c r="E445" s="105" t="str">
        <f>+IFERROR(INDEX('Restaurant Base (Hidden)'!$A$2:$Z$1048576,MATCH($C445,'Restaurant Base (Hidden)'!$C$2:$C$1048576,0),MATCH(E$6,'Restaurant Base (Hidden)'!$A$1:$Z$1,0)),"")</f>
        <v/>
      </c>
      <c r="F445" s="2" t="str">
        <f>+IFERROR(INDEX('Restaurant Base (Hidden)'!$A$2:$Z$1048576,MATCH($C445,'Restaurant Base (Hidden)'!$C$2:$C$1048576,0),MATCH(F$6,'Restaurant Base (Hidden)'!$A$1:$Z$1,0)),"")</f>
        <v/>
      </c>
      <c r="G445" s="20" t="str">
        <f>+IFERROR(INDEX('Restaurant Base (Hidden)'!$A$2:$Z$1048576,MATCH($C445,'Restaurant Base (Hidden)'!$C$2:$C$1048576,0),MATCH(G$6,'Restaurant Base (Hidden)'!$A$1:$Z$1,0)),"")</f>
        <v/>
      </c>
      <c r="H445" s="50" t="str">
        <f>+IFERROR(INDEX('Restaurant Base (Hidden)'!$A$2:$Z$1048576,MATCH($C445,'Restaurant Base (Hidden)'!$C$2:$C$1048576,0),MATCH(H$6,'Restaurant Base (Hidden)'!$A$1:$Z$1,0)),"")</f>
        <v/>
      </c>
      <c r="I445" s="20" t="str">
        <f>+IFERROR(INDEX('Restaurant Base (Hidden)'!$A$2:$Z$1048576,MATCH($C445,'Restaurant Base (Hidden)'!$C$2:$C$1048576,0),MATCH(I$6,'Restaurant Base (Hidden)'!$A$1:$Z$1,0)),"")</f>
        <v/>
      </c>
      <c r="J445" s="49" t="str">
        <f>+IFERROR(INDEX('Restaurant Base (Hidden)'!$A$2:$Z$1048576,MATCH($C445,'Restaurant Base (Hidden)'!$C$2:$C$1048576,0),MATCH(J$6,'Restaurant Base (Hidden)'!$A$1:$Z$1,0)),"")</f>
        <v/>
      </c>
      <c r="K445" s="20" t="str">
        <f>+IFERROR(INDEX('Restaurant Base (Hidden)'!$A$2:$Z$1048576,MATCH($C445,'Restaurant Base (Hidden)'!$C$2:$C$1048576,0),MATCH(K$6,'Restaurant Base (Hidden)'!$A$1:$Z$1,0)),"")</f>
        <v/>
      </c>
      <c r="L445" s="51" t="str">
        <f>+IFERROR(INDEX('Restaurant Base (Hidden)'!$A$2:$Z$1048576,MATCH($C445,'Restaurant Base (Hidden)'!$C$2:$C$1048576,0),MATCH(L$6,'Restaurant Base (Hidden)'!$A$1:$Z$1,0)),"")</f>
        <v/>
      </c>
      <c r="M445" s="2" t="str">
        <f>+IFERROR(INDEX('Restaurant Base (Hidden)'!$A$2:$Z$1048576,MATCH($C445,'Restaurant Base (Hidden)'!$C$2:$C$1048576,0),MATCH(M$6,'Restaurant Base (Hidden)'!$A$1:$Z$1,0)),"")</f>
        <v/>
      </c>
      <c r="N445" s="234" t="str">
        <f>+IFERROR(INDEX('Restaurant Base (Hidden)'!$A$2:$Z$1048576,MATCH($C445,'Restaurant Base (Hidden)'!$C$2:$C$1048576,0),MATCH(N$6,'Restaurant Base (Hidden)'!$A$1:$Z$1,0)),"")</f>
        <v/>
      </c>
      <c r="O445" s="1" t="str">
        <f>+IFERROR(INDEX('Restaurant Base (Hidden)'!$A$2:$Z$1048576,MATCH($C445,'Restaurant Base (Hidden)'!$C$2:$C$1048576,0),MATCH(O$6,'Restaurant Base (Hidden)'!$A$1:$Z$1,0)),"")</f>
        <v/>
      </c>
      <c r="P445" s="2" t="str">
        <f>+IFERROR(INDEX('Restaurant Base (Hidden)'!$A$2:$Z$1048576,MATCH($C445,'Restaurant Base (Hidden)'!$C$2:$C$1048576,0),MATCH(P$6,'Restaurant Base (Hidden)'!$A$1:$Z$1,0)),"")</f>
        <v/>
      </c>
      <c r="Q445" s="234" t="str">
        <f>+IFERROR(INDEX('Restaurant Base (Hidden)'!$A$2:$Z$1048576,MATCH($C445,'Restaurant Base (Hidden)'!$C$2:$C$1048576,0),MATCH(Q$6,'Restaurant Base (Hidden)'!$A$1:$Z$1,0)),"")</f>
        <v/>
      </c>
      <c r="R445" s="1" t="str">
        <f>+IFERROR(INDEX('Restaurant Base (Hidden)'!$A$2:$Z$1048576,MATCH($C445,'Restaurant Base (Hidden)'!$C$2:$C$1048576,0),MATCH(R$6,'Restaurant Base (Hidden)'!$A$1:$Z$1,0)),"")</f>
        <v/>
      </c>
      <c r="S445" s="2" t="str">
        <f>+IFERROR(INDEX('Restaurant Base (Hidden)'!$A$2:$Z$1048576,MATCH($C445,'Restaurant Base (Hidden)'!$C$2:$C$1048576,0),MATCH(S$6,'Restaurant Base (Hidden)'!$A$1:$Z$1,0)),"")</f>
        <v/>
      </c>
      <c r="T445" s="62" t="str">
        <f>+IFERROR(INDEX('Restaurant Base (Hidden)'!$A$2:$Z$1048576,MATCH($C445,'Restaurant Base (Hidden)'!$C$2:$C$1048576,0),MATCH(T$6,'Restaurant Base (Hidden)'!$A$1:$Z$1,0)),"")</f>
        <v/>
      </c>
      <c r="U445" s="1" t="str">
        <f>+IFERROR(INDEX('Restaurant Base (Hidden)'!$A$2:$Z$1048576,MATCH($C445,'Restaurant Base (Hidden)'!$C$2:$C$1048576,0),MATCH(U$6,'Restaurant Base (Hidden)'!$A$1:$Z$1,0)),"")</f>
        <v/>
      </c>
      <c r="V445" s="2" t="str">
        <f>+IFERROR(INDEX('Restaurant Base (Hidden)'!$A$2:$Z$1048576,MATCH($C445,'Restaurant Base (Hidden)'!$C$2:$C$1048576,0),MATCH(V$6,'Restaurant Base (Hidden)'!$A$1:$Z$1,0)),"")</f>
        <v/>
      </c>
      <c r="W445" s="65" t="str">
        <f>+IFERROR(INDEX('Restaurant Base (Hidden)'!$A$2:$Z$1048576,MATCH($C445,'Restaurant Base (Hidden)'!$C$2:$C$1048576,0),MATCH(W$6,'Restaurant Base (Hidden)'!$A$1:$Z$1,0)),"")</f>
        <v/>
      </c>
      <c r="X445" s="1" t="str">
        <f>+IFERROR(INDEX('Restaurant Base (Hidden)'!$A$2:$Z$1048576,MATCH($C445,'Restaurant Base (Hidden)'!$C$2:$C$1048576,0),MATCH(X$6,'Restaurant Base (Hidden)'!$A$1:$Z$1,0)),"")</f>
        <v/>
      </c>
      <c r="Y445" s="65" t="str">
        <f>+IFERROR(INDEX('Restaurant Base (Hidden)'!$A$2:$Z$1048576,MATCH($C445,'Restaurant Base (Hidden)'!$C$2:$C$1048576,0),MATCH(Y$6,'Restaurant Base (Hidden)'!$A$1:$Z$1,0)),"")</f>
        <v/>
      </c>
      <c r="Z445" s="106" t="str">
        <f>+IFERROR(INDEX('Restaurant Base (Hidden)'!$A$2:$Z$1048576,MATCH($C445,'Restaurant Base (Hidden)'!$C$2:$C$1048576,0),MATCH(Z$6,'Restaurant Base (Hidden)'!$A$1:$Z$1,0)),"")</f>
        <v/>
      </c>
      <c r="AA445" s="65" t="str">
        <f>+IFERROR(INDEX('Restaurant Base (Hidden)'!$A$2:$Z$1048576,MATCH($C445,'Restaurant Base (Hidden)'!$C$2:$C$1048576,0),MATCH(AA$6,'Restaurant Base (Hidden)'!$A$1:$Z$1,0)),"")</f>
        <v/>
      </c>
      <c r="AB445" s="1" t="str">
        <f>+IFERROR(INDEX('Restaurant Base (Hidden)'!$A$2:$Z$1048576,MATCH($C445,'Restaurant Base (Hidden)'!$C$2:$C$1048576,0),MATCH(AB$6,'Restaurant Base (Hidden)'!$A$1:$Z$1,0)),"")</f>
        <v/>
      </c>
      <c r="AC445" s="20" t="str">
        <f>+IFERROR(INDEX('Restaurant Base (Hidden)'!$A$2:$Z$1048576,MATCH($C445,'Restaurant Base (Hidden)'!$C$2:$C$1048576,0),MATCH(AC$6,'Restaurant Base (Hidden)'!$A$1:$Z$1,0)),"")</f>
        <v/>
      </c>
      <c r="AD445" s="65" t="str">
        <f>+IFERROR(INDEX('Restaurant Base (Hidden)'!$A$2:$Z$1048576,MATCH($C445,'Restaurant Base (Hidden)'!$C$2:$C$1048576,0),MATCH(AD$6,'Restaurant Base (Hidden)'!$A$1:$Z$1,0)),"")</f>
        <v/>
      </c>
      <c r="AE445" s="1" t="str">
        <f>+IFERROR(INDEX('Restaurant Base (Hidden)'!$A$2:$Z$1048576,MATCH($C445,'Restaurant Base (Hidden)'!$C$2:$C$1048576,0),MATCH(AE$6,'Restaurant Base (Hidden)'!$A$1:$Z$1,0)),"")</f>
        <v/>
      </c>
      <c r="AF445" s="65" t="str">
        <f>+IFERROR(INDEX('Restaurant Base (Hidden)'!$A$2:$Z$1048576,MATCH($C445,'Restaurant Base (Hidden)'!$C$2:$C$1048576,0),MATCH(AF$6,'Restaurant Base (Hidden)'!$A$1:$Z$1,0)),"")</f>
        <v/>
      </c>
      <c r="AG445" s="1" t="str">
        <f>+IFERROR(INDEX('Restaurant Base (Hidden)'!$A$2:$Z$1048576,MATCH($C445,'Restaurant Base (Hidden)'!$C$2:$C$1048576,0),MATCH(AG$6,'Restaurant Base (Hidden)'!$A$1:$Z$1,0)),"")</f>
        <v/>
      </c>
    </row>
    <row r="446" spans="1:33" ht="16" customHeight="1" x14ac:dyDescent="0.4">
      <c r="A446" s="163" t="str">
        <f>IF('Restaurant Base (Hidden)'!A441=0,"", 'Restaurant Base (Hidden)'!A441)</f>
        <v/>
      </c>
      <c r="B446" s="163" t="str">
        <f>IF('Restaurant Base (Hidden)'!B441=0,"", 'Restaurant Base (Hidden)'!B441)</f>
        <v/>
      </c>
      <c r="C446" s="163" t="str">
        <f>IF('Restaurant Base (Hidden)'!C441=0,"", 'Restaurant Base (Hidden)'!C441)</f>
        <v/>
      </c>
      <c r="D446" s="104" t="str">
        <f t="shared" si="6"/>
        <v/>
      </c>
      <c r="E446" s="105" t="str">
        <f>+IFERROR(INDEX('Restaurant Base (Hidden)'!$A$2:$Z$1048576,MATCH($C446,'Restaurant Base (Hidden)'!$C$2:$C$1048576,0),MATCH(E$6,'Restaurant Base (Hidden)'!$A$1:$Z$1,0)),"")</f>
        <v/>
      </c>
      <c r="F446" s="2" t="str">
        <f>+IFERROR(INDEX('Restaurant Base (Hidden)'!$A$2:$Z$1048576,MATCH($C446,'Restaurant Base (Hidden)'!$C$2:$C$1048576,0),MATCH(F$6,'Restaurant Base (Hidden)'!$A$1:$Z$1,0)),"")</f>
        <v/>
      </c>
      <c r="G446" s="20" t="str">
        <f>+IFERROR(INDEX('Restaurant Base (Hidden)'!$A$2:$Z$1048576,MATCH($C446,'Restaurant Base (Hidden)'!$C$2:$C$1048576,0),MATCH(G$6,'Restaurant Base (Hidden)'!$A$1:$Z$1,0)),"")</f>
        <v/>
      </c>
      <c r="H446" s="50" t="str">
        <f>+IFERROR(INDEX('Restaurant Base (Hidden)'!$A$2:$Z$1048576,MATCH($C446,'Restaurant Base (Hidden)'!$C$2:$C$1048576,0),MATCH(H$6,'Restaurant Base (Hidden)'!$A$1:$Z$1,0)),"")</f>
        <v/>
      </c>
      <c r="I446" s="20" t="str">
        <f>+IFERROR(INDEX('Restaurant Base (Hidden)'!$A$2:$Z$1048576,MATCH($C446,'Restaurant Base (Hidden)'!$C$2:$C$1048576,0),MATCH(I$6,'Restaurant Base (Hidden)'!$A$1:$Z$1,0)),"")</f>
        <v/>
      </c>
      <c r="J446" s="49" t="str">
        <f>+IFERROR(INDEX('Restaurant Base (Hidden)'!$A$2:$Z$1048576,MATCH($C446,'Restaurant Base (Hidden)'!$C$2:$C$1048576,0),MATCH(J$6,'Restaurant Base (Hidden)'!$A$1:$Z$1,0)),"")</f>
        <v/>
      </c>
      <c r="K446" s="20" t="str">
        <f>+IFERROR(INDEX('Restaurant Base (Hidden)'!$A$2:$Z$1048576,MATCH($C446,'Restaurant Base (Hidden)'!$C$2:$C$1048576,0),MATCH(K$6,'Restaurant Base (Hidden)'!$A$1:$Z$1,0)),"")</f>
        <v/>
      </c>
      <c r="L446" s="51" t="str">
        <f>+IFERROR(INDEX('Restaurant Base (Hidden)'!$A$2:$Z$1048576,MATCH($C446,'Restaurant Base (Hidden)'!$C$2:$C$1048576,0),MATCH(L$6,'Restaurant Base (Hidden)'!$A$1:$Z$1,0)),"")</f>
        <v/>
      </c>
      <c r="M446" s="2" t="str">
        <f>+IFERROR(INDEX('Restaurant Base (Hidden)'!$A$2:$Z$1048576,MATCH($C446,'Restaurant Base (Hidden)'!$C$2:$C$1048576,0),MATCH(M$6,'Restaurant Base (Hidden)'!$A$1:$Z$1,0)),"")</f>
        <v/>
      </c>
      <c r="N446" s="234" t="str">
        <f>+IFERROR(INDEX('Restaurant Base (Hidden)'!$A$2:$Z$1048576,MATCH($C446,'Restaurant Base (Hidden)'!$C$2:$C$1048576,0),MATCH(N$6,'Restaurant Base (Hidden)'!$A$1:$Z$1,0)),"")</f>
        <v/>
      </c>
      <c r="O446" s="1" t="str">
        <f>+IFERROR(INDEX('Restaurant Base (Hidden)'!$A$2:$Z$1048576,MATCH($C446,'Restaurant Base (Hidden)'!$C$2:$C$1048576,0),MATCH(O$6,'Restaurant Base (Hidden)'!$A$1:$Z$1,0)),"")</f>
        <v/>
      </c>
      <c r="P446" s="2" t="str">
        <f>+IFERROR(INDEX('Restaurant Base (Hidden)'!$A$2:$Z$1048576,MATCH($C446,'Restaurant Base (Hidden)'!$C$2:$C$1048576,0),MATCH(P$6,'Restaurant Base (Hidden)'!$A$1:$Z$1,0)),"")</f>
        <v/>
      </c>
      <c r="Q446" s="234" t="str">
        <f>+IFERROR(INDEX('Restaurant Base (Hidden)'!$A$2:$Z$1048576,MATCH($C446,'Restaurant Base (Hidden)'!$C$2:$C$1048576,0),MATCH(Q$6,'Restaurant Base (Hidden)'!$A$1:$Z$1,0)),"")</f>
        <v/>
      </c>
      <c r="R446" s="1" t="str">
        <f>+IFERROR(INDEX('Restaurant Base (Hidden)'!$A$2:$Z$1048576,MATCH($C446,'Restaurant Base (Hidden)'!$C$2:$C$1048576,0),MATCH(R$6,'Restaurant Base (Hidden)'!$A$1:$Z$1,0)),"")</f>
        <v/>
      </c>
      <c r="S446" s="2" t="str">
        <f>+IFERROR(INDEX('Restaurant Base (Hidden)'!$A$2:$Z$1048576,MATCH($C446,'Restaurant Base (Hidden)'!$C$2:$C$1048576,0),MATCH(S$6,'Restaurant Base (Hidden)'!$A$1:$Z$1,0)),"")</f>
        <v/>
      </c>
      <c r="T446" s="62" t="str">
        <f>+IFERROR(INDEX('Restaurant Base (Hidden)'!$A$2:$Z$1048576,MATCH($C446,'Restaurant Base (Hidden)'!$C$2:$C$1048576,0),MATCH(T$6,'Restaurant Base (Hidden)'!$A$1:$Z$1,0)),"")</f>
        <v/>
      </c>
      <c r="U446" s="1" t="str">
        <f>+IFERROR(INDEX('Restaurant Base (Hidden)'!$A$2:$Z$1048576,MATCH($C446,'Restaurant Base (Hidden)'!$C$2:$C$1048576,0),MATCH(U$6,'Restaurant Base (Hidden)'!$A$1:$Z$1,0)),"")</f>
        <v/>
      </c>
      <c r="V446" s="2" t="str">
        <f>+IFERROR(INDEX('Restaurant Base (Hidden)'!$A$2:$Z$1048576,MATCH($C446,'Restaurant Base (Hidden)'!$C$2:$C$1048576,0),MATCH(V$6,'Restaurant Base (Hidden)'!$A$1:$Z$1,0)),"")</f>
        <v/>
      </c>
      <c r="W446" s="65" t="str">
        <f>+IFERROR(INDEX('Restaurant Base (Hidden)'!$A$2:$Z$1048576,MATCH($C446,'Restaurant Base (Hidden)'!$C$2:$C$1048576,0),MATCH(W$6,'Restaurant Base (Hidden)'!$A$1:$Z$1,0)),"")</f>
        <v/>
      </c>
      <c r="X446" s="1" t="str">
        <f>+IFERROR(INDEX('Restaurant Base (Hidden)'!$A$2:$Z$1048576,MATCH($C446,'Restaurant Base (Hidden)'!$C$2:$C$1048576,0),MATCH(X$6,'Restaurant Base (Hidden)'!$A$1:$Z$1,0)),"")</f>
        <v/>
      </c>
      <c r="Y446" s="65" t="str">
        <f>+IFERROR(INDEX('Restaurant Base (Hidden)'!$A$2:$Z$1048576,MATCH($C446,'Restaurant Base (Hidden)'!$C$2:$C$1048576,0),MATCH(Y$6,'Restaurant Base (Hidden)'!$A$1:$Z$1,0)),"")</f>
        <v/>
      </c>
      <c r="Z446" s="106" t="str">
        <f>+IFERROR(INDEX('Restaurant Base (Hidden)'!$A$2:$Z$1048576,MATCH($C446,'Restaurant Base (Hidden)'!$C$2:$C$1048576,0),MATCH(Z$6,'Restaurant Base (Hidden)'!$A$1:$Z$1,0)),"")</f>
        <v/>
      </c>
      <c r="AA446" s="65" t="str">
        <f>+IFERROR(INDEX('Restaurant Base (Hidden)'!$A$2:$Z$1048576,MATCH($C446,'Restaurant Base (Hidden)'!$C$2:$C$1048576,0),MATCH(AA$6,'Restaurant Base (Hidden)'!$A$1:$Z$1,0)),"")</f>
        <v/>
      </c>
      <c r="AB446" s="1" t="str">
        <f>+IFERROR(INDEX('Restaurant Base (Hidden)'!$A$2:$Z$1048576,MATCH($C446,'Restaurant Base (Hidden)'!$C$2:$C$1048576,0),MATCH(AB$6,'Restaurant Base (Hidden)'!$A$1:$Z$1,0)),"")</f>
        <v/>
      </c>
      <c r="AC446" s="20" t="str">
        <f>+IFERROR(INDEX('Restaurant Base (Hidden)'!$A$2:$Z$1048576,MATCH($C446,'Restaurant Base (Hidden)'!$C$2:$C$1048576,0),MATCH(AC$6,'Restaurant Base (Hidden)'!$A$1:$Z$1,0)),"")</f>
        <v/>
      </c>
      <c r="AD446" s="65" t="str">
        <f>+IFERROR(INDEX('Restaurant Base (Hidden)'!$A$2:$Z$1048576,MATCH($C446,'Restaurant Base (Hidden)'!$C$2:$C$1048576,0),MATCH(AD$6,'Restaurant Base (Hidden)'!$A$1:$Z$1,0)),"")</f>
        <v/>
      </c>
      <c r="AE446" s="1" t="str">
        <f>+IFERROR(INDEX('Restaurant Base (Hidden)'!$A$2:$Z$1048576,MATCH($C446,'Restaurant Base (Hidden)'!$C$2:$C$1048576,0),MATCH(AE$6,'Restaurant Base (Hidden)'!$A$1:$Z$1,0)),"")</f>
        <v/>
      </c>
      <c r="AF446" s="65" t="str">
        <f>+IFERROR(INDEX('Restaurant Base (Hidden)'!$A$2:$Z$1048576,MATCH($C446,'Restaurant Base (Hidden)'!$C$2:$C$1048576,0),MATCH(AF$6,'Restaurant Base (Hidden)'!$A$1:$Z$1,0)),"")</f>
        <v/>
      </c>
      <c r="AG446" s="1" t="str">
        <f>+IFERROR(INDEX('Restaurant Base (Hidden)'!$A$2:$Z$1048576,MATCH($C446,'Restaurant Base (Hidden)'!$C$2:$C$1048576,0),MATCH(AG$6,'Restaurant Base (Hidden)'!$A$1:$Z$1,0)),"")</f>
        <v/>
      </c>
    </row>
    <row r="447" spans="1:33" ht="16" customHeight="1" x14ac:dyDescent="0.4">
      <c r="A447" s="163" t="str">
        <f>IF('Restaurant Base (Hidden)'!A442=0,"", 'Restaurant Base (Hidden)'!A442)</f>
        <v/>
      </c>
      <c r="B447" s="163" t="str">
        <f>IF('Restaurant Base (Hidden)'!B442=0,"", 'Restaurant Base (Hidden)'!B442)</f>
        <v/>
      </c>
      <c r="C447" s="163" t="str">
        <f>IF('Restaurant Base (Hidden)'!C442=0,"", 'Restaurant Base (Hidden)'!C442)</f>
        <v/>
      </c>
      <c r="D447" s="104" t="str">
        <f t="shared" si="6"/>
        <v/>
      </c>
      <c r="E447" s="105" t="str">
        <f>+IFERROR(INDEX('Restaurant Base (Hidden)'!$A$2:$Z$1048576,MATCH($C447,'Restaurant Base (Hidden)'!$C$2:$C$1048576,0),MATCH(E$6,'Restaurant Base (Hidden)'!$A$1:$Z$1,0)),"")</f>
        <v/>
      </c>
      <c r="F447" s="2" t="str">
        <f>+IFERROR(INDEX('Restaurant Base (Hidden)'!$A$2:$Z$1048576,MATCH($C447,'Restaurant Base (Hidden)'!$C$2:$C$1048576,0),MATCH(F$6,'Restaurant Base (Hidden)'!$A$1:$Z$1,0)),"")</f>
        <v/>
      </c>
      <c r="G447" s="20" t="str">
        <f>+IFERROR(INDEX('Restaurant Base (Hidden)'!$A$2:$Z$1048576,MATCH($C447,'Restaurant Base (Hidden)'!$C$2:$C$1048576,0),MATCH(G$6,'Restaurant Base (Hidden)'!$A$1:$Z$1,0)),"")</f>
        <v/>
      </c>
      <c r="H447" s="50" t="str">
        <f>+IFERROR(INDEX('Restaurant Base (Hidden)'!$A$2:$Z$1048576,MATCH($C447,'Restaurant Base (Hidden)'!$C$2:$C$1048576,0),MATCH(H$6,'Restaurant Base (Hidden)'!$A$1:$Z$1,0)),"")</f>
        <v/>
      </c>
      <c r="I447" s="20" t="str">
        <f>+IFERROR(INDEX('Restaurant Base (Hidden)'!$A$2:$Z$1048576,MATCH($C447,'Restaurant Base (Hidden)'!$C$2:$C$1048576,0),MATCH(I$6,'Restaurant Base (Hidden)'!$A$1:$Z$1,0)),"")</f>
        <v/>
      </c>
      <c r="J447" s="49" t="str">
        <f>+IFERROR(INDEX('Restaurant Base (Hidden)'!$A$2:$Z$1048576,MATCH($C447,'Restaurant Base (Hidden)'!$C$2:$C$1048576,0),MATCH(J$6,'Restaurant Base (Hidden)'!$A$1:$Z$1,0)),"")</f>
        <v/>
      </c>
      <c r="K447" s="20" t="str">
        <f>+IFERROR(INDEX('Restaurant Base (Hidden)'!$A$2:$Z$1048576,MATCH($C447,'Restaurant Base (Hidden)'!$C$2:$C$1048576,0),MATCH(K$6,'Restaurant Base (Hidden)'!$A$1:$Z$1,0)),"")</f>
        <v/>
      </c>
      <c r="L447" s="51" t="str">
        <f>+IFERROR(INDEX('Restaurant Base (Hidden)'!$A$2:$Z$1048576,MATCH($C447,'Restaurant Base (Hidden)'!$C$2:$C$1048576,0),MATCH(L$6,'Restaurant Base (Hidden)'!$A$1:$Z$1,0)),"")</f>
        <v/>
      </c>
      <c r="M447" s="2" t="str">
        <f>+IFERROR(INDEX('Restaurant Base (Hidden)'!$A$2:$Z$1048576,MATCH($C447,'Restaurant Base (Hidden)'!$C$2:$C$1048576,0),MATCH(M$6,'Restaurant Base (Hidden)'!$A$1:$Z$1,0)),"")</f>
        <v/>
      </c>
      <c r="N447" s="234" t="str">
        <f>+IFERROR(INDEX('Restaurant Base (Hidden)'!$A$2:$Z$1048576,MATCH($C447,'Restaurant Base (Hidden)'!$C$2:$C$1048576,0),MATCH(N$6,'Restaurant Base (Hidden)'!$A$1:$Z$1,0)),"")</f>
        <v/>
      </c>
      <c r="O447" s="1" t="str">
        <f>+IFERROR(INDEX('Restaurant Base (Hidden)'!$A$2:$Z$1048576,MATCH($C447,'Restaurant Base (Hidden)'!$C$2:$C$1048576,0),MATCH(O$6,'Restaurant Base (Hidden)'!$A$1:$Z$1,0)),"")</f>
        <v/>
      </c>
      <c r="P447" s="2" t="str">
        <f>+IFERROR(INDEX('Restaurant Base (Hidden)'!$A$2:$Z$1048576,MATCH($C447,'Restaurant Base (Hidden)'!$C$2:$C$1048576,0),MATCH(P$6,'Restaurant Base (Hidden)'!$A$1:$Z$1,0)),"")</f>
        <v/>
      </c>
      <c r="Q447" s="234" t="str">
        <f>+IFERROR(INDEX('Restaurant Base (Hidden)'!$A$2:$Z$1048576,MATCH($C447,'Restaurant Base (Hidden)'!$C$2:$C$1048576,0),MATCH(Q$6,'Restaurant Base (Hidden)'!$A$1:$Z$1,0)),"")</f>
        <v/>
      </c>
      <c r="R447" s="1" t="str">
        <f>+IFERROR(INDEX('Restaurant Base (Hidden)'!$A$2:$Z$1048576,MATCH($C447,'Restaurant Base (Hidden)'!$C$2:$C$1048576,0),MATCH(R$6,'Restaurant Base (Hidden)'!$A$1:$Z$1,0)),"")</f>
        <v/>
      </c>
      <c r="S447" s="2" t="str">
        <f>+IFERROR(INDEX('Restaurant Base (Hidden)'!$A$2:$Z$1048576,MATCH($C447,'Restaurant Base (Hidden)'!$C$2:$C$1048576,0),MATCH(S$6,'Restaurant Base (Hidden)'!$A$1:$Z$1,0)),"")</f>
        <v/>
      </c>
      <c r="T447" s="62" t="str">
        <f>+IFERROR(INDEX('Restaurant Base (Hidden)'!$A$2:$Z$1048576,MATCH($C447,'Restaurant Base (Hidden)'!$C$2:$C$1048576,0),MATCH(T$6,'Restaurant Base (Hidden)'!$A$1:$Z$1,0)),"")</f>
        <v/>
      </c>
      <c r="U447" s="1" t="str">
        <f>+IFERROR(INDEX('Restaurant Base (Hidden)'!$A$2:$Z$1048576,MATCH($C447,'Restaurant Base (Hidden)'!$C$2:$C$1048576,0),MATCH(U$6,'Restaurant Base (Hidden)'!$A$1:$Z$1,0)),"")</f>
        <v/>
      </c>
      <c r="V447" s="2" t="str">
        <f>+IFERROR(INDEX('Restaurant Base (Hidden)'!$A$2:$Z$1048576,MATCH($C447,'Restaurant Base (Hidden)'!$C$2:$C$1048576,0),MATCH(V$6,'Restaurant Base (Hidden)'!$A$1:$Z$1,0)),"")</f>
        <v/>
      </c>
      <c r="W447" s="65" t="str">
        <f>+IFERROR(INDEX('Restaurant Base (Hidden)'!$A$2:$Z$1048576,MATCH($C447,'Restaurant Base (Hidden)'!$C$2:$C$1048576,0),MATCH(W$6,'Restaurant Base (Hidden)'!$A$1:$Z$1,0)),"")</f>
        <v/>
      </c>
      <c r="X447" s="1" t="str">
        <f>+IFERROR(INDEX('Restaurant Base (Hidden)'!$A$2:$Z$1048576,MATCH($C447,'Restaurant Base (Hidden)'!$C$2:$C$1048576,0),MATCH(X$6,'Restaurant Base (Hidden)'!$A$1:$Z$1,0)),"")</f>
        <v/>
      </c>
      <c r="Y447" s="65" t="str">
        <f>+IFERROR(INDEX('Restaurant Base (Hidden)'!$A$2:$Z$1048576,MATCH($C447,'Restaurant Base (Hidden)'!$C$2:$C$1048576,0),MATCH(Y$6,'Restaurant Base (Hidden)'!$A$1:$Z$1,0)),"")</f>
        <v/>
      </c>
      <c r="Z447" s="106" t="str">
        <f>+IFERROR(INDEX('Restaurant Base (Hidden)'!$A$2:$Z$1048576,MATCH($C447,'Restaurant Base (Hidden)'!$C$2:$C$1048576,0),MATCH(Z$6,'Restaurant Base (Hidden)'!$A$1:$Z$1,0)),"")</f>
        <v/>
      </c>
      <c r="AA447" s="65" t="str">
        <f>+IFERROR(INDEX('Restaurant Base (Hidden)'!$A$2:$Z$1048576,MATCH($C447,'Restaurant Base (Hidden)'!$C$2:$C$1048576,0),MATCH(AA$6,'Restaurant Base (Hidden)'!$A$1:$Z$1,0)),"")</f>
        <v/>
      </c>
      <c r="AB447" s="1" t="str">
        <f>+IFERROR(INDEX('Restaurant Base (Hidden)'!$A$2:$Z$1048576,MATCH($C447,'Restaurant Base (Hidden)'!$C$2:$C$1048576,0),MATCH(AB$6,'Restaurant Base (Hidden)'!$A$1:$Z$1,0)),"")</f>
        <v/>
      </c>
      <c r="AC447" s="20" t="str">
        <f>+IFERROR(INDEX('Restaurant Base (Hidden)'!$A$2:$Z$1048576,MATCH($C447,'Restaurant Base (Hidden)'!$C$2:$C$1048576,0),MATCH(AC$6,'Restaurant Base (Hidden)'!$A$1:$Z$1,0)),"")</f>
        <v/>
      </c>
      <c r="AD447" s="65" t="str">
        <f>+IFERROR(INDEX('Restaurant Base (Hidden)'!$A$2:$Z$1048576,MATCH($C447,'Restaurant Base (Hidden)'!$C$2:$C$1048576,0),MATCH(AD$6,'Restaurant Base (Hidden)'!$A$1:$Z$1,0)),"")</f>
        <v/>
      </c>
      <c r="AE447" s="1" t="str">
        <f>+IFERROR(INDEX('Restaurant Base (Hidden)'!$A$2:$Z$1048576,MATCH($C447,'Restaurant Base (Hidden)'!$C$2:$C$1048576,0),MATCH(AE$6,'Restaurant Base (Hidden)'!$A$1:$Z$1,0)),"")</f>
        <v/>
      </c>
      <c r="AF447" s="65" t="str">
        <f>+IFERROR(INDEX('Restaurant Base (Hidden)'!$A$2:$Z$1048576,MATCH($C447,'Restaurant Base (Hidden)'!$C$2:$C$1048576,0),MATCH(AF$6,'Restaurant Base (Hidden)'!$A$1:$Z$1,0)),"")</f>
        <v/>
      </c>
      <c r="AG447" s="1" t="str">
        <f>+IFERROR(INDEX('Restaurant Base (Hidden)'!$A$2:$Z$1048576,MATCH($C447,'Restaurant Base (Hidden)'!$C$2:$C$1048576,0),MATCH(AG$6,'Restaurant Base (Hidden)'!$A$1:$Z$1,0)),"")</f>
        <v/>
      </c>
    </row>
    <row r="448" spans="1:33" ht="16" customHeight="1" x14ac:dyDescent="0.4">
      <c r="A448" s="163" t="str">
        <f>IF('Restaurant Base (Hidden)'!A443=0,"", 'Restaurant Base (Hidden)'!A443)</f>
        <v/>
      </c>
      <c r="B448" s="163" t="str">
        <f>IF('Restaurant Base (Hidden)'!B443=0,"", 'Restaurant Base (Hidden)'!B443)</f>
        <v/>
      </c>
      <c r="C448" s="163" t="str">
        <f>IF('Restaurant Base (Hidden)'!C443=0,"", 'Restaurant Base (Hidden)'!C443)</f>
        <v/>
      </c>
      <c r="D448" s="104" t="str">
        <f t="shared" si="6"/>
        <v/>
      </c>
      <c r="E448" s="105" t="str">
        <f>+IFERROR(INDEX('Restaurant Base (Hidden)'!$A$2:$Z$1048576,MATCH($C448,'Restaurant Base (Hidden)'!$C$2:$C$1048576,0),MATCH(E$6,'Restaurant Base (Hidden)'!$A$1:$Z$1,0)),"")</f>
        <v/>
      </c>
      <c r="F448" s="2" t="str">
        <f>+IFERROR(INDEX('Restaurant Base (Hidden)'!$A$2:$Z$1048576,MATCH($C448,'Restaurant Base (Hidden)'!$C$2:$C$1048576,0),MATCH(F$6,'Restaurant Base (Hidden)'!$A$1:$Z$1,0)),"")</f>
        <v/>
      </c>
      <c r="G448" s="20" t="str">
        <f>+IFERROR(INDEX('Restaurant Base (Hidden)'!$A$2:$Z$1048576,MATCH($C448,'Restaurant Base (Hidden)'!$C$2:$C$1048576,0),MATCH(G$6,'Restaurant Base (Hidden)'!$A$1:$Z$1,0)),"")</f>
        <v/>
      </c>
      <c r="H448" s="50" t="str">
        <f>+IFERROR(INDEX('Restaurant Base (Hidden)'!$A$2:$Z$1048576,MATCH($C448,'Restaurant Base (Hidden)'!$C$2:$C$1048576,0),MATCH(H$6,'Restaurant Base (Hidden)'!$A$1:$Z$1,0)),"")</f>
        <v/>
      </c>
      <c r="I448" s="20" t="str">
        <f>+IFERROR(INDEX('Restaurant Base (Hidden)'!$A$2:$Z$1048576,MATCH($C448,'Restaurant Base (Hidden)'!$C$2:$C$1048576,0),MATCH(I$6,'Restaurant Base (Hidden)'!$A$1:$Z$1,0)),"")</f>
        <v/>
      </c>
      <c r="J448" s="49" t="str">
        <f>+IFERROR(INDEX('Restaurant Base (Hidden)'!$A$2:$Z$1048576,MATCH($C448,'Restaurant Base (Hidden)'!$C$2:$C$1048576,0),MATCH(J$6,'Restaurant Base (Hidden)'!$A$1:$Z$1,0)),"")</f>
        <v/>
      </c>
      <c r="K448" s="20" t="str">
        <f>+IFERROR(INDEX('Restaurant Base (Hidden)'!$A$2:$Z$1048576,MATCH($C448,'Restaurant Base (Hidden)'!$C$2:$C$1048576,0),MATCH(K$6,'Restaurant Base (Hidden)'!$A$1:$Z$1,0)),"")</f>
        <v/>
      </c>
      <c r="L448" s="51" t="str">
        <f>+IFERROR(INDEX('Restaurant Base (Hidden)'!$A$2:$Z$1048576,MATCH($C448,'Restaurant Base (Hidden)'!$C$2:$C$1048576,0),MATCH(L$6,'Restaurant Base (Hidden)'!$A$1:$Z$1,0)),"")</f>
        <v/>
      </c>
      <c r="M448" s="2" t="str">
        <f>+IFERROR(INDEX('Restaurant Base (Hidden)'!$A$2:$Z$1048576,MATCH($C448,'Restaurant Base (Hidden)'!$C$2:$C$1048576,0),MATCH(M$6,'Restaurant Base (Hidden)'!$A$1:$Z$1,0)),"")</f>
        <v/>
      </c>
      <c r="N448" s="234" t="str">
        <f>+IFERROR(INDEX('Restaurant Base (Hidden)'!$A$2:$Z$1048576,MATCH($C448,'Restaurant Base (Hidden)'!$C$2:$C$1048576,0),MATCH(N$6,'Restaurant Base (Hidden)'!$A$1:$Z$1,0)),"")</f>
        <v/>
      </c>
      <c r="O448" s="1" t="str">
        <f>+IFERROR(INDEX('Restaurant Base (Hidden)'!$A$2:$Z$1048576,MATCH($C448,'Restaurant Base (Hidden)'!$C$2:$C$1048576,0),MATCH(O$6,'Restaurant Base (Hidden)'!$A$1:$Z$1,0)),"")</f>
        <v/>
      </c>
      <c r="P448" s="2" t="str">
        <f>+IFERROR(INDEX('Restaurant Base (Hidden)'!$A$2:$Z$1048576,MATCH($C448,'Restaurant Base (Hidden)'!$C$2:$C$1048576,0),MATCH(P$6,'Restaurant Base (Hidden)'!$A$1:$Z$1,0)),"")</f>
        <v/>
      </c>
      <c r="Q448" s="234" t="str">
        <f>+IFERROR(INDEX('Restaurant Base (Hidden)'!$A$2:$Z$1048576,MATCH($C448,'Restaurant Base (Hidden)'!$C$2:$C$1048576,0),MATCH(Q$6,'Restaurant Base (Hidden)'!$A$1:$Z$1,0)),"")</f>
        <v/>
      </c>
      <c r="R448" s="1" t="str">
        <f>+IFERROR(INDEX('Restaurant Base (Hidden)'!$A$2:$Z$1048576,MATCH($C448,'Restaurant Base (Hidden)'!$C$2:$C$1048576,0),MATCH(R$6,'Restaurant Base (Hidden)'!$A$1:$Z$1,0)),"")</f>
        <v/>
      </c>
      <c r="S448" s="2" t="str">
        <f>+IFERROR(INDEX('Restaurant Base (Hidden)'!$A$2:$Z$1048576,MATCH($C448,'Restaurant Base (Hidden)'!$C$2:$C$1048576,0),MATCH(S$6,'Restaurant Base (Hidden)'!$A$1:$Z$1,0)),"")</f>
        <v/>
      </c>
      <c r="T448" s="62" t="str">
        <f>+IFERROR(INDEX('Restaurant Base (Hidden)'!$A$2:$Z$1048576,MATCH($C448,'Restaurant Base (Hidden)'!$C$2:$C$1048576,0),MATCH(T$6,'Restaurant Base (Hidden)'!$A$1:$Z$1,0)),"")</f>
        <v/>
      </c>
      <c r="U448" s="1" t="str">
        <f>+IFERROR(INDEX('Restaurant Base (Hidden)'!$A$2:$Z$1048576,MATCH($C448,'Restaurant Base (Hidden)'!$C$2:$C$1048576,0),MATCH(U$6,'Restaurant Base (Hidden)'!$A$1:$Z$1,0)),"")</f>
        <v/>
      </c>
      <c r="V448" s="2" t="str">
        <f>+IFERROR(INDEX('Restaurant Base (Hidden)'!$A$2:$Z$1048576,MATCH($C448,'Restaurant Base (Hidden)'!$C$2:$C$1048576,0),MATCH(V$6,'Restaurant Base (Hidden)'!$A$1:$Z$1,0)),"")</f>
        <v/>
      </c>
      <c r="W448" s="65" t="str">
        <f>+IFERROR(INDEX('Restaurant Base (Hidden)'!$A$2:$Z$1048576,MATCH($C448,'Restaurant Base (Hidden)'!$C$2:$C$1048576,0),MATCH(W$6,'Restaurant Base (Hidden)'!$A$1:$Z$1,0)),"")</f>
        <v/>
      </c>
      <c r="X448" s="1" t="str">
        <f>+IFERROR(INDEX('Restaurant Base (Hidden)'!$A$2:$Z$1048576,MATCH($C448,'Restaurant Base (Hidden)'!$C$2:$C$1048576,0),MATCH(X$6,'Restaurant Base (Hidden)'!$A$1:$Z$1,0)),"")</f>
        <v/>
      </c>
      <c r="Y448" s="65" t="str">
        <f>+IFERROR(INDEX('Restaurant Base (Hidden)'!$A$2:$Z$1048576,MATCH($C448,'Restaurant Base (Hidden)'!$C$2:$C$1048576,0),MATCH(Y$6,'Restaurant Base (Hidden)'!$A$1:$Z$1,0)),"")</f>
        <v/>
      </c>
      <c r="Z448" s="106" t="str">
        <f>+IFERROR(INDEX('Restaurant Base (Hidden)'!$A$2:$Z$1048576,MATCH($C448,'Restaurant Base (Hidden)'!$C$2:$C$1048576,0),MATCH(Z$6,'Restaurant Base (Hidden)'!$A$1:$Z$1,0)),"")</f>
        <v/>
      </c>
      <c r="AA448" s="65" t="str">
        <f>+IFERROR(INDEX('Restaurant Base (Hidden)'!$A$2:$Z$1048576,MATCH($C448,'Restaurant Base (Hidden)'!$C$2:$C$1048576,0),MATCH(AA$6,'Restaurant Base (Hidden)'!$A$1:$Z$1,0)),"")</f>
        <v/>
      </c>
      <c r="AB448" s="1" t="str">
        <f>+IFERROR(INDEX('Restaurant Base (Hidden)'!$A$2:$Z$1048576,MATCH($C448,'Restaurant Base (Hidden)'!$C$2:$C$1048576,0),MATCH(AB$6,'Restaurant Base (Hidden)'!$A$1:$Z$1,0)),"")</f>
        <v/>
      </c>
      <c r="AC448" s="20" t="str">
        <f>+IFERROR(INDEX('Restaurant Base (Hidden)'!$A$2:$Z$1048576,MATCH($C448,'Restaurant Base (Hidden)'!$C$2:$C$1048576,0),MATCH(AC$6,'Restaurant Base (Hidden)'!$A$1:$Z$1,0)),"")</f>
        <v/>
      </c>
      <c r="AD448" s="65" t="str">
        <f>+IFERROR(INDEX('Restaurant Base (Hidden)'!$A$2:$Z$1048576,MATCH($C448,'Restaurant Base (Hidden)'!$C$2:$C$1048576,0),MATCH(AD$6,'Restaurant Base (Hidden)'!$A$1:$Z$1,0)),"")</f>
        <v/>
      </c>
      <c r="AE448" s="1" t="str">
        <f>+IFERROR(INDEX('Restaurant Base (Hidden)'!$A$2:$Z$1048576,MATCH($C448,'Restaurant Base (Hidden)'!$C$2:$C$1048576,0),MATCH(AE$6,'Restaurant Base (Hidden)'!$A$1:$Z$1,0)),"")</f>
        <v/>
      </c>
      <c r="AF448" s="65" t="str">
        <f>+IFERROR(INDEX('Restaurant Base (Hidden)'!$A$2:$Z$1048576,MATCH($C448,'Restaurant Base (Hidden)'!$C$2:$C$1048576,0),MATCH(AF$6,'Restaurant Base (Hidden)'!$A$1:$Z$1,0)),"")</f>
        <v/>
      </c>
      <c r="AG448" s="1" t="str">
        <f>+IFERROR(INDEX('Restaurant Base (Hidden)'!$A$2:$Z$1048576,MATCH($C448,'Restaurant Base (Hidden)'!$C$2:$C$1048576,0),MATCH(AG$6,'Restaurant Base (Hidden)'!$A$1:$Z$1,0)),"")</f>
        <v/>
      </c>
    </row>
    <row r="449" spans="1:33" ht="16" customHeight="1" x14ac:dyDescent="0.4">
      <c r="A449" s="163" t="str">
        <f>IF('Restaurant Base (Hidden)'!A444=0,"", 'Restaurant Base (Hidden)'!A444)</f>
        <v/>
      </c>
      <c r="B449" s="163" t="str">
        <f>IF('Restaurant Base (Hidden)'!B444=0,"", 'Restaurant Base (Hidden)'!B444)</f>
        <v/>
      </c>
      <c r="C449" s="163" t="str">
        <f>IF('Restaurant Base (Hidden)'!C444=0,"", 'Restaurant Base (Hidden)'!C444)</f>
        <v/>
      </c>
      <c r="D449" s="104" t="str">
        <f t="shared" si="6"/>
        <v/>
      </c>
      <c r="E449" s="105" t="str">
        <f>+IFERROR(INDEX('Restaurant Base (Hidden)'!$A$2:$Z$1048576,MATCH($C449,'Restaurant Base (Hidden)'!$C$2:$C$1048576,0),MATCH(E$6,'Restaurant Base (Hidden)'!$A$1:$Z$1,0)),"")</f>
        <v/>
      </c>
      <c r="F449" s="2" t="str">
        <f>+IFERROR(INDEX('Restaurant Base (Hidden)'!$A$2:$Z$1048576,MATCH($C449,'Restaurant Base (Hidden)'!$C$2:$C$1048576,0),MATCH(F$6,'Restaurant Base (Hidden)'!$A$1:$Z$1,0)),"")</f>
        <v/>
      </c>
      <c r="G449" s="20" t="str">
        <f>+IFERROR(INDEX('Restaurant Base (Hidden)'!$A$2:$Z$1048576,MATCH($C449,'Restaurant Base (Hidden)'!$C$2:$C$1048576,0),MATCH(G$6,'Restaurant Base (Hidden)'!$A$1:$Z$1,0)),"")</f>
        <v/>
      </c>
      <c r="H449" s="50" t="str">
        <f>+IFERROR(INDEX('Restaurant Base (Hidden)'!$A$2:$Z$1048576,MATCH($C449,'Restaurant Base (Hidden)'!$C$2:$C$1048576,0),MATCH(H$6,'Restaurant Base (Hidden)'!$A$1:$Z$1,0)),"")</f>
        <v/>
      </c>
      <c r="I449" s="20" t="str">
        <f>+IFERROR(INDEX('Restaurant Base (Hidden)'!$A$2:$Z$1048576,MATCH($C449,'Restaurant Base (Hidden)'!$C$2:$C$1048576,0),MATCH(I$6,'Restaurant Base (Hidden)'!$A$1:$Z$1,0)),"")</f>
        <v/>
      </c>
      <c r="J449" s="49" t="str">
        <f>+IFERROR(INDEX('Restaurant Base (Hidden)'!$A$2:$Z$1048576,MATCH($C449,'Restaurant Base (Hidden)'!$C$2:$C$1048576,0),MATCH(J$6,'Restaurant Base (Hidden)'!$A$1:$Z$1,0)),"")</f>
        <v/>
      </c>
      <c r="K449" s="20" t="str">
        <f>+IFERROR(INDEX('Restaurant Base (Hidden)'!$A$2:$Z$1048576,MATCH($C449,'Restaurant Base (Hidden)'!$C$2:$C$1048576,0),MATCH(K$6,'Restaurant Base (Hidden)'!$A$1:$Z$1,0)),"")</f>
        <v/>
      </c>
      <c r="L449" s="51" t="str">
        <f>+IFERROR(INDEX('Restaurant Base (Hidden)'!$A$2:$Z$1048576,MATCH($C449,'Restaurant Base (Hidden)'!$C$2:$C$1048576,0),MATCH(L$6,'Restaurant Base (Hidden)'!$A$1:$Z$1,0)),"")</f>
        <v/>
      </c>
      <c r="M449" s="2" t="str">
        <f>+IFERROR(INDEX('Restaurant Base (Hidden)'!$A$2:$Z$1048576,MATCH($C449,'Restaurant Base (Hidden)'!$C$2:$C$1048576,0),MATCH(M$6,'Restaurant Base (Hidden)'!$A$1:$Z$1,0)),"")</f>
        <v/>
      </c>
      <c r="N449" s="234" t="str">
        <f>+IFERROR(INDEX('Restaurant Base (Hidden)'!$A$2:$Z$1048576,MATCH($C449,'Restaurant Base (Hidden)'!$C$2:$C$1048576,0),MATCH(N$6,'Restaurant Base (Hidden)'!$A$1:$Z$1,0)),"")</f>
        <v/>
      </c>
      <c r="O449" s="1" t="str">
        <f>+IFERROR(INDEX('Restaurant Base (Hidden)'!$A$2:$Z$1048576,MATCH($C449,'Restaurant Base (Hidden)'!$C$2:$C$1048576,0),MATCH(O$6,'Restaurant Base (Hidden)'!$A$1:$Z$1,0)),"")</f>
        <v/>
      </c>
      <c r="P449" s="2" t="str">
        <f>+IFERROR(INDEX('Restaurant Base (Hidden)'!$A$2:$Z$1048576,MATCH($C449,'Restaurant Base (Hidden)'!$C$2:$C$1048576,0),MATCH(P$6,'Restaurant Base (Hidden)'!$A$1:$Z$1,0)),"")</f>
        <v/>
      </c>
      <c r="Q449" s="234" t="str">
        <f>+IFERROR(INDEX('Restaurant Base (Hidden)'!$A$2:$Z$1048576,MATCH($C449,'Restaurant Base (Hidden)'!$C$2:$C$1048576,0),MATCH(Q$6,'Restaurant Base (Hidden)'!$A$1:$Z$1,0)),"")</f>
        <v/>
      </c>
      <c r="R449" s="1" t="str">
        <f>+IFERROR(INDEX('Restaurant Base (Hidden)'!$A$2:$Z$1048576,MATCH($C449,'Restaurant Base (Hidden)'!$C$2:$C$1048576,0),MATCH(R$6,'Restaurant Base (Hidden)'!$A$1:$Z$1,0)),"")</f>
        <v/>
      </c>
      <c r="S449" s="2" t="str">
        <f>+IFERROR(INDEX('Restaurant Base (Hidden)'!$A$2:$Z$1048576,MATCH($C449,'Restaurant Base (Hidden)'!$C$2:$C$1048576,0),MATCH(S$6,'Restaurant Base (Hidden)'!$A$1:$Z$1,0)),"")</f>
        <v/>
      </c>
      <c r="T449" s="62" t="str">
        <f>+IFERROR(INDEX('Restaurant Base (Hidden)'!$A$2:$Z$1048576,MATCH($C449,'Restaurant Base (Hidden)'!$C$2:$C$1048576,0),MATCH(T$6,'Restaurant Base (Hidden)'!$A$1:$Z$1,0)),"")</f>
        <v/>
      </c>
      <c r="U449" s="1" t="str">
        <f>+IFERROR(INDEX('Restaurant Base (Hidden)'!$A$2:$Z$1048576,MATCH($C449,'Restaurant Base (Hidden)'!$C$2:$C$1048576,0),MATCH(U$6,'Restaurant Base (Hidden)'!$A$1:$Z$1,0)),"")</f>
        <v/>
      </c>
      <c r="V449" s="2" t="str">
        <f>+IFERROR(INDEX('Restaurant Base (Hidden)'!$A$2:$Z$1048576,MATCH($C449,'Restaurant Base (Hidden)'!$C$2:$C$1048576,0),MATCH(V$6,'Restaurant Base (Hidden)'!$A$1:$Z$1,0)),"")</f>
        <v/>
      </c>
      <c r="W449" s="65" t="str">
        <f>+IFERROR(INDEX('Restaurant Base (Hidden)'!$A$2:$Z$1048576,MATCH($C449,'Restaurant Base (Hidden)'!$C$2:$C$1048576,0),MATCH(W$6,'Restaurant Base (Hidden)'!$A$1:$Z$1,0)),"")</f>
        <v/>
      </c>
      <c r="X449" s="1" t="str">
        <f>+IFERROR(INDEX('Restaurant Base (Hidden)'!$A$2:$Z$1048576,MATCH($C449,'Restaurant Base (Hidden)'!$C$2:$C$1048576,0),MATCH(X$6,'Restaurant Base (Hidden)'!$A$1:$Z$1,0)),"")</f>
        <v/>
      </c>
      <c r="Y449" s="65" t="str">
        <f>+IFERROR(INDEX('Restaurant Base (Hidden)'!$A$2:$Z$1048576,MATCH($C449,'Restaurant Base (Hidden)'!$C$2:$C$1048576,0),MATCH(Y$6,'Restaurant Base (Hidden)'!$A$1:$Z$1,0)),"")</f>
        <v/>
      </c>
      <c r="Z449" s="106" t="str">
        <f>+IFERROR(INDEX('Restaurant Base (Hidden)'!$A$2:$Z$1048576,MATCH($C449,'Restaurant Base (Hidden)'!$C$2:$C$1048576,0),MATCH(Z$6,'Restaurant Base (Hidden)'!$A$1:$Z$1,0)),"")</f>
        <v/>
      </c>
      <c r="AA449" s="65" t="str">
        <f>+IFERROR(INDEX('Restaurant Base (Hidden)'!$A$2:$Z$1048576,MATCH($C449,'Restaurant Base (Hidden)'!$C$2:$C$1048576,0),MATCH(AA$6,'Restaurant Base (Hidden)'!$A$1:$Z$1,0)),"")</f>
        <v/>
      </c>
      <c r="AB449" s="1" t="str">
        <f>+IFERROR(INDEX('Restaurant Base (Hidden)'!$A$2:$Z$1048576,MATCH($C449,'Restaurant Base (Hidden)'!$C$2:$C$1048576,0),MATCH(AB$6,'Restaurant Base (Hidden)'!$A$1:$Z$1,0)),"")</f>
        <v/>
      </c>
      <c r="AC449" s="20" t="str">
        <f>+IFERROR(INDEX('Restaurant Base (Hidden)'!$A$2:$Z$1048576,MATCH($C449,'Restaurant Base (Hidden)'!$C$2:$C$1048576,0),MATCH(AC$6,'Restaurant Base (Hidden)'!$A$1:$Z$1,0)),"")</f>
        <v/>
      </c>
      <c r="AD449" s="65" t="str">
        <f>+IFERROR(INDEX('Restaurant Base (Hidden)'!$A$2:$Z$1048576,MATCH($C449,'Restaurant Base (Hidden)'!$C$2:$C$1048576,0),MATCH(AD$6,'Restaurant Base (Hidden)'!$A$1:$Z$1,0)),"")</f>
        <v/>
      </c>
      <c r="AE449" s="1" t="str">
        <f>+IFERROR(INDEX('Restaurant Base (Hidden)'!$A$2:$Z$1048576,MATCH($C449,'Restaurant Base (Hidden)'!$C$2:$C$1048576,0),MATCH(AE$6,'Restaurant Base (Hidden)'!$A$1:$Z$1,0)),"")</f>
        <v/>
      </c>
      <c r="AF449" s="65" t="str">
        <f>+IFERROR(INDEX('Restaurant Base (Hidden)'!$A$2:$Z$1048576,MATCH($C449,'Restaurant Base (Hidden)'!$C$2:$C$1048576,0),MATCH(AF$6,'Restaurant Base (Hidden)'!$A$1:$Z$1,0)),"")</f>
        <v/>
      </c>
      <c r="AG449" s="1" t="str">
        <f>+IFERROR(INDEX('Restaurant Base (Hidden)'!$A$2:$Z$1048576,MATCH($C449,'Restaurant Base (Hidden)'!$C$2:$C$1048576,0),MATCH(AG$6,'Restaurant Base (Hidden)'!$A$1:$Z$1,0)),"")</f>
        <v/>
      </c>
    </row>
    <row r="450" spans="1:33" ht="16" customHeight="1" x14ac:dyDescent="0.4">
      <c r="A450" s="163" t="str">
        <f>IF('Restaurant Base (Hidden)'!A445=0,"", 'Restaurant Base (Hidden)'!A445)</f>
        <v/>
      </c>
      <c r="B450" s="163" t="str">
        <f>IF('Restaurant Base (Hidden)'!B445=0,"", 'Restaurant Base (Hidden)'!B445)</f>
        <v/>
      </c>
      <c r="C450" s="163" t="str">
        <f>IF('Restaurant Base (Hidden)'!C445=0,"", 'Restaurant Base (Hidden)'!C445)</f>
        <v/>
      </c>
      <c r="D450" s="104" t="str">
        <f t="shared" si="6"/>
        <v/>
      </c>
      <c r="E450" s="105" t="str">
        <f>+IFERROR(INDEX('Restaurant Base (Hidden)'!$A$2:$Z$1048576,MATCH($C450,'Restaurant Base (Hidden)'!$C$2:$C$1048576,0),MATCH(E$6,'Restaurant Base (Hidden)'!$A$1:$Z$1,0)),"")</f>
        <v/>
      </c>
      <c r="F450" s="2" t="str">
        <f>+IFERROR(INDEX('Restaurant Base (Hidden)'!$A$2:$Z$1048576,MATCH($C450,'Restaurant Base (Hidden)'!$C$2:$C$1048576,0),MATCH(F$6,'Restaurant Base (Hidden)'!$A$1:$Z$1,0)),"")</f>
        <v/>
      </c>
      <c r="G450" s="20" t="str">
        <f>+IFERROR(INDEX('Restaurant Base (Hidden)'!$A$2:$Z$1048576,MATCH($C450,'Restaurant Base (Hidden)'!$C$2:$C$1048576,0),MATCH(G$6,'Restaurant Base (Hidden)'!$A$1:$Z$1,0)),"")</f>
        <v/>
      </c>
      <c r="H450" s="50" t="str">
        <f>+IFERROR(INDEX('Restaurant Base (Hidden)'!$A$2:$Z$1048576,MATCH($C450,'Restaurant Base (Hidden)'!$C$2:$C$1048576,0),MATCH(H$6,'Restaurant Base (Hidden)'!$A$1:$Z$1,0)),"")</f>
        <v/>
      </c>
      <c r="I450" s="20" t="str">
        <f>+IFERROR(INDEX('Restaurant Base (Hidden)'!$A$2:$Z$1048576,MATCH($C450,'Restaurant Base (Hidden)'!$C$2:$C$1048576,0),MATCH(I$6,'Restaurant Base (Hidden)'!$A$1:$Z$1,0)),"")</f>
        <v/>
      </c>
      <c r="J450" s="49" t="str">
        <f>+IFERROR(INDEX('Restaurant Base (Hidden)'!$A$2:$Z$1048576,MATCH($C450,'Restaurant Base (Hidden)'!$C$2:$C$1048576,0),MATCH(J$6,'Restaurant Base (Hidden)'!$A$1:$Z$1,0)),"")</f>
        <v/>
      </c>
      <c r="K450" s="20" t="str">
        <f>+IFERROR(INDEX('Restaurant Base (Hidden)'!$A$2:$Z$1048576,MATCH($C450,'Restaurant Base (Hidden)'!$C$2:$C$1048576,0),MATCH(K$6,'Restaurant Base (Hidden)'!$A$1:$Z$1,0)),"")</f>
        <v/>
      </c>
      <c r="L450" s="51" t="str">
        <f>+IFERROR(INDEX('Restaurant Base (Hidden)'!$A$2:$Z$1048576,MATCH($C450,'Restaurant Base (Hidden)'!$C$2:$C$1048576,0),MATCH(L$6,'Restaurant Base (Hidden)'!$A$1:$Z$1,0)),"")</f>
        <v/>
      </c>
      <c r="M450" s="2" t="str">
        <f>+IFERROR(INDEX('Restaurant Base (Hidden)'!$A$2:$Z$1048576,MATCH($C450,'Restaurant Base (Hidden)'!$C$2:$C$1048576,0),MATCH(M$6,'Restaurant Base (Hidden)'!$A$1:$Z$1,0)),"")</f>
        <v/>
      </c>
      <c r="N450" s="234" t="str">
        <f>+IFERROR(INDEX('Restaurant Base (Hidden)'!$A$2:$Z$1048576,MATCH($C450,'Restaurant Base (Hidden)'!$C$2:$C$1048576,0),MATCH(N$6,'Restaurant Base (Hidden)'!$A$1:$Z$1,0)),"")</f>
        <v/>
      </c>
      <c r="O450" s="1" t="str">
        <f>+IFERROR(INDEX('Restaurant Base (Hidden)'!$A$2:$Z$1048576,MATCH($C450,'Restaurant Base (Hidden)'!$C$2:$C$1048576,0),MATCH(O$6,'Restaurant Base (Hidden)'!$A$1:$Z$1,0)),"")</f>
        <v/>
      </c>
      <c r="P450" s="2" t="str">
        <f>+IFERROR(INDEX('Restaurant Base (Hidden)'!$A$2:$Z$1048576,MATCH($C450,'Restaurant Base (Hidden)'!$C$2:$C$1048576,0),MATCH(P$6,'Restaurant Base (Hidden)'!$A$1:$Z$1,0)),"")</f>
        <v/>
      </c>
      <c r="Q450" s="234" t="str">
        <f>+IFERROR(INDEX('Restaurant Base (Hidden)'!$A$2:$Z$1048576,MATCH($C450,'Restaurant Base (Hidden)'!$C$2:$C$1048576,0),MATCH(Q$6,'Restaurant Base (Hidden)'!$A$1:$Z$1,0)),"")</f>
        <v/>
      </c>
      <c r="R450" s="1" t="str">
        <f>+IFERROR(INDEX('Restaurant Base (Hidden)'!$A$2:$Z$1048576,MATCH($C450,'Restaurant Base (Hidden)'!$C$2:$C$1048576,0),MATCH(R$6,'Restaurant Base (Hidden)'!$A$1:$Z$1,0)),"")</f>
        <v/>
      </c>
      <c r="S450" s="2" t="str">
        <f>+IFERROR(INDEX('Restaurant Base (Hidden)'!$A$2:$Z$1048576,MATCH($C450,'Restaurant Base (Hidden)'!$C$2:$C$1048576,0),MATCH(S$6,'Restaurant Base (Hidden)'!$A$1:$Z$1,0)),"")</f>
        <v/>
      </c>
      <c r="T450" s="62" t="str">
        <f>+IFERROR(INDEX('Restaurant Base (Hidden)'!$A$2:$Z$1048576,MATCH($C450,'Restaurant Base (Hidden)'!$C$2:$C$1048576,0),MATCH(T$6,'Restaurant Base (Hidden)'!$A$1:$Z$1,0)),"")</f>
        <v/>
      </c>
      <c r="U450" s="1" t="str">
        <f>+IFERROR(INDEX('Restaurant Base (Hidden)'!$A$2:$Z$1048576,MATCH($C450,'Restaurant Base (Hidden)'!$C$2:$C$1048576,0),MATCH(U$6,'Restaurant Base (Hidden)'!$A$1:$Z$1,0)),"")</f>
        <v/>
      </c>
      <c r="V450" s="2" t="str">
        <f>+IFERROR(INDEX('Restaurant Base (Hidden)'!$A$2:$Z$1048576,MATCH($C450,'Restaurant Base (Hidden)'!$C$2:$C$1048576,0),MATCH(V$6,'Restaurant Base (Hidden)'!$A$1:$Z$1,0)),"")</f>
        <v/>
      </c>
      <c r="W450" s="65" t="str">
        <f>+IFERROR(INDEX('Restaurant Base (Hidden)'!$A$2:$Z$1048576,MATCH($C450,'Restaurant Base (Hidden)'!$C$2:$C$1048576,0),MATCH(W$6,'Restaurant Base (Hidden)'!$A$1:$Z$1,0)),"")</f>
        <v/>
      </c>
      <c r="X450" s="1" t="str">
        <f>+IFERROR(INDEX('Restaurant Base (Hidden)'!$A$2:$Z$1048576,MATCH($C450,'Restaurant Base (Hidden)'!$C$2:$C$1048576,0),MATCH(X$6,'Restaurant Base (Hidden)'!$A$1:$Z$1,0)),"")</f>
        <v/>
      </c>
      <c r="Y450" s="65" t="str">
        <f>+IFERROR(INDEX('Restaurant Base (Hidden)'!$A$2:$Z$1048576,MATCH($C450,'Restaurant Base (Hidden)'!$C$2:$C$1048576,0),MATCH(Y$6,'Restaurant Base (Hidden)'!$A$1:$Z$1,0)),"")</f>
        <v/>
      </c>
      <c r="Z450" s="106" t="str">
        <f>+IFERROR(INDEX('Restaurant Base (Hidden)'!$A$2:$Z$1048576,MATCH($C450,'Restaurant Base (Hidden)'!$C$2:$C$1048576,0),MATCH(Z$6,'Restaurant Base (Hidden)'!$A$1:$Z$1,0)),"")</f>
        <v/>
      </c>
      <c r="AA450" s="65" t="str">
        <f>+IFERROR(INDEX('Restaurant Base (Hidden)'!$A$2:$Z$1048576,MATCH($C450,'Restaurant Base (Hidden)'!$C$2:$C$1048576,0),MATCH(AA$6,'Restaurant Base (Hidden)'!$A$1:$Z$1,0)),"")</f>
        <v/>
      </c>
      <c r="AB450" s="1" t="str">
        <f>+IFERROR(INDEX('Restaurant Base (Hidden)'!$A$2:$Z$1048576,MATCH($C450,'Restaurant Base (Hidden)'!$C$2:$C$1048576,0),MATCH(AB$6,'Restaurant Base (Hidden)'!$A$1:$Z$1,0)),"")</f>
        <v/>
      </c>
      <c r="AC450" s="20" t="str">
        <f>+IFERROR(INDEX('Restaurant Base (Hidden)'!$A$2:$Z$1048576,MATCH($C450,'Restaurant Base (Hidden)'!$C$2:$C$1048576,0),MATCH(AC$6,'Restaurant Base (Hidden)'!$A$1:$Z$1,0)),"")</f>
        <v/>
      </c>
      <c r="AD450" s="65" t="str">
        <f>+IFERROR(INDEX('Restaurant Base (Hidden)'!$A$2:$Z$1048576,MATCH($C450,'Restaurant Base (Hidden)'!$C$2:$C$1048576,0),MATCH(AD$6,'Restaurant Base (Hidden)'!$A$1:$Z$1,0)),"")</f>
        <v/>
      </c>
      <c r="AE450" s="1" t="str">
        <f>+IFERROR(INDEX('Restaurant Base (Hidden)'!$A$2:$Z$1048576,MATCH($C450,'Restaurant Base (Hidden)'!$C$2:$C$1048576,0),MATCH(AE$6,'Restaurant Base (Hidden)'!$A$1:$Z$1,0)),"")</f>
        <v/>
      </c>
      <c r="AF450" s="65" t="str">
        <f>+IFERROR(INDEX('Restaurant Base (Hidden)'!$A$2:$Z$1048576,MATCH($C450,'Restaurant Base (Hidden)'!$C$2:$C$1048576,0),MATCH(AF$6,'Restaurant Base (Hidden)'!$A$1:$Z$1,0)),"")</f>
        <v/>
      </c>
      <c r="AG450" s="1" t="str">
        <f>+IFERROR(INDEX('Restaurant Base (Hidden)'!$A$2:$Z$1048576,MATCH($C450,'Restaurant Base (Hidden)'!$C$2:$C$1048576,0),MATCH(AG$6,'Restaurant Base (Hidden)'!$A$1:$Z$1,0)),"")</f>
        <v/>
      </c>
    </row>
    <row r="451" spans="1:33" ht="16" customHeight="1" x14ac:dyDescent="0.4">
      <c r="A451" s="163" t="str">
        <f>IF('Restaurant Base (Hidden)'!A446=0,"", 'Restaurant Base (Hidden)'!A446)</f>
        <v/>
      </c>
      <c r="B451" s="163" t="str">
        <f>IF('Restaurant Base (Hidden)'!B446=0,"", 'Restaurant Base (Hidden)'!B446)</f>
        <v/>
      </c>
      <c r="C451" s="163" t="str">
        <f>IF('Restaurant Base (Hidden)'!C446=0,"", 'Restaurant Base (Hidden)'!C446)</f>
        <v/>
      </c>
      <c r="D451" s="104" t="str">
        <f t="shared" si="6"/>
        <v/>
      </c>
      <c r="E451" s="105" t="str">
        <f>+IFERROR(INDEX('Restaurant Base (Hidden)'!$A$2:$Z$1048576,MATCH($C451,'Restaurant Base (Hidden)'!$C$2:$C$1048576,0),MATCH(E$6,'Restaurant Base (Hidden)'!$A$1:$Z$1,0)),"")</f>
        <v/>
      </c>
      <c r="F451" s="2" t="str">
        <f>+IFERROR(INDEX('Restaurant Base (Hidden)'!$A$2:$Z$1048576,MATCH($C451,'Restaurant Base (Hidden)'!$C$2:$C$1048576,0),MATCH(F$6,'Restaurant Base (Hidden)'!$A$1:$Z$1,0)),"")</f>
        <v/>
      </c>
      <c r="G451" s="20" t="str">
        <f>+IFERROR(INDEX('Restaurant Base (Hidden)'!$A$2:$Z$1048576,MATCH($C451,'Restaurant Base (Hidden)'!$C$2:$C$1048576,0),MATCH(G$6,'Restaurant Base (Hidden)'!$A$1:$Z$1,0)),"")</f>
        <v/>
      </c>
      <c r="H451" s="50" t="str">
        <f>+IFERROR(INDEX('Restaurant Base (Hidden)'!$A$2:$Z$1048576,MATCH($C451,'Restaurant Base (Hidden)'!$C$2:$C$1048576,0),MATCH(H$6,'Restaurant Base (Hidden)'!$A$1:$Z$1,0)),"")</f>
        <v/>
      </c>
      <c r="I451" s="20" t="str">
        <f>+IFERROR(INDEX('Restaurant Base (Hidden)'!$A$2:$Z$1048576,MATCH($C451,'Restaurant Base (Hidden)'!$C$2:$C$1048576,0),MATCH(I$6,'Restaurant Base (Hidden)'!$A$1:$Z$1,0)),"")</f>
        <v/>
      </c>
      <c r="J451" s="49" t="str">
        <f>+IFERROR(INDEX('Restaurant Base (Hidden)'!$A$2:$Z$1048576,MATCH($C451,'Restaurant Base (Hidden)'!$C$2:$C$1048576,0),MATCH(J$6,'Restaurant Base (Hidden)'!$A$1:$Z$1,0)),"")</f>
        <v/>
      </c>
      <c r="K451" s="20" t="str">
        <f>+IFERROR(INDEX('Restaurant Base (Hidden)'!$A$2:$Z$1048576,MATCH($C451,'Restaurant Base (Hidden)'!$C$2:$C$1048576,0),MATCH(K$6,'Restaurant Base (Hidden)'!$A$1:$Z$1,0)),"")</f>
        <v/>
      </c>
      <c r="L451" s="51" t="str">
        <f>+IFERROR(INDEX('Restaurant Base (Hidden)'!$A$2:$Z$1048576,MATCH($C451,'Restaurant Base (Hidden)'!$C$2:$C$1048576,0),MATCH(L$6,'Restaurant Base (Hidden)'!$A$1:$Z$1,0)),"")</f>
        <v/>
      </c>
      <c r="M451" s="2" t="str">
        <f>+IFERROR(INDEX('Restaurant Base (Hidden)'!$A$2:$Z$1048576,MATCH($C451,'Restaurant Base (Hidden)'!$C$2:$C$1048576,0),MATCH(M$6,'Restaurant Base (Hidden)'!$A$1:$Z$1,0)),"")</f>
        <v/>
      </c>
      <c r="N451" s="234" t="str">
        <f>+IFERROR(INDEX('Restaurant Base (Hidden)'!$A$2:$Z$1048576,MATCH($C451,'Restaurant Base (Hidden)'!$C$2:$C$1048576,0),MATCH(N$6,'Restaurant Base (Hidden)'!$A$1:$Z$1,0)),"")</f>
        <v/>
      </c>
      <c r="O451" s="1" t="str">
        <f>+IFERROR(INDEX('Restaurant Base (Hidden)'!$A$2:$Z$1048576,MATCH($C451,'Restaurant Base (Hidden)'!$C$2:$C$1048576,0),MATCH(O$6,'Restaurant Base (Hidden)'!$A$1:$Z$1,0)),"")</f>
        <v/>
      </c>
      <c r="P451" s="2" t="str">
        <f>+IFERROR(INDEX('Restaurant Base (Hidden)'!$A$2:$Z$1048576,MATCH($C451,'Restaurant Base (Hidden)'!$C$2:$C$1048576,0),MATCH(P$6,'Restaurant Base (Hidden)'!$A$1:$Z$1,0)),"")</f>
        <v/>
      </c>
      <c r="Q451" s="234" t="str">
        <f>+IFERROR(INDEX('Restaurant Base (Hidden)'!$A$2:$Z$1048576,MATCH($C451,'Restaurant Base (Hidden)'!$C$2:$C$1048576,0),MATCH(Q$6,'Restaurant Base (Hidden)'!$A$1:$Z$1,0)),"")</f>
        <v/>
      </c>
      <c r="R451" s="1" t="str">
        <f>+IFERROR(INDEX('Restaurant Base (Hidden)'!$A$2:$Z$1048576,MATCH($C451,'Restaurant Base (Hidden)'!$C$2:$C$1048576,0),MATCH(R$6,'Restaurant Base (Hidden)'!$A$1:$Z$1,0)),"")</f>
        <v/>
      </c>
      <c r="S451" s="2" t="str">
        <f>+IFERROR(INDEX('Restaurant Base (Hidden)'!$A$2:$Z$1048576,MATCH($C451,'Restaurant Base (Hidden)'!$C$2:$C$1048576,0),MATCH(S$6,'Restaurant Base (Hidden)'!$A$1:$Z$1,0)),"")</f>
        <v/>
      </c>
      <c r="T451" s="62" t="str">
        <f>+IFERROR(INDEX('Restaurant Base (Hidden)'!$A$2:$Z$1048576,MATCH($C451,'Restaurant Base (Hidden)'!$C$2:$C$1048576,0),MATCH(T$6,'Restaurant Base (Hidden)'!$A$1:$Z$1,0)),"")</f>
        <v/>
      </c>
      <c r="U451" s="1" t="str">
        <f>+IFERROR(INDEX('Restaurant Base (Hidden)'!$A$2:$Z$1048576,MATCH($C451,'Restaurant Base (Hidden)'!$C$2:$C$1048576,0),MATCH(U$6,'Restaurant Base (Hidden)'!$A$1:$Z$1,0)),"")</f>
        <v/>
      </c>
      <c r="V451" s="2" t="str">
        <f>+IFERROR(INDEX('Restaurant Base (Hidden)'!$A$2:$Z$1048576,MATCH($C451,'Restaurant Base (Hidden)'!$C$2:$C$1048576,0),MATCH(V$6,'Restaurant Base (Hidden)'!$A$1:$Z$1,0)),"")</f>
        <v/>
      </c>
      <c r="W451" s="65" t="str">
        <f>+IFERROR(INDEX('Restaurant Base (Hidden)'!$A$2:$Z$1048576,MATCH($C451,'Restaurant Base (Hidden)'!$C$2:$C$1048576,0),MATCH(W$6,'Restaurant Base (Hidden)'!$A$1:$Z$1,0)),"")</f>
        <v/>
      </c>
      <c r="X451" s="1" t="str">
        <f>+IFERROR(INDEX('Restaurant Base (Hidden)'!$A$2:$Z$1048576,MATCH($C451,'Restaurant Base (Hidden)'!$C$2:$C$1048576,0),MATCH(X$6,'Restaurant Base (Hidden)'!$A$1:$Z$1,0)),"")</f>
        <v/>
      </c>
      <c r="Y451" s="65" t="str">
        <f>+IFERROR(INDEX('Restaurant Base (Hidden)'!$A$2:$Z$1048576,MATCH($C451,'Restaurant Base (Hidden)'!$C$2:$C$1048576,0),MATCH(Y$6,'Restaurant Base (Hidden)'!$A$1:$Z$1,0)),"")</f>
        <v/>
      </c>
      <c r="Z451" s="106" t="str">
        <f>+IFERROR(INDEX('Restaurant Base (Hidden)'!$A$2:$Z$1048576,MATCH($C451,'Restaurant Base (Hidden)'!$C$2:$C$1048576,0),MATCH(Z$6,'Restaurant Base (Hidden)'!$A$1:$Z$1,0)),"")</f>
        <v/>
      </c>
      <c r="AA451" s="65" t="str">
        <f>+IFERROR(INDEX('Restaurant Base (Hidden)'!$A$2:$Z$1048576,MATCH($C451,'Restaurant Base (Hidden)'!$C$2:$C$1048576,0),MATCH(AA$6,'Restaurant Base (Hidden)'!$A$1:$Z$1,0)),"")</f>
        <v/>
      </c>
      <c r="AB451" s="1" t="str">
        <f>+IFERROR(INDEX('Restaurant Base (Hidden)'!$A$2:$Z$1048576,MATCH($C451,'Restaurant Base (Hidden)'!$C$2:$C$1048576,0),MATCH(AB$6,'Restaurant Base (Hidden)'!$A$1:$Z$1,0)),"")</f>
        <v/>
      </c>
      <c r="AC451" s="20" t="str">
        <f>+IFERROR(INDEX('Restaurant Base (Hidden)'!$A$2:$Z$1048576,MATCH($C451,'Restaurant Base (Hidden)'!$C$2:$C$1048576,0),MATCH(AC$6,'Restaurant Base (Hidden)'!$A$1:$Z$1,0)),"")</f>
        <v/>
      </c>
      <c r="AD451" s="65" t="str">
        <f>+IFERROR(INDEX('Restaurant Base (Hidden)'!$A$2:$Z$1048576,MATCH($C451,'Restaurant Base (Hidden)'!$C$2:$C$1048576,0),MATCH(AD$6,'Restaurant Base (Hidden)'!$A$1:$Z$1,0)),"")</f>
        <v/>
      </c>
      <c r="AE451" s="1" t="str">
        <f>+IFERROR(INDEX('Restaurant Base (Hidden)'!$A$2:$Z$1048576,MATCH($C451,'Restaurant Base (Hidden)'!$C$2:$C$1048576,0),MATCH(AE$6,'Restaurant Base (Hidden)'!$A$1:$Z$1,0)),"")</f>
        <v/>
      </c>
      <c r="AF451" s="65" t="str">
        <f>+IFERROR(INDEX('Restaurant Base (Hidden)'!$A$2:$Z$1048576,MATCH($C451,'Restaurant Base (Hidden)'!$C$2:$C$1048576,0),MATCH(AF$6,'Restaurant Base (Hidden)'!$A$1:$Z$1,0)),"")</f>
        <v/>
      </c>
      <c r="AG451" s="1" t="str">
        <f>+IFERROR(INDEX('Restaurant Base (Hidden)'!$A$2:$Z$1048576,MATCH($C451,'Restaurant Base (Hidden)'!$C$2:$C$1048576,0),MATCH(AG$6,'Restaurant Base (Hidden)'!$A$1:$Z$1,0)),"")</f>
        <v/>
      </c>
    </row>
    <row r="452" spans="1:33" ht="16" customHeight="1" x14ac:dyDescent="0.4">
      <c r="A452" s="163" t="str">
        <f>IF('Restaurant Base (Hidden)'!A447=0,"", 'Restaurant Base (Hidden)'!A447)</f>
        <v/>
      </c>
      <c r="B452" s="163" t="str">
        <f>IF('Restaurant Base (Hidden)'!B447=0,"", 'Restaurant Base (Hidden)'!B447)</f>
        <v/>
      </c>
      <c r="C452" s="163" t="str">
        <f>IF('Restaurant Base (Hidden)'!C447=0,"", 'Restaurant Base (Hidden)'!C447)</f>
        <v/>
      </c>
      <c r="D452" s="104" t="str">
        <f t="shared" si="6"/>
        <v/>
      </c>
      <c r="E452" s="105" t="str">
        <f>+IFERROR(INDEX('Restaurant Base (Hidden)'!$A$2:$Z$1048576,MATCH($C452,'Restaurant Base (Hidden)'!$C$2:$C$1048576,0),MATCH(E$6,'Restaurant Base (Hidden)'!$A$1:$Z$1,0)),"")</f>
        <v/>
      </c>
      <c r="F452" s="2" t="str">
        <f>+IFERROR(INDEX('Restaurant Base (Hidden)'!$A$2:$Z$1048576,MATCH($C452,'Restaurant Base (Hidden)'!$C$2:$C$1048576,0),MATCH(F$6,'Restaurant Base (Hidden)'!$A$1:$Z$1,0)),"")</f>
        <v/>
      </c>
      <c r="G452" s="20" t="str">
        <f>+IFERROR(INDEX('Restaurant Base (Hidden)'!$A$2:$Z$1048576,MATCH($C452,'Restaurant Base (Hidden)'!$C$2:$C$1048576,0),MATCH(G$6,'Restaurant Base (Hidden)'!$A$1:$Z$1,0)),"")</f>
        <v/>
      </c>
      <c r="H452" s="50" t="str">
        <f>+IFERROR(INDEX('Restaurant Base (Hidden)'!$A$2:$Z$1048576,MATCH($C452,'Restaurant Base (Hidden)'!$C$2:$C$1048576,0),MATCH(H$6,'Restaurant Base (Hidden)'!$A$1:$Z$1,0)),"")</f>
        <v/>
      </c>
      <c r="I452" s="20" t="str">
        <f>+IFERROR(INDEX('Restaurant Base (Hidden)'!$A$2:$Z$1048576,MATCH($C452,'Restaurant Base (Hidden)'!$C$2:$C$1048576,0),MATCH(I$6,'Restaurant Base (Hidden)'!$A$1:$Z$1,0)),"")</f>
        <v/>
      </c>
      <c r="J452" s="49" t="str">
        <f>+IFERROR(INDEX('Restaurant Base (Hidden)'!$A$2:$Z$1048576,MATCH($C452,'Restaurant Base (Hidden)'!$C$2:$C$1048576,0),MATCH(J$6,'Restaurant Base (Hidden)'!$A$1:$Z$1,0)),"")</f>
        <v/>
      </c>
      <c r="K452" s="20" t="str">
        <f>+IFERROR(INDEX('Restaurant Base (Hidden)'!$A$2:$Z$1048576,MATCH($C452,'Restaurant Base (Hidden)'!$C$2:$C$1048576,0),MATCH(K$6,'Restaurant Base (Hidden)'!$A$1:$Z$1,0)),"")</f>
        <v/>
      </c>
      <c r="L452" s="51" t="str">
        <f>+IFERROR(INDEX('Restaurant Base (Hidden)'!$A$2:$Z$1048576,MATCH($C452,'Restaurant Base (Hidden)'!$C$2:$C$1048576,0),MATCH(L$6,'Restaurant Base (Hidden)'!$A$1:$Z$1,0)),"")</f>
        <v/>
      </c>
      <c r="M452" s="2" t="str">
        <f>+IFERROR(INDEX('Restaurant Base (Hidden)'!$A$2:$Z$1048576,MATCH($C452,'Restaurant Base (Hidden)'!$C$2:$C$1048576,0),MATCH(M$6,'Restaurant Base (Hidden)'!$A$1:$Z$1,0)),"")</f>
        <v/>
      </c>
      <c r="N452" s="234" t="str">
        <f>+IFERROR(INDEX('Restaurant Base (Hidden)'!$A$2:$Z$1048576,MATCH($C452,'Restaurant Base (Hidden)'!$C$2:$C$1048576,0),MATCH(N$6,'Restaurant Base (Hidden)'!$A$1:$Z$1,0)),"")</f>
        <v/>
      </c>
      <c r="O452" s="1" t="str">
        <f>+IFERROR(INDEX('Restaurant Base (Hidden)'!$A$2:$Z$1048576,MATCH($C452,'Restaurant Base (Hidden)'!$C$2:$C$1048576,0),MATCH(O$6,'Restaurant Base (Hidden)'!$A$1:$Z$1,0)),"")</f>
        <v/>
      </c>
      <c r="P452" s="2" t="str">
        <f>+IFERROR(INDEX('Restaurant Base (Hidden)'!$A$2:$Z$1048576,MATCH($C452,'Restaurant Base (Hidden)'!$C$2:$C$1048576,0),MATCH(P$6,'Restaurant Base (Hidden)'!$A$1:$Z$1,0)),"")</f>
        <v/>
      </c>
      <c r="Q452" s="234" t="str">
        <f>+IFERROR(INDEX('Restaurant Base (Hidden)'!$A$2:$Z$1048576,MATCH($C452,'Restaurant Base (Hidden)'!$C$2:$C$1048576,0),MATCH(Q$6,'Restaurant Base (Hidden)'!$A$1:$Z$1,0)),"")</f>
        <v/>
      </c>
      <c r="R452" s="1" t="str">
        <f>+IFERROR(INDEX('Restaurant Base (Hidden)'!$A$2:$Z$1048576,MATCH($C452,'Restaurant Base (Hidden)'!$C$2:$C$1048576,0),MATCH(R$6,'Restaurant Base (Hidden)'!$A$1:$Z$1,0)),"")</f>
        <v/>
      </c>
      <c r="S452" s="2" t="str">
        <f>+IFERROR(INDEX('Restaurant Base (Hidden)'!$A$2:$Z$1048576,MATCH($C452,'Restaurant Base (Hidden)'!$C$2:$C$1048576,0),MATCH(S$6,'Restaurant Base (Hidden)'!$A$1:$Z$1,0)),"")</f>
        <v/>
      </c>
      <c r="T452" s="62" t="str">
        <f>+IFERROR(INDEX('Restaurant Base (Hidden)'!$A$2:$Z$1048576,MATCH($C452,'Restaurant Base (Hidden)'!$C$2:$C$1048576,0),MATCH(T$6,'Restaurant Base (Hidden)'!$A$1:$Z$1,0)),"")</f>
        <v/>
      </c>
      <c r="U452" s="1" t="str">
        <f>+IFERROR(INDEX('Restaurant Base (Hidden)'!$A$2:$Z$1048576,MATCH($C452,'Restaurant Base (Hidden)'!$C$2:$C$1048576,0),MATCH(U$6,'Restaurant Base (Hidden)'!$A$1:$Z$1,0)),"")</f>
        <v/>
      </c>
      <c r="V452" s="2" t="str">
        <f>+IFERROR(INDEX('Restaurant Base (Hidden)'!$A$2:$Z$1048576,MATCH($C452,'Restaurant Base (Hidden)'!$C$2:$C$1048576,0),MATCH(V$6,'Restaurant Base (Hidden)'!$A$1:$Z$1,0)),"")</f>
        <v/>
      </c>
      <c r="W452" s="65" t="str">
        <f>+IFERROR(INDEX('Restaurant Base (Hidden)'!$A$2:$Z$1048576,MATCH($C452,'Restaurant Base (Hidden)'!$C$2:$C$1048576,0),MATCH(W$6,'Restaurant Base (Hidden)'!$A$1:$Z$1,0)),"")</f>
        <v/>
      </c>
      <c r="X452" s="1" t="str">
        <f>+IFERROR(INDEX('Restaurant Base (Hidden)'!$A$2:$Z$1048576,MATCH($C452,'Restaurant Base (Hidden)'!$C$2:$C$1048576,0),MATCH(X$6,'Restaurant Base (Hidden)'!$A$1:$Z$1,0)),"")</f>
        <v/>
      </c>
      <c r="Y452" s="65" t="str">
        <f>+IFERROR(INDEX('Restaurant Base (Hidden)'!$A$2:$Z$1048576,MATCH($C452,'Restaurant Base (Hidden)'!$C$2:$C$1048576,0),MATCH(Y$6,'Restaurant Base (Hidden)'!$A$1:$Z$1,0)),"")</f>
        <v/>
      </c>
      <c r="Z452" s="106" t="str">
        <f>+IFERROR(INDEX('Restaurant Base (Hidden)'!$A$2:$Z$1048576,MATCH($C452,'Restaurant Base (Hidden)'!$C$2:$C$1048576,0),MATCH(Z$6,'Restaurant Base (Hidden)'!$A$1:$Z$1,0)),"")</f>
        <v/>
      </c>
      <c r="AA452" s="65" t="str">
        <f>+IFERROR(INDEX('Restaurant Base (Hidden)'!$A$2:$Z$1048576,MATCH($C452,'Restaurant Base (Hidden)'!$C$2:$C$1048576,0),MATCH(AA$6,'Restaurant Base (Hidden)'!$A$1:$Z$1,0)),"")</f>
        <v/>
      </c>
      <c r="AB452" s="1" t="str">
        <f>+IFERROR(INDEX('Restaurant Base (Hidden)'!$A$2:$Z$1048576,MATCH($C452,'Restaurant Base (Hidden)'!$C$2:$C$1048576,0),MATCH(AB$6,'Restaurant Base (Hidden)'!$A$1:$Z$1,0)),"")</f>
        <v/>
      </c>
      <c r="AC452" s="20" t="str">
        <f>+IFERROR(INDEX('Restaurant Base (Hidden)'!$A$2:$Z$1048576,MATCH($C452,'Restaurant Base (Hidden)'!$C$2:$C$1048576,0),MATCH(AC$6,'Restaurant Base (Hidden)'!$A$1:$Z$1,0)),"")</f>
        <v/>
      </c>
      <c r="AD452" s="65" t="str">
        <f>+IFERROR(INDEX('Restaurant Base (Hidden)'!$A$2:$Z$1048576,MATCH($C452,'Restaurant Base (Hidden)'!$C$2:$C$1048576,0),MATCH(AD$6,'Restaurant Base (Hidden)'!$A$1:$Z$1,0)),"")</f>
        <v/>
      </c>
      <c r="AE452" s="1" t="str">
        <f>+IFERROR(INDEX('Restaurant Base (Hidden)'!$A$2:$Z$1048576,MATCH($C452,'Restaurant Base (Hidden)'!$C$2:$C$1048576,0),MATCH(AE$6,'Restaurant Base (Hidden)'!$A$1:$Z$1,0)),"")</f>
        <v/>
      </c>
      <c r="AF452" s="65" t="str">
        <f>+IFERROR(INDEX('Restaurant Base (Hidden)'!$A$2:$Z$1048576,MATCH($C452,'Restaurant Base (Hidden)'!$C$2:$C$1048576,0),MATCH(AF$6,'Restaurant Base (Hidden)'!$A$1:$Z$1,0)),"")</f>
        <v/>
      </c>
      <c r="AG452" s="1" t="str">
        <f>+IFERROR(INDEX('Restaurant Base (Hidden)'!$A$2:$Z$1048576,MATCH($C452,'Restaurant Base (Hidden)'!$C$2:$C$1048576,0),MATCH(AG$6,'Restaurant Base (Hidden)'!$A$1:$Z$1,0)),"")</f>
        <v/>
      </c>
    </row>
    <row r="453" spans="1:33" ht="16" customHeight="1" x14ac:dyDescent="0.4">
      <c r="A453" s="163" t="str">
        <f>IF('Restaurant Base (Hidden)'!A448=0,"", 'Restaurant Base (Hidden)'!A448)</f>
        <v/>
      </c>
      <c r="B453" s="163" t="str">
        <f>IF('Restaurant Base (Hidden)'!B448=0,"", 'Restaurant Base (Hidden)'!B448)</f>
        <v/>
      </c>
      <c r="C453" s="163" t="str">
        <f>IF('Restaurant Base (Hidden)'!C448=0,"", 'Restaurant Base (Hidden)'!C448)</f>
        <v/>
      </c>
      <c r="D453" s="104" t="str">
        <f t="shared" si="6"/>
        <v/>
      </c>
      <c r="E453" s="105" t="str">
        <f>+IFERROR(INDEX('Restaurant Base (Hidden)'!$A$2:$Z$1048576,MATCH($C453,'Restaurant Base (Hidden)'!$C$2:$C$1048576,0),MATCH(E$6,'Restaurant Base (Hidden)'!$A$1:$Z$1,0)),"")</f>
        <v/>
      </c>
      <c r="F453" s="2" t="str">
        <f>+IFERROR(INDEX('Restaurant Base (Hidden)'!$A$2:$Z$1048576,MATCH($C453,'Restaurant Base (Hidden)'!$C$2:$C$1048576,0),MATCH(F$6,'Restaurant Base (Hidden)'!$A$1:$Z$1,0)),"")</f>
        <v/>
      </c>
      <c r="G453" s="20" t="str">
        <f>+IFERROR(INDEX('Restaurant Base (Hidden)'!$A$2:$Z$1048576,MATCH($C453,'Restaurant Base (Hidden)'!$C$2:$C$1048576,0),MATCH(G$6,'Restaurant Base (Hidden)'!$A$1:$Z$1,0)),"")</f>
        <v/>
      </c>
      <c r="H453" s="50" t="str">
        <f>+IFERROR(INDEX('Restaurant Base (Hidden)'!$A$2:$Z$1048576,MATCH($C453,'Restaurant Base (Hidden)'!$C$2:$C$1048576,0),MATCH(H$6,'Restaurant Base (Hidden)'!$A$1:$Z$1,0)),"")</f>
        <v/>
      </c>
      <c r="I453" s="20" t="str">
        <f>+IFERROR(INDEX('Restaurant Base (Hidden)'!$A$2:$Z$1048576,MATCH($C453,'Restaurant Base (Hidden)'!$C$2:$C$1048576,0),MATCH(I$6,'Restaurant Base (Hidden)'!$A$1:$Z$1,0)),"")</f>
        <v/>
      </c>
      <c r="J453" s="49" t="str">
        <f>+IFERROR(INDEX('Restaurant Base (Hidden)'!$A$2:$Z$1048576,MATCH($C453,'Restaurant Base (Hidden)'!$C$2:$C$1048576,0),MATCH(J$6,'Restaurant Base (Hidden)'!$A$1:$Z$1,0)),"")</f>
        <v/>
      </c>
      <c r="K453" s="20" t="str">
        <f>+IFERROR(INDEX('Restaurant Base (Hidden)'!$A$2:$Z$1048576,MATCH($C453,'Restaurant Base (Hidden)'!$C$2:$C$1048576,0),MATCH(K$6,'Restaurant Base (Hidden)'!$A$1:$Z$1,0)),"")</f>
        <v/>
      </c>
      <c r="L453" s="51" t="str">
        <f>+IFERROR(INDEX('Restaurant Base (Hidden)'!$A$2:$Z$1048576,MATCH($C453,'Restaurant Base (Hidden)'!$C$2:$C$1048576,0),MATCH(L$6,'Restaurant Base (Hidden)'!$A$1:$Z$1,0)),"")</f>
        <v/>
      </c>
      <c r="M453" s="2" t="str">
        <f>+IFERROR(INDEX('Restaurant Base (Hidden)'!$A$2:$Z$1048576,MATCH($C453,'Restaurant Base (Hidden)'!$C$2:$C$1048576,0),MATCH(M$6,'Restaurant Base (Hidden)'!$A$1:$Z$1,0)),"")</f>
        <v/>
      </c>
      <c r="N453" s="234" t="str">
        <f>+IFERROR(INDEX('Restaurant Base (Hidden)'!$A$2:$Z$1048576,MATCH($C453,'Restaurant Base (Hidden)'!$C$2:$C$1048576,0),MATCH(N$6,'Restaurant Base (Hidden)'!$A$1:$Z$1,0)),"")</f>
        <v/>
      </c>
      <c r="O453" s="1" t="str">
        <f>+IFERROR(INDEX('Restaurant Base (Hidden)'!$A$2:$Z$1048576,MATCH($C453,'Restaurant Base (Hidden)'!$C$2:$C$1048576,0),MATCH(O$6,'Restaurant Base (Hidden)'!$A$1:$Z$1,0)),"")</f>
        <v/>
      </c>
      <c r="P453" s="2" t="str">
        <f>+IFERROR(INDEX('Restaurant Base (Hidden)'!$A$2:$Z$1048576,MATCH($C453,'Restaurant Base (Hidden)'!$C$2:$C$1048576,0),MATCH(P$6,'Restaurant Base (Hidden)'!$A$1:$Z$1,0)),"")</f>
        <v/>
      </c>
      <c r="Q453" s="234" t="str">
        <f>+IFERROR(INDEX('Restaurant Base (Hidden)'!$A$2:$Z$1048576,MATCH($C453,'Restaurant Base (Hidden)'!$C$2:$C$1048576,0),MATCH(Q$6,'Restaurant Base (Hidden)'!$A$1:$Z$1,0)),"")</f>
        <v/>
      </c>
      <c r="R453" s="1" t="str">
        <f>+IFERROR(INDEX('Restaurant Base (Hidden)'!$A$2:$Z$1048576,MATCH($C453,'Restaurant Base (Hidden)'!$C$2:$C$1048576,0),MATCH(R$6,'Restaurant Base (Hidden)'!$A$1:$Z$1,0)),"")</f>
        <v/>
      </c>
      <c r="S453" s="2" t="str">
        <f>+IFERROR(INDEX('Restaurant Base (Hidden)'!$A$2:$Z$1048576,MATCH($C453,'Restaurant Base (Hidden)'!$C$2:$C$1048576,0),MATCH(S$6,'Restaurant Base (Hidden)'!$A$1:$Z$1,0)),"")</f>
        <v/>
      </c>
      <c r="T453" s="62" t="str">
        <f>+IFERROR(INDEX('Restaurant Base (Hidden)'!$A$2:$Z$1048576,MATCH($C453,'Restaurant Base (Hidden)'!$C$2:$C$1048576,0),MATCH(T$6,'Restaurant Base (Hidden)'!$A$1:$Z$1,0)),"")</f>
        <v/>
      </c>
      <c r="U453" s="1" t="str">
        <f>+IFERROR(INDEX('Restaurant Base (Hidden)'!$A$2:$Z$1048576,MATCH($C453,'Restaurant Base (Hidden)'!$C$2:$C$1048576,0),MATCH(U$6,'Restaurant Base (Hidden)'!$A$1:$Z$1,0)),"")</f>
        <v/>
      </c>
      <c r="V453" s="2" t="str">
        <f>+IFERROR(INDEX('Restaurant Base (Hidden)'!$A$2:$Z$1048576,MATCH($C453,'Restaurant Base (Hidden)'!$C$2:$C$1048576,0),MATCH(V$6,'Restaurant Base (Hidden)'!$A$1:$Z$1,0)),"")</f>
        <v/>
      </c>
      <c r="W453" s="65" t="str">
        <f>+IFERROR(INDEX('Restaurant Base (Hidden)'!$A$2:$Z$1048576,MATCH($C453,'Restaurant Base (Hidden)'!$C$2:$C$1048576,0),MATCH(W$6,'Restaurant Base (Hidden)'!$A$1:$Z$1,0)),"")</f>
        <v/>
      </c>
      <c r="X453" s="1" t="str">
        <f>+IFERROR(INDEX('Restaurant Base (Hidden)'!$A$2:$Z$1048576,MATCH($C453,'Restaurant Base (Hidden)'!$C$2:$C$1048576,0),MATCH(X$6,'Restaurant Base (Hidden)'!$A$1:$Z$1,0)),"")</f>
        <v/>
      </c>
      <c r="Y453" s="65" t="str">
        <f>+IFERROR(INDEX('Restaurant Base (Hidden)'!$A$2:$Z$1048576,MATCH($C453,'Restaurant Base (Hidden)'!$C$2:$C$1048576,0),MATCH(Y$6,'Restaurant Base (Hidden)'!$A$1:$Z$1,0)),"")</f>
        <v/>
      </c>
      <c r="Z453" s="106" t="str">
        <f>+IFERROR(INDEX('Restaurant Base (Hidden)'!$A$2:$Z$1048576,MATCH($C453,'Restaurant Base (Hidden)'!$C$2:$C$1048576,0),MATCH(Z$6,'Restaurant Base (Hidden)'!$A$1:$Z$1,0)),"")</f>
        <v/>
      </c>
      <c r="AA453" s="65" t="str">
        <f>+IFERROR(INDEX('Restaurant Base (Hidden)'!$A$2:$Z$1048576,MATCH($C453,'Restaurant Base (Hidden)'!$C$2:$C$1048576,0),MATCH(AA$6,'Restaurant Base (Hidden)'!$A$1:$Z$1,0)),"")</f>
        <v/>
      </c>
      <c r="AB453" s="1" t="str">
        <f>+IFERROR(INDEX('Restaurant Base (Hidden)'!$A$2:$Z$1048576,MATCH($C453,'Restaurant Base (Hidden)'!$C$2:$C$1048576,0),MATCH(AB$6,'Restaurant Base (Hidden)'!$A$1:$Z$1,0)),"")</f>
        <v/>
      </c>
      <c r="AC453" s="20" t="str">
        <f>+IFERROR(INDEX('Restaurant Base (Hidden)'!$A$2:$Z$1048576,MATCH($C453,'Restaurant Base (Hidden)'!$C$2:$C$1048576,0),MATCH(AC$6,'Restaurant Base (Hidden)'!$A$1:$Z$1,0)),"")</f>
        <v/>
      </c>
      <c r="AD453" s="65" t="str">
        <f>+IFERROR(INDEX('Restaurant Base (Hidden)'!$A$2:$Z$1048576,MATCH($C453,'Restaurant Base (Hidden)'!$C$2:$C$1048576,0),MATCH(AD$6,'Restaurant Base (Hidden)'!$A$1:$Z$1,0)),"")</f>
        <v/>
      </c>
      <c r="AE453" s="1" t="str">
        <f>+IFERROR(INDEX('Restaurant Base (Hidden)'!$A$2:$Z$1048576,MATCH($C453,'Restaurant Base (Hidden)'!$C$2:$C$1048576,0),MATCH(AE$6,'Restaurant Base (Hidden)'!$A$1:$Z$1,0)),"")</f>
        <v/>
      </c>
      <c r="AF453" s="65" t="str">
        <f>+IFERROR(INDEX('Restaurant Base (Hidden)'!$A$2:$Z$1048576,MATCH($C453,'Restaurant Base (Hidden)'!$C$2:$C$1048576,0),MATCH(AF$6,'Restaurant Base (Hidden)'!$A$1:$Z$1,0)),"")</f>
        <v/>
      </c>
      <c r="AG453" s="1" t="str">
        <f>+IFERROR(INDEX('Restaurant Base (Hidden)'!$A$2:$Z$1048576,MATCH($C453,'Restaurant Base (Hidden)'!$C$2:$C$1048576,0),MATCH(AG$6,'Restaurant Base (Hidden)'!$A$1:$Z$1,0)),"")</f>
        <v/>
      </c>
    </row>
    <row r="454" spans="1:33" ht="16" customHeight="1" x14ac:dyDescent="0.4">
      <c r="A454" s="163" t="str">
        <f>IF('Restaurant Base (Hidden)'!A449=0,"", 'Restaurant Base (Hidden)'!A449)</f>
        <v/>
      </c>
      <c r="B454" s="163" t="str">
        <f>IF('Restaurant Base (Hidden)'!B449=0,"", 'Restaurant Base (Hidden)'!B449)</f>
        <v/>
      </c>
      <c r="C454" s="163" t="str">
        <f>IF('Restaurant Base (Hidden)'!C449=0,"", 'Restaurant Base (Hidden)'!C449)</f>
        <v/>
      </c>
      <c r="D454" s="104" t="str">
        <f t="shared" si="6"/>
        <v/>
      </c>
      <c r="E454" s="105" t="str">
        <f>+IFERROR(INDEX('Restaurant Base (Hidden)'!$A$2:$Z$1048576,MATCH($C454,'Restaurant Base (Hidden)'!$C$2:$C$1048576,0),MATCH(E$6,'Restaurant Base (Hidden)'!$A$1:$Z$1,0)),"")</f>
        <v/>
      </c>
      <c r="F454" s="2" t="str">
        <f>+IFERROR(INDEX('Restaurant Base (Hidden)'!$A$2:$Z$1048576,MATCH($C454,'Restaurant Base (Hidden)'!$C$2:$C$1048576,0),MATCH(F$6,'Restaurant Base (Hidden)'!$A$1:$Z$1,0)),"")</f>
        <v/>
      </c>
      <c r="G454" s="20" t="str">
        <f>+IFERROR(INDEX('Restaurant Base (Hidden)'!$A$2:$Z$1048576,MATCH($C454,'Restaurant Base (Hidden)'!$C$2:$C$1048576,0),MATCH(G$6,'Restaurant Base (Hidden)'!$A$1:$Z$1,0)),"")</f>
        <v/>
      </c>
      <c r="H454" s="50" t="str">
        <f>+IFERROR(INDEX('Restaurant Base (Hidden)'!$A$2:$Z$1048576,MATCH($C454,'Restaurant Base (Hidden)'!$C$2:$C$1048576,0),MATCH(H$6,'Restaurant Base (Hidden)'!$A$1:$Z$1,0)),"")</f>
        <v/>
      </c>
      <c r="I454" s="20" t="str">
        <f>+IFERROR(INDEX('Restaurant Base (Hidden)'!$A$2:$Z$1048576,MATCH($C454,'Restaurant Base (Hidden)'!$C$2:$C$1048576,0),MATCH(I$6,'Restaurant Base (Hidden)'!$A$1:$Z$1,0)),"")</f>
        <v/>
      </c>
      <c r="J454" s="49" t="str">
        <f>+IFERROR(INDEX('Restaurant Base (Hidden)'!$A$2:$Z$1048576,MATCH($C454,'Restaurant Base (Hidden)'!$C$2:$C$1048576,0),MATCH(J$6,'Restaurant Base (Hidden)'!$A$1:$Z$1,0)),"")</f>
        <v/>
      </c>
      <c r="K454" s="20" t="str">
        <f>+IFERROR(INDEX('Restaurant Base (Hidden)'!$A$2:$Z$1048576,MATCH($C454,'Restaurant Base (Hidden)'!$C$2:$C$1048576,0),MATCH(K$6,'Restaurant Base (Hidden)'!$A$1:$Z$1,0)),"")</f>
        <v/>
      </c>
      <c r="L454" s="51" t="str">
        <f>+IFERROR(INDEX('Restaurant Base (Hidden)'!$A$2:$Z$1048576,MATCH($C454,'Restaurant Base (Hidden)'!$C$2:$C$1048576,0),MATCH(L$6,'Restaurant Base (Hidden)'!$A$1:$Z$1,0)),"")</f>
        <v/>
      </c>
      <c r="M454" s="2" t="str">
        <f>+IFERROR(INDEX('Restaurant Base (Hidden)'!$A$2:$Z$1048576,MATCH($C454,'Restaurant Base (Hidden)'!$C$2:$C$1048576,0),MATCH(M$6,'Restaurant Base (Hidden)'!$A$1:$Z$1,0)),"")</f>
        <v/>
      </c>
      <c r="N454" s="234" t="str">
        <f>+IFERROR(INDEX('Restaurant Base (Hidden)'!$A$2:$Z$1048576,MATCH($C454,'Restaurant Base (Hidden)'!$C$2:$C$1048576,0),MATCH(N$6,'Restaurant Base (Hidden)'!$A$1:$Z$1,0)),"")</f>
        <v/>
      </c>
      <c r="O454" s="1" t="str">
        <f>+IFERROR(INDEX('Restaurant Base (Hidden)'!$A$2:$Z$1048576,MATCH($C454,'Restaurant Base (Hidden)'!$C$2:$C$1048576,0),MATCH(O$6,'Restaurant Base (Hidden)'!$A$1:$Z$1,0)),"")</f>
        <v/>
      </c>
      <c r="P454" s="2" t="str">
        <f>+IFERROR(INDEX('Restaurant Base (Hidden)'!$A$2:$Z$1048576,MATCH($C454,'Restaurant Base (Hidden)'!$C$2:$C$1048576,0),MATCH(P$6,'Restaurant Base (Hidden)'!$A$1:$Z$1,0)),"")</f>
        <v/>
      </c>
      <c r="Q454" s="234" t="str">
        <f>+IFERROR(INDEX('Restaurant Base (Hidden)'!$A$2:$Z$1048576,MATCH($C454,'Restaurant Base (Hidden)'!$C$2:$C$1048576,0),MATCH(Q$6,'Restaurant Base (Hidden)'!$A$1:$Z$1,0)),"")</f>
        <v/>
      </c>
      <c r="R454" s="1" t="str">
        <f>+IFERROR(INDEX('Restaurant Base (Hidden)'!$A$2:$Z$1048576,MATCH($C454,'Restaurant Base (Hidden)'!$C$2:$C$1048576,0),MATCH(R$6,'Restaurant Base (Hidden)'!$A$1:$Z$1,0)),"")</f>
        <v/>
      </c>
      <c r="S454" s="2" t="str">
        <f>+IFERROR(INDEX('Restaurant Base (Hidden)'!$A$2:$Z$1048576,MATCH($C454,'Restaurant Base (Hidden)'!$C$2:$C$1048576,0),MATCH(S$6,'Restaurant Base (Hidden)'!$A$1:$Z$1,0)),"")</f>
        <v/>
      </c>
      <c r="T454" s="62" t="str">
        <f>+IFERROR(INDEX('Restaurant Base (Hidden)'!$A$2:$Z$1048576,MATCH($C454,'Restaurant Base (Hidden)'!$C$2:$C$1048576,0),MATCH(T$6,'Restaurant Base (Hidden)'!$A$1:$Z$1,0)),"")</f>
        <v/>
      </c>
      <c r="U454" s="1" t="str">
        <f>+IFERROR(INDEX('Restaurant Base (Hidden)'!$A$2:$Z$1048576,MATCH($C454,'Restaurant Base (Hidden)'!$C$2:$C$1048576,0),MATCH(U$6,'Restaurant Base (Hidden)'!$A$1:$Z$1,0)),"")</f>
        <v/>
      </c>
      <c r="V454" s="2" t="str">
        <f>+IFERROR(INDEX('Restaurant Base (Hidden)'!$A$2:$Z$1048576,MATCH($C454,'Restaurant Base (Hidden)'!$C$2:$C$1048576,0),MATCH(V$6,'Restaurant Base (Hidden)'!$A$1:$Z$1,0)),"")</f>
        <v/>
      </c>
      <c r="W454" s="65" t="str">
        <f>+IFERROR(INDEX('Restaurant Base (Hidden)'!$A$2:$Z$1048576,MATCH($C454,'Restaurant Base (Hidden)'!$C$2:$C$1048576,0),MATCH(W$6,'Restaurant Base (Hidden)'!$A$1:$Z$1,0)),"")</f>
        <v/>
      </c>
      <c r="X454" s="1" t="str">
        <f>+IFERROR(INDEX('Restaurant Base (Hidden)'!$A$2:$Z$1048576,MATCH($C454,'Restaurant Base (Hidden)'!$C$2:$C$1048576,0),MATCH(X$6,'Restaurant Base (Hidden)'!$A$1:$Z$1,0)),"")</f>
        <v/>
      </c>
      <c r="Y454" s="65" t="str">
        <f>+IFERROR(INDEX('Restaurant Base (Hidden)'!$A$2:$Z$1048576,MATCH($C454,'Restaurant Base (Hidden)'!$C$2:$C$1048576,0),MATCH(Y$6,'Restaurant Base (Hidden)'!$A$1:$Z$1,0)),"")</f>
        <v/>
      </c>
      <c r="Z454" s="106" t="str">
        <f>+IFERROR(INDEX('Restaurant Base (Hidden)'!$A$2:$Z$1048576,MATCH($C454,'Restaurant Base (Hidden)'!$C$2:$C$1048576,0),MATCH(Z$6,'Restaurant Base (Hidden)'!$A$1:$Z$1,0)),"")</f>
        <v/>
      </c>
      <c r="AA454" s="65" t="str">
        <f>+IFERROR(INDEX('Restaurant Base (Hidden)'!$A$2:$Z$1048576,MATCH($C454,'Restaurant Base (Hidden)'!$C$2:$C$1048576,0),MATCH(AA$6,'Restaurant Base (Hidden)'!$A$1:$Z$1,0)),"")</f>
        <v/>
      </c>
      <c r="AB454" s="1" t="str">
        <f>+IFERROR(INDEX('Restaurant Base (Hidden)'!$A$2:$Z$1048576,MATCH($C454,'Restaurant Base (Hidden)'!$C$2:$C$1048576,0),MATCH(AB$6,'Restaurant Base (Hidden)'!$A$1:$Z$1,0)),"")</f>
        <v/>
      </c>
      <c r="AC454" s="20" t="str">
        <f>+IFERROR(INDEX('Restaurant Base (Hidden)'!$A$2:$Z$1048576,MATCH($C454,'Restaurant Base (Hidden)'!$C$2:$C$1048576,0),MATCH(AC$6,'Restaurant Base (Hidden)'!$A$1:$Z$1,0)),"")</f>
        <v/>
      </c>
      <c r="AD454" s="65" t="str">
        <f>+IFERROR(INDEX('Restaurant Base (Hidden)'!$A$2:$Z$1048576,MATCH($C454,'Restaurant Base (Hidden)'!$C$2:$C$1048576,0),MATCH(AD$6,'Restaurant Base (Hidden)'!$A$1:$Z$1,0)),"")</f>
        <v/>
      </c>
      <c r="AE454" s="1" t="str">
        <f>+IFERROR(INDEX('Restaurant Base (Hidden)'!$A$2:$Z$1048576,MATCH($C454,'Restaurant Base (Hidden)'!$C$2:$C$1048576,0),MATCH(AE$6,'Restaurant Base (Hidden)'!$A$1:$Z$1,0)),"")</f>
        <v/>
      </c>
      <c r="AF454" s="65" t="str">
        <f>+IFERROR(INDEX('Restaurant Base (Hidden)'!$A$2:$Z$1048576,MATCH($C454,'Restaurant Base (Hidden)'!$C$2:$C$1048576,0),MATCH(AF$6,'Restaurant Base (Hidden)'!$A$1:$Z$1,0)),"")</f>
        <v/>
      </c>
      <c r="AG454" s="1" t="str">
        <f>+IFERROR(INDEX('Restaurant Base (Hidden)'!$A$2:$Z$1048576,MATCH($C454,'Restaurant Base (Hidden)'!$C$2:$C$1048576,0),MATCH(AG$6,'Restaurant Base (Hidden)'!$A$1:$Z$1,0)),"")</f>
        <v/>
      </c>
    </row>
    <row r="455" spans="1:33" ht="16" customHeight="1" x14ac:dyDescent="0.4">
      <c r="A455" s="163" t="str">
        <f>IF('Restaurant Base (Hidden)'!A450=0,"", 'Restaurant Base (Hidden)'!A450)</f>
        <v/>
      </c>
      <c r="B455" s="163" t="str">
        <f>IF('Restaurant Base (Hidden)'!B450=0,"", 'Restaurant Base (Hidden)'!B450)</f>
        <v/>
      </c>
      <c r="C455" s="163" t="str">
        <f>IF('Restaurant Base (Hidden)'!C450=0,"", 'Restaurant Base (Hidden)'!C450)</f>
        <v/>
      </c>
      <c r="D455" s="104" t="str">
        <f t="shared" ref="D455:D459" si="7">+IFERROR(RANK(E455,$E$7:$E$3390,),"")</f>
        <v/>
      </c>
      <c r="E455" s="105" t="str">
        <f>+IFERROR(INDEX('Restaurant Base (Hidden)'!$A$2:$Z$1048576,MATCH($C455,'Restaurant Base (Hidden)'!$C$2:$C$1048576,0),MATCH(E$6,'Restaurant Base (Hidden)'!$A$1:$Z$1,0)),"")</f>
        <v/>
      </c>
      <c r="F455" s="2" t="str">
        <f>+IFERROR(INDEX('Restaurant Base (Hidden)'!$A$2:$Z$1048576,MATCH($C455,'Restaurant Base (Hidden)'!$C$2:$C$1048576,0),MATCH(F$6,'Restaurant Base (Hidden)'!$A$1:$Z$1,0)),"")</f>
        <v/>
      </c>
      <c r="G455" s="20" t="str">
        <f>+IFERROR(INDEX('Restaurant Base (Hidden)'!$A$2:$Z$1048576,MATCH($C455,'Restaurant Base (Hidden)'!$C$2:$C$1048576,0),MATCH(G$6,'Restaurant Base (Hidden)'!$A$1:$Z$1,0)),"")</f>
        <v/>
      </c>
      <c r="H455" s="50" t="str">
        <f>+IFERROR(INDEX('Restaurant Base (Hidden)'!$A$2:$Z$1048576,MATCH($C455,'Restaurant Base (Hidden)'!$C$2:$C$1048576,0),MATCH(H$6,'Restaurant Base (Hidden)'!$A$1:$Z$1,0)),"")</f>
        <v/>
      </c>
      <c r="I455" s="20" t="str">
        <f>+IFERROR(INDEX('Restaurant Base (Hidden)'!$A$2:$Z$1048576,MATCH($C455,'Restaurant Base (Hidden)'!$C$2:$C$1048576,0),MATCH(I$6,'Restaurant Base (Hidden)'!$A$1:$Z$1,0)),"")</f>
        <v/>
      </c>
      <c r="J455" s="49" t="str">
        <f>+IFERROR(INDEX('Restaurant Base (Hidden)'!$A$2:$Z$1048576,MATCH($C455,'Restaurant Base (Hidden)'!$C$2:$C$1048576,0),MATCH(J$6,'Restaurant Base (Hidden)'!$A$1:$Z$1,0)),"")</f>
        <v/>
      </c>
      <c r="K455" s="20" t="str">
        <f>+IFERROR(INDEX('Restaurant Base (Hidden)'!$A$2:$Z$1048576,MATCH($C455,'Restaurant Base (Hidden)'!$C$2:$C$1048576,0),MATCH(K$6,'Restaurant Base (Hidden)'!$A$1:$Z$1,0)),"")</f>
        <v/>
      </c>
      <c r="L455" s="51" t="str">
        <f>+IFERROR(INDEX('Restaurant Base (Hidden)'!$A$2:$Z$1048576,MATCH($C455,'Restaurant Base (Hidden)'!$C$2:$C$1048576,0),MATCH(L$6,'Restaurant Base (Hidden)'!$A$1:$Z$1,0)),"")</f>
        <v/>
      </c>
      <c r="M455" s="2" t="str">
        <f>+IFERROR(INDEX('Restaurant Base (Hidden)'!$A$2:$Z$1048576,MATCH($C455,'Restaurant Base (Hidden)'!$C$2:$C$1048576,0),MATCH(M$6,'Restaurant Base (Hidden)'!$A$1:$Z$1,0)),"")</f>
        <v/>
      </c>
      <c r="N455" s="234" t="str">
        <f>+IFERROR(INDEX('Restaurant Base (Hidden)'!$A$2:$Z$1048576,MATCH($C455,'Restaurant Base (Hidden)'!$C$2:$C$1048576,0),MATCH(N$6,'Restaurant Base (Hidden)'!$A$1:$Z$1,0)),"")</f>
        <v/>
      </c>
      <c r="O455" s="1" t="str">
        <f>+IFERROR(INDEX('Restaurant Base (Hidden)'!$A$2:$Z$1048576,MATCH($C455,'Restaurant Base (Hidden)'!$C$2:$C$1048576,0),MATCH(O$6,'Restaurant Base (Hidden)'!$A$1:$Z$1,0)),"")</f>
        <v/>
      </c>
      <c r="P455" s="2" t="str">
        <f>+IFERROR(INDEX('Restaurant Base (Hidden)'!$A$2:$Z$1048576,MATCH($C455,'Restaurant Base (Hidden)'!$C$2:$C$1048576,0),MATCH(P$6,'Restaurant Base (Hidden)'!$A$1:$Z$1,0)),"")</f>
        <v/>
      </c>
      <c r="Q455" s="234" t="str">
        <f>+IFERROR(INDEX('Restaurant Base (Hidden)'!$A$2:$Z$1048576,MATCH($C455,'Restaurant Base (Hidden)'!$C$2:$C$1048576,0),MATCH(Q$6,'Restaurant Base (Hidden)'!$A$1:$Z$1,0)),"")</f>
        <v/>
      </c>
      <c r="R455" s="1" t="str">
        <f>+IFERROR(INDEX('Restaurant Base (Hidden)'!$A$2:$Z$1048576,MATCH($C455,'Restaurant Base (Hidden)'!$C$2:$C$1048576,0),MATCH(R$6,'Restaurant Base (Hidden)'!$A$1:$Z$1,0)),"")</f>
        <v/>
      </c>
      <c r="S455" s="2" t="str">
        <f>+IFERROR(INDEX('Restaurant Base (Hidden)'!$A$2:$Z$1048576,MATCH($C455,'Restaurant Base (Hidden)'!$C$2:$C$1048576,0),MATCH(S$6,'Restaurant Base (Hidden)'!$A$1:$Z$1,0)),"")</f>
        <v/>
      </c>
      <c r="T455" s="62" t="str">
        <f>+IFERROR(INDEX('Restaurant Base (Hidden)'!$A$2:$Z$1048576,MATCH($C455,'Restaurant Base (Hidden)'!$C$2:$C$1048576,0),MATCH(T$6,'Restaurant Base (Hidden)'!$A$1:$Z$1,0)),"")</f>
        <v/>
      </c>
      <c r="U455" s="1" t="str">
        <f>+IFERROR(INDEX('Restaurant Base (Hidden)'!$A$2:$Z$1048576,MATCH($C455,'Restaurant Base (Hidden)'!$C$2:$C$1048576,0),MATCH(U$6,'Restaurant Base (Hidden)'!$A$1:$Z$1,0)),"")</f>
        <v/>
      </c>
      <c r="V455" s="2" t="str">
        <f>+IFERROR(INDEX('Restaurant Base (Hidden)'!$A$2:$Z$1048576,MATCH($C455,'Restaurant Base (Hidden)'!$C$2:$C$1048576,0),MATCH(V$6,'Restaurant Base (Hidden)'!$A$1:$Z$1,0)),"")</f>
        <v/>
      </c>
      <c r="W455" s="65" t="str">
        <f>+IFERROR(INDEX('Restaurant Base (Hidden)'!$A$2:$Z$1048576,MATCH($C455,'Restaurant Base (Hidden)'!$C$2:$C$1048576,0),MATCH(W$6,'Restaurant Base (Hidden)'!$A$1:$Z$1,0)),"")</f>
        <v/>
      </c>
      <c r="X455" s="1" t="str">
        <f>+IFERROR(INDEX('Restaurant Base (Hidden)'!$A$2:$Z$1048576,MATCH($C455,'Restaurant Base (Hidden)'!$C$2:$C$1048576,0),MATCH(X$6,'Restaurant Base (Hidden)'!$A$1:$Z$1,0)),"")</f>
        <v/>
      </c>
      <c r="Y455" s="65" t="str">
        <f>+IFERROR(INDEX('Restaurant Base (Hidden)'!$A$2:$Z$1048576,MATCH($C455,'Restaurant Base (Hidden)'!$C$2:$C$1048576,0),MATCH(Y$6,'Restaurant Base (Hidden)'!$A$1:$Z$1,0)),"")</f>
        <v/>
      </c>
      <c r="Z455" s="106" t="str">
        <f>+IFERROR(INDEX('Restaurant Base (Hidden)'!$A$2:$Z$1048576,MATCH($C455,'Restaurant Base (Hidden)'!$C$2:$C$1048576,0),MATCH(Z$6,'Restaurant Base (Hidden)'!$A$1:$Z$1,0)),"")</f>
        <v/>
      </c>
      <c r="AA455" s="65" t="str">
        <f>+IFERROR(INDEX('Restaurant Base (Hidden)'!$A$2:$Z$1048576,MATCH($C455,'Restaurant Base (Hidden)'!$C$2:$C$1048576,0),MATCH(AA$6,'Restaurant Base (Hidden)'!$A$1:$Z$1,0)),"")</f>
        <v/>
      </c>
      <c r="AB455" s="1" t="str">
        <f>+IFERROR(INDEX('Restaurant Base (Hidden)'!$A$2:$Z$1048576,MATCH($C455,'Restaurant Base (Hidden)'!$C$2:$C$1048576,0),MATCH(AB$6,'Restaurant Base (Hidden)'!$A$1:$Z$1,0)),"")</f>
        <v/>
      </c>
      <c r="AC455" s="20" t="str">
        <f>+IFERROR(INDEX('Restaurant Base (Hidden)'!$A$2:$Z$1048576,MATCH($C455,'Restaurant Base (Hidden)'!$C$2:$C$1048576,0),MATCH(AC$6,'Restaurant Base (Hidden)'!$A$1:$Z$1,0)),"")</f>
        <v/>
      </c>
      <c r="AD455" s="65" t="str">
        <f>+IFERROR(INDEX('Restaurant Base (Hidden)'!$A$2:$Z$1048576,MATCH($C455,'Restaurant Base (Hidden)'!$C$2:$C$1048576,0),MATCH(AD$6,'Restaurant Base (Hidden)'!$A$1:$Z$1,0)),"")</f>
        <v/>
      </c>
      <c r="AE455" s="1" t="str">
        <f>+IFERROR(INDEX('Restaurant Base (Hidden)'!$A$2:$Z$1048576,MATCH($C455,'Restaurant Base (Hidden)'!$C$2:$C$1048576,0),MATCH(AE$6,'Restaurant Base (Hidden)'!$A$1:$Z$1,0)),"")</f>
        <v/>
      </c>
      <c r="AF455" s="65" t="str">
        <f>+IFERROR(INDEX('Restaurant Base (Hidden)'!$A$2:$Z$1048576,MATCH($C455,'Restaurant Base (Hidden)'!$C$2:$C$1048576,0),MATCH(AF$6,'Restaurant Base (Hidden)'!$A$1:$Z$1,0)),"")</f>
        <v/>
      </c>
      <c r="AG455" s="1" t="str">
        <f>+IFERROR(INDEX('Restaurant Base (Hidden)'!$A$2:$Z$1048576,MATCH($C455,'Restaurant Base (Hidden)'!$C$2:$C$1048576,0),MATCH(AG$6,'Restaurant Base (Hidden)'!$A$1:$Z$1,0)),"")</f>
        <v/>
      </c>
    </row>
    <row r="456" spans="1:33" ht="16" customHeight="1" x14ac:dyDescent="0.4">
      <c r="A456" s="163" t="str">
        <f>IF('Restaurant Base (Hidden)'!A451=0,"", 'Restaurant Base (Hidden)'!A451)</f>
        <v/>
      </c>
      <c r="B456" s="163" t="str">
        <f>IF('Restaurant Base (Hidden)'!B451=0,"", 'Restaurant Base (Hidden)'!B451)</f>
        <v/>
      </c>
      <c r="C456" s="163" t="str">
        <f>IF('Restaurant Base (Hidden)'!C451=0,"", 'Restaurant Base (Hidden)'!C451)</f>
        <v/>
      </c>
      <c r="D456" s="104" t="str">
        <f t="shared" si="7"/>
        <v/>
      </c>
      <c r="E456" s="105" t="str">
        <f>+IFERROR(INDEX('Restaurant Base (Hidden)'!$A$2:$Z$1048576,MATCH($C456,'Restaurant Base (Hidden)'!$C$2:$C$1048576,0),MATCH(E$6,'Restaurant Base (Hidden)'!$A$1:$Z$1,0)),"")</f>
        <v/>
      </c>
      <c r="F456" s="2" t="str">
        <f>+IFERROR(INDEX('Restaurant Base (Hidden)'!$A$2:$Z$1048576,MATCH($C456,'Restaurant Base (Hidden)'!$C$2:$C$1048576,0),MATCH(F$6,'Restaurant Base (Hidden)'!$A$1:$Z$1,0)),"")</f>
        <v/>
      </c>
      <c r="G456" s="20" t="str">
        <f>+IFERROR(INDEX('Restaurant Base (Hidden)'!$A$2:$Z$1048576,MATCH($C456,'Restaurant Base (Hidden)'!$C$2:$C$1048576,0),MATCH(G$6,'Restaurant Base (Hidden)'!$A$1:$Z$1,0)),"")</f>
        <v/>
      </c>
      <c r="H456" s="50" t="str">
        <f>+IFERROR(INDEX('Restaurant Base (Hidden)'!$A$2:$Z$1048576,MATCH($C456,'Restaurant Base (Hidden)'!$C$2:$C$1048576,0),MATCH(H$6,'Restaurant Base (Hidden)'!$A$1:$Z$1,0)),"")</f>
        <v/>
      </c>
      <c r="I456" s="20" t="str">
        <f>+IFERROR(INDEX('Restaurant Base (Hidden)'!$A$2:$Z$1048576,MATCH($C456,'Restaurant Base (Hidden)'!$C$2:$C$1048576,0),MATCH(I$6,'Restaurant Base (Hidden)'!$A$1:$Z$1,0)),"")</f>
        <v/>
      </c>
      <c r="J456" s="49" t="str">
        <f>+IFERROR(INDEX('Restaurant Base (Hidden)'!$A$2:$Z$1048576,MATCH($C456,'Restaurant Base (Hidden)'!$C$2:$C$1048576,0),MATCH(J$6,'Restaurant Base (Hidden)'!$A$1:$Z$1,0)),"")</f>
        <v/>
      </c>
      <c r="K456" s="20" t="str">
        <f>+IFERROR(INDEX('Restaurant Base (Hidden)'!$A$2:$Z$1048576,MATCH($C456,'Restaurant Base (Hidden)'!$C$2:$C$1048576,0),MATCH(K$6,'Restaurant Base (Hidden)'!$A$1:$Z$1,0)),"")</f>
        <v/>
      </c>
      <c r="L456" s="51" t="str">
        <f>+IFERROR(INDEX('Restaurant Base (Hidden)'!$A$2:$Z$1048576,MATCH($C456,'Restaurant Base (Hidden)'!$C$2:$C$1048576,0),MATCH(L$6,'Restaurant Base (Hidden)'!$A$1:$Z$1,0)),"")</f>
        <v/>
      </c>
      <c r="M456" s="2" t="str">
        <f>+IFERROR(INDEX('Restaurant Base (Hidden)'!$A$2:$Z$1048576,MATCH($C456,'Restaurant Base (Hidden)'!$C$2:$C$1048576,0),MATCH(M$6,'Restaurant Base (Hidden)'!$A$1:$Z$1,0)),"")</f>
        <v/>
      </c>
      <c r="N456" s="234" t="str">
        <f>+IFERROR(INDEX('Restaurant Base (Hidden)'!$A$2:$Z$1048576,MATCH($C456,'Restaurant Base (Hidden)'!$C$2:$C$1048576,0),MATCH(N$6,'Restaurant Base (Hidden)'!$A$1:$Z$1,0)),"")</f>
        <v/>
      </c>
      <c r="O456" s="1" t="str">
        <f>+IFERROR(INDEX('Restaurant Base (Hidden)'!$A$2:$Z$1048576,MATCH($C456,'Restaurant Base (Hidden)'!$C$2:$C$1048576,0),MATCH(O$6,'Restaurant Base (Hidden)'!$A$1:$Z$1,0)),"")</f>
        <v/>
      </c>
      <c r="P456" s="2" t="str">
        <f>+IFERROR(INDEX('Restaurant Base (Hidden)'!$A$2:$Z$1048576,MATCH($C456,'Restaurant Base (Hidden)'!$C$2:$C$1048576,0),MATCH(P$6,'Restaurant Base (Hidden)'!$A$1:$Z$1,0)),"")</f>
        <v/>
      </c>
      <c r="Q456" s="234" t="str">
        <f>+IFERROR(INDEX('Restaurant Base (Hidden)'!$A$2:$Z$1048576,MATCH($C456,'Restaurant Base (Hidden)'!$C$2:$C$1048576,0),MATCH(Q$6,'Restaurant Base (Hidden)'!$A$1:$Z$1,0)),"")</f>
        <v/>
      </c>
      <c r="R456" s="1" t="str">
        <f>+IFERROR(INDEX('Restaurant Base (Hidden)'!$A$2:$Z$1048576,MATCH($C456,'Restaurant Base (Hidden)'!$C$2:$C$1048576,0),MATCH(R$6,'Restaurant Base (Hidden)'!$A$1:$Z$1,0)),"")</f>
        <v/>
      </c>
      <c r="S456" s="2" t="str">
        <f>+IFERROR(INDEX('Restaurant Base (Hidden)'!$A$2:$Z$1048576,MATCH($C456,'Restaurant Base (Hidden)'!$C$2:$C$1048576,0),MATCH(S$6,'Restaurant Base (Hidden)'!$A$1:$Z$1,0)),"")</f>
        <v/>
      </c>
      <c r="T456" s="62" t="str">
        <f>+IFERROR(INDEX('Restaurant Base (Hidden)'!$A$2:$Z$1048576,MATCH($C456,'Restaurant Base (Hidden)'!$C$2:$C$1048576,0),MATCH(T$6,'Restaurant Base (Hidden)'!$A$1:$Z$1,0)),"")</f>
        <v/>
      </c>
      <c r="U456" s="1" t="str">
        <f>+IFERROR(INDEX('Restaurant Base (Hidden)'!$A$2:$Z$1048576,MATCH($C456,'Restaurant Base (Hidden)'!$C$2:$C$1048576,0),MATCH(U$6,'Restaurant Base (Hidden)'!$A$1:$Z$1,0)),"")</f>
        <v/>
      </c>
      <c r="V456" s="2" t="str">
        <f>+IFERROR(INDEX('Restaurant Base (Hidden)'!$A$2:$Z$1048576,MATCH($C456,'Restaurant Base (Hidden)'!$C$2:$C$1048576,0),MATCH(V$6,'Restaurant Base (Hidden)'!$A$1:$Z$1,0)),"")</f>
        <v/>
      </c>
      <c r="W456" s="65" t="str">
        <f>+IFERROR(INDEX('Restaurant Base (Hidden)'!$A$2:$Z$1048576,MATCH($C456,'Restaurant Base (Hidden)'!$C$2:$C$1048576,0),MATCH(W$6,'Restaurant Base (Hidden)'!$A$1:$Z$1,0)),"")</f>
        <v/>
      </c>
      <c r="X456" s="1" t="str">
        <f>+IFERROR(INDEX('Restaurant Base (Hidden)'!$A$2:$Z$1048576,MATCH($C456,'Restaurant Base (Hidden)'!$C$2:$C$1048576,0),MATCH(X$6,'Restaurant Base (Hidden)'!$A$1:$Z$1,0)),"")</f>
        <v/>
      </c>
      <c r="Y456" s="65" t="str">
        <f>+IFERROR(INDEX('Restaurant Base (Hidden)'!$A$2:$Z$1048576,MATCH($C456,'Restaurant Base (Hidden)'!$C$2:$C$1048576,0),MATCH(Y$6,'Restaurant Base (Hidden)'!$A$1:$Z$1,0)),"")</f>
        <v/>
      </c>
      <c r="Z456" s="106" t="str">
        <f>+IFERROR(INDEX('Restaurant Base (Hidden)'!$A$2:$Z$1048576,MATCH($C456,'Restaurant Base (Hidden)'!$C$2:$C$1048576,0),MATCH(Z$6,'Restaurant Base (Hidden)'!$A$1:$Z$1,0)),"")</f>
        <v/>
      </c>
      <c r="AA456" s="65" t="str">
        <f>+IFERROR(INDEX('Restaurant Base (Hidden)'!$A$2:$Z$1048576,MATCH($C456,'Restaurant Base (Hidden)'!$C$2:$C$1048576,0),MATCH(AA$6,'Restaurant Base (Hidden)'!$A$1:$Z$1,0)),"")</f>
        <v/>
      </c>
      <c r="AB456" s="1" t="str">
        <f>+IFERROR(INDEX('Restaurant Base (Hidden)'!$A$2:$Z$1048576,MATCH($C456,'Restaurant Base (Hidden)'!$C$2:$C$1048576,0),MATCH(AB$6,'Restaurant Base (Hidden)'!$A$1:$Z$1,0)),"")</f>
        <v/>
      </c>
      <c r="AC456" s="20" t="str">
        <f>+IFERROR(INDEX('Restaurant Base (Hidden)'!$A$2:$Z$1048576,MATCH($C456,'Restaurant Base (Hidden)'!$C$2:$C$1048576,0),MATCH(AC$6,'Restaurant Base (Hidden)'!$A$1:$Z$1,0)),"")</f>
        <v/>
      </c>
      <c r="AD456" s="65" t="str">
        <f>+IFERROR(INDEX('Restaurant Base (Hidden)'!$A$2:$Z$1048576,MATCH($C456,'Restaurant Base (Hidden)'!$C$2:$C$1048576,0),MATCH(AD$6,'Restaurant Base (Hidden)'!$A$1:$Z$1,0)),"")</f>
        <v/>
      </c>
      <c r="AE456" s="1" t="str">
        <f>+IFERROR(INDEX('Restaurant Base (Hidden)'!$A$2:$Z$1048576,MATCH($C456,'Restaurant Base (Hidden)'!$C$2:$C$1048576,0),MATCH(AE$6,'Restaurant Base (Hidden)'!$A$1:$Z$1,0)),"")</f>
        <v/>
      </c>
      <c r="AF456" s="65" t="str">
        <f>+IFERROR(INDEX('Restaurant Base (Hidden)'!$A$2:$Z$1048576,MATCH($C456,'Restaurant Base (Hidden)'!$C$2:$C$1048576,0),MATCH(AF$6,'Restaurant Base (Hidden)'!$A$1:$Z$1,0)),"")</f>
        <v/>
      </c>
      <c r="AG456" s="1" t="str">
        <f>+IFERROR(INDEX('Restaurant Base (Hidden)'!$A$2:$Z$1048576,MATCH($C456,'Restaurant Base (Hidden)'!$C$2:$C$1048576,0),MATCH(AG$6,'Restaurant Base (Hidden)'!$A$1:$Z$1,0)),"")</f>
        <v/>
      </c>
    </row>
    <row r="457" spans="1:33" ht="16" customHeight="1" x14ac:dyDescent="0.4">
      <c r="A457" s="163" t="str">
        <f>IF('Restaurant Base (Hidden)'!A452=0,"", 'Restaurant Base (Hidden)'!A452)</f>
        <v/>
      </c>
      <c r="B457" s="163" t="str">
        <f>IF('Restaurant Base (Hidden)'!B452=0,"", 'Restaurant Base (Hidden)'!B452)</f>
        <v/>
      </c>
      <c r="C457" s="163" t="str">
        <f>IF('Restaurant Base (Hidden)'!C452=0,"", 'Restaurant Base (Hidden)'!C452)</f>
        <v/>
      </c>
      <c r="D457" s="104" t="str">
        <f t="shared" si="7"/>
        <v/>
      </c>
      <c r="E457" s="105" t="str">
        <f>+IFERROR(INDEX('Restaurant Base (Hidden)'!$A$2:$Z$1048576,MATCH($C457,'Restaurant Base (Hidden)'!$C$2:$C$1048576,0),MATCH(E$6,'Restaurant Base (Hidden)'!$A$1:$Z$1,0)),"")</f>
        <v/>
      </c>
      <c r="F457" s="2" t="str">
        <f>+IFERROR(INDEX('Restaurant Base (Hidden)'!$A$2:$Z$1048576,MATCH($C457,'Restaurant Base (Hidden)'!$C$2:$C$1048576,0),MATCH(F$6,'Restaurant Base (Hidden)'!$A$1:$Z$1,0)),"")</f>
        <v/>
      </c>
      <c r="G457" s="20" t="str">
        <f>+IFERROR(INDEX('Restaurant Base (Hidden)'!$A$2:$Z$1048576,MATCH($C457,'Restaurant Base (Hidden)'!$C$2:$C$1048576,0),MATCH(G$6,'Restaurant Base (Hidden)'!$A$1:$Z$1,0)),"")</f>
        <v/>
      </c>
      <c r="H457" s="50" t="str">
        <f>+IFERROR(INDEX('Restaurant Base (Hidden)'!$A$2:$Z$1048576,MATCH($C457,'Restaurant Base (Hidden)'!$C$2:$C$1048576,0),MATCH(H$6,'Restaurant Base (Hidden)'!$A$1:$Z$1,0)),"")</f>
        <v/>
      </c>
      <c r="I457" s="20" t="str">
        <f>+IFERROR(INDEX('Restaurant Base (Hidden)'!$A$2:$Z$1048576,MATCH($C457,'Restaurant Base (Hidden)'!$C$2:$C$1048576,0),MATCH(I$6,'Restaurant Base (Hidden)'!$A$1:$Z$1,0)),"")</f>
        <v/>
      </c>
      <c r="J457" s="49" t="str">
        <f>+IFERROR(INDEX('Restaurant Base (Hidden)'!$A$2:$Z$1048576,MATCH($C457,'Restaurant Base (Hidden)'!$C$2:$C$1048576,0),MATCH(J$6,'Restaurant Base (Hidden)'!$A$1:$Z$1,0)),"")</f>
        <v/>
      </c>
      <c r="K457" s="20" t="str">
        <f>+IFERROR(INDEX('Restaurant Base (Hidden)'!$A$2:$Z$1048576,MATCH($C457,'Restaurant Base (Hidden)'!$C$2:$C$1048576,0),MATCH(K$6,'Restaurant Base (Hidden)'!$A$1:$Z$1,0)),"")</f>
        <v/>
      </c>
      <c r="L457" s="51" t="str">
        <f>+IFERROR(INDEX('Restaurant Base (Hidden)'!$A$2:$Z$1048576,MATCH($C457,'Restaurant Base (Hidden)'!$C$2:$C$1048576,0),MATCH(L$6,'Restaurant Base (Hidden)'!$A$1:$Z$1,0)),"")</f>
        <v/>
      </c>
      <c r="M457" s="2" t="str">
        <f>+IFERROR(INDEX('Restaurant Base (Hidden)'!$A$2:$Z$1048576,MATCH($C457,'Restaurant Base (Hidden)'!$C$2:$C$1048576,0),MATCH(M$6,'Restaurant Base (Hidden)'!$A$1:$Z$1,0)),"")</f>
        <v/>
      </c>
      <c r="N457" s="234" t="str">
        <f>+IFERROR(INDEX('Restaurant Base (Hidden)'!$A$2:$Z$1048576,MATCH($C457,'Restaurant Base (Hidden)'!$C$2:$C$1048576,0),MATCH(N$6,'Restaurant Base (Hidden)'!$A$1:$Z$1,0)),"")</f>
        <v/>
      </c>
      <c r="O457" s="1" t="str">
        <f>+IFERROR(INDEX('Restaurant Base (Hidden)'!$A$2:$Z$1048576,MATCH($C457,'Restaurant Base (Hidden)'!$C$2:$C$1048576,0),MATCH(O$6,'Restaurant Base (Hidden)'!$A$1:$Z$1,0)),"")</f>
        <v/>
      </c>
      <c r="P457" s="2" t="str">
        <f>+IFERROR(INDEX('Restaurant Base (Hidden)'!$A$2:$Z$1048576,MATCH($C457,'Restaurant Base (Hidden)'!$C$2:$C$1048576,0),MATCH(P$6,'Restaurant Base (Hidden)'!$A$1:$Z$1,0)),"")</f>
        <v/>
      </c>
      <c r="Q457" s="234" t="str">
        <f>+IFERROR(INDEX('Restaurant Base (Hidden)'!$A$2:$Z$1048576,MATCH($C457,'Restaurant Base (Hidden)'!$C$2:$C$1048576,0),MATCH(Q$6,'Restaurant Base (Hidden)'!$A$1:$Z$1,0)),"")</f>
        <v/>
      </c>
      <c r="R457" s="1" t="str">
        <f>+IFERROR(INDEX('Restaurant Base (Hidden)'!$A$2:$Z$1048576,MATCH($C457,'Restaurant Base (Hidden)'!$C$2:$C$1048576,0),MATCH(R$6,'Restaurant Base (Hidden)'!$A$1:$Z$1,0)),"")</f>
        <v/>
      </c>
      <c r="S457" s="2" t="str">
        <f>+IFERROR(INDEX('Restaurant Base (Hidden)'!$A$2:$Z$1048576,MATCH($C457,'Restaurant Base (Hidden)'!$C$2:$C$1048576,0),MATCH(S$6,'Restaurant Base (Hidden)'!$A$1:$Z$1,0)),"")</f>
        <v/>
      </c>
      <c r="T457" s="62" t="str">
        <f>+IFERROR(INDEX('Restaurant Base (Hidden)'!$A$2:$Z$1048576,MATCH($C457,'Restaurant Base (Hidden)'!$C$2:$C$1048576,0),MATCH(T$6,'Restaurant Base (Hidden)'!$A$1:$Z$1,0)),"")</f>
        <v/>
      </c>
      <c r="U457" s="1" t="str">
        <f>+IFERROR(INDEX('Restaurant Base (Hidden)'!$A$2:$Z$1048576,MATCH($C457,'Restaurant Base (Hidden)'!$C$2:$C$1048576,0),MATCH(U$6,'Restaurant Base (Hidden)'!$A$1:$Z$1,0)),"")</f>
        <v/>
      </c>
      <c r="V457" s="2" t="str">
        <f>+IFERROR(INDEX('Restaurant Base (Hidden)'!$A$2:$Z$1048576,MATCH($C457,'Restaurant Base (Hidden)'!$C$2:$C$1048576,0),MATCH(V$6,'Restaurant Base (Hidden)'!$A$1:$Z$1,0)),"")</f>
        <v/>
      </c>
      <c r="W457" s="65" t="str">
        <f>+IFERROR(INDEX('Restaurant Base (Hidden)'!$A$2:$Z$1048576,MATCH($C457,'Restaurant Base (Hidden)'!$C$2:$C$1048576,0),MATCH(W$6,'Restaurant Base (Hidden)'!$A$1:$Z$1,0)),"")</f>
        <v/>
      </c>
      <c r="X457" s="1" t="str">
        <f>+IFERROR(INDEX('Restaurant Base (Hidden)'!$A$2:$Z$1048576,MATCH($C457,'Restaurant Base (Hidden)'!$C$2:$C$1048576,0),MATCH(X$6,'Restaurant Base (Hidden)'!$A$1:$Z$1,0)),"")</f>
        <v/>
      </c>
      <c r="Y457" s="65" t="str">
        <f>+IFERROR(INDEX('Restaurant Base (Hidden)'!$A$2:$Z$1048576,MATCH($C457,'Restaurant Base (Hidden)'!$C$2:$C$1048576,0),MATCH(Y$6,'Restaurant Base (Hidden)'!$A$1:$Z$1,0)),"")</f>
        <v/>
      </c>
      <c r="Z457" s="106" t="str">
        <f>+IFERROR(INDEX('Restaurant Base (Hidden)'!$A$2:$Z$1048576,MATCH($C457,'Restaurant Base (Hidden)'!$C$2:$C$1048576,0),MATCH(Z$6,'Restaurant Base (Hidden)'!$A$1:$Z$1,0)),"")</f>
        <v/>
      </c>
      <c r="AA457" s="65" t="str">
        <f>+IFERROR(INDEX('Restaurant Base (Hidden)'!$A$2:$Z$1048576,MATCH($C457,'Restaurant Base (Hidden)'!$C$2:$C$1048576,0),MATCH(AA$6,'Restaurant Base (Hidden)'!$A$1:$Z$1,0)),"")</f>
        <v/>
      </c>
      <c r="AB457" s="1" t="str">
        <f>+IFERROR(INDEX('Restaurant Base (Hidden)'!$A$2:$Z$1048576,MATCH($C457,'Restaurant Base (Hidden)'!$C$2:$C$1048576,0),MATCH(AB$6,'Restaurant Base (Hidden)'!$A$1:$Z$1,0)),"")</f>
        <v/>
      </c>
      <c r="AC457" s="20" t="str">
        <f>+IFERROR(INDEX('Restaurant Base (Hidden)'!$A$2:$Z$1048576,MATCH($C457,'Restaurant Base (Hidden)'!$C$2:$C$1048576,0),MATCH(AC$6,'Restaurant Base (Hidden)'!$A$1:$Z$1,0)),"")</f>
        <v/>
      </c>
      <c r="AD457" s="65" t="str">
        <f>+IFERROR(INDEX('Restaurant Base (Hidden)'!$A$2:$Z$1048576,MATCH($C457,'Restaurant Base (Hidden)'!$C$2:$C$1048576,0),MATCH(AD$6,'Restaurant Base (Hidden)'!$A$1:$Z$1,0)),"")</f>
        <v/>
      </c>
      <c r="AE457" s="1" t="str">
        <f>+IFERROR(INDEX('Restaurant Base (Hidden)'!$A$2:$Z$1048576,MATCH($C457,'Restaurant Base (Hidden)'!$C$2:$C$1048576,0),MATCH(AE$6,'Restaurant Base (Hidden)'!$A$1:$Z$1,0)),"")</f>
        <v/>
      </c>
      <c r="AF457" s="65" t="str">
        <f>+IFERROR(INDEX('Restaurant Base (Hidden)'!$A$2:$Z$1048576,MATCH($C457,'Restaurant Base (Hidden)'!$C$2:$C$1048576,0),MATCH(AF$6,'Restaurant Base (Hidden)'!$A$1:$Z$1,0)),"")</f>
        <v/>
      </c>
      <c r="AG457" s="1" t="str">
        <f>+IFERROR(INDEX('Restaurant Base (Hidden)'!$A$2:$Z$1048576,MATCH($C457,'Restaurant Base (Hidden)'!$C$2:$C$1048576,0),MATCH(AG$6,'Restaurant Base (Hidden)'!$A$1:$Z$1,0)),"")</f>
        <v/>
      </c>
    </row>
    <row r="458" spans="1:33" ht="16" customHeight="1" x14ac:dyDescent="0.4">
      <c r="A458" s="163" t="str">
        <f>IF('Restaurant Base (Hidden)'!A453=0,"", 'Restaurant Base (Hidden)'!A453)</f>
        <v/>
      </c>
      <c r="B458" s="163" t="str">
        <f>IF('Restaurant Base (Hidden)'!B453=0,"", 'Restaurant Base (Hidden)'!B453)</f>
        <v/>
      </c>
      <c r="C458" s="163" t="str">
        <f>IF('Restaurant Base (Hidden)'!C453=0,"", 'Restaurant Base (Hidden)'!C453)</f>
        <v/>
      </c>
      <c r="D458" s="104" t="str">
        <f t="shared" si="7"/>
        <v/>
      </c>
      <c r="E458" s="105" t="str">
        <f>+IFERROR(INDEX('Restaurant Base (Hidden)'!$A$2:$Z$1048576,MATCH($C458,'Restaurant Base (Hidden)'!$C$2:$C$1048576,0),MATCH(E$6,'Restaurant Base (Hidden)'!$A$1:$Z$1,0)),"")</f>
        <v/>
      </c>
      <c r="F458" s="2" t="str">
        <f>+IFERROR(INDEX('Restaurant Base (Hidden)'!$A$2:$Z$1048576,MATCH($C458,'Restaurant Base (Hidden)'!$C$2:$C$1048576,0),MATCH(F$6,'Restaurant Base (Hidden)'!$A$1:$Z$1,0)),"")</f>
        <v/>
      </c>
      <c r="G458" s="20" t="str">
        <f>+IFERROR(INDEX('Restaurant Base (Hidden)'!$A$2:$Z$1048576,MATCH($C458,'Restaurant Base (Hidden)'!$C$2:$C$1048576,0),MATCH(G$6,'Restaurant Base (Hidden)'!$A$1:$Z$1,0)),"")</f>
        <v/>
      </c>
      <c r="H458" s="50" t="str">
        <f>+IFERROR(INDEX('Restaurant Base (Hidden)'!$A$2:$Z$1048576,MATCH($C458,'Restaurant Base (Hidden)'!$C$2:$C$1048576,0),MATCH(H$6,'Restaurant Base (Hidden)'!$A$1:$Z$1,0)),"")</f>
        <v/>
      </c>
      <c r="I458" s="20" t="str">
        <f>+IFERROR(INDEX('Restaurant Base (Hidden)'!$A$2:$Z$1048576,MATCH($C458,'Restaurant Base (Hidden)'!$C$2:$C$1048576,0),MATCH(I$6,'Restaurant Base (Hidden)'!$A$1:$Z$1,0)),"")</f>
        <v/>
      </c>
      <c r="J458" s="49" t="str">
        <f>+IFERROR(INDEX('Restaurant Base (Hidden)'!$A$2:$Z$1048576,MATCH($C458,'Restaurant Base (Hidden)'!$C$2:$C$1048576,0),MATCH(J$6,'Restaurant Base (Hidden)'!$A$1:$Z$1,0)),"")</f>
        <v/>
      </c>
      <c r="K458" s="20" t="str">
        <f>+IFERROR(INDEX('Restaurant Base (Hidden)'!$A$2:$Z$1048576,MATCH($C458,'Restaurant Base (Hidden)'!$C$2:$C$1048576,0),MATCH(K$6,'Restaurant Base (Hidden)'!$A$1:$Z$1,0)),"")</f>
        <v/>
      </c>
      <c r="L458" s="51" t="str">
        <f>+IFERROR(INDEX('Restaurant Base (Hidden)'!$A$2:$Z$1048576,MATCH($C458,'Restaurant Base (Hidden)'!$C$2:$C$1048576,0),MATCH(L$6,'Restaurant Base (Hidden)'!$A$1:$Z$1,0)),"")</f>
        <v/>
      </c>
      <c r="M458" s="2" t="str">
        <f>+IFERROR(INDEX('Restaurant Base (Hidden)'!$A$2:$Z$1048576,MATCH($C458,'Restaurant Base (Hidden)'!$C$2:$C$1048576,0),MATCH(M$6,'Restaurant Base (Hidden)'!$A$1:$Z$1,0)),"")</f>
        <v/>
      </c>
      <c r="N458" s="234" t="str">
        <f>+IFERROR(INDEX('Restaurant Base (Hidden)'!$A$2:$Z$1048576,MATCH($C458,'Restaurant Base (Hidden)'!$C$2:$C$1048576,0),MATCH(N$6,'Restaurant Base (Hidden)'!$A$1:$Z$1,0)),"")</f>
        <v/>
      </c>
      <c r="O458" s="1" t="str">
        <f>+IFERROR(INDEX('Restaurant Base (Hidden)'!$A$2:$Z$1048576,MATCH($C458,'Restaurant Base (Hidden)'!$C$2:$C$1048576,0),MATCH(O$6,'Restaurant Base (Hidden)'!$A$1:$Z$1,0)),"")</f>
        <v/>
      </c>
      <c r="P458" s="2" t="str">
        <f>+IFERROR(INDEX('Restaurant Base (Hidden)'!$A$2:$Z$1048576,MATCH($C458,'Restaurant Base (Hidden)'!$C$2:$C$1048576,0),MATCH(P$6,'Restaurant Base (Hidden)'!$A$1:$Z$1,0)),"")</f>
        <v/>
      </c>
      <c r="Q458" s="234" t="str">
        <f>+IFERROR(INDEX('Restaurant Base (Hidden)'!$A$2:$Z$1048576,MATCH($C458,'Restaurant Base (Hidden)'!$C$2:$C$1048576,0),MATCH(Q$6,'Restaurant Base (Hidden)'!$A$1:$Z$1,0)),"")</f>
        <v/>
      </c>
      <c r="R458" s="1" t="str">
        <f>+IFERROR(INDEX('Restaurant Base (Hidden)'!$A$2:$Z$1048576,MATCH($C458,'Restaurant Base (Hidden)'!$C$2:$C$1048576,0),MATCH(R$6,'Restaurant Base (Hidden)'!$A$1:$Z$1,0)),"")</f>
        <v/>
      </c>
      <c r="S458" s="2" t="str">
        <f>+IFERROR(INDEX('Restaurant Base (Hidden)'!$A$2:$Z$1048576,MATCH($C458,'Restaurant Base (Hidden)'!$C$2:$C$1048576,0),MATCH(S$6,'Restaurant Base (Hidden)'!$A$1:$Z$1,0)),"")</f>
        <v/>
      </c>
      <c r="T458" s="62" t="str">
        <f>+IFERROR(INDEX('Restaurant Base (Hidden)'!$A$2:$Z$1048576,MATCH($C458,'Restaurant Base (Hidden)'!$C$2:$C$1048576,0),MATCH(T$6,'Restaurant Base (Hidden)'!$A$1:$Z$1,0)),"")</f>
        <v/>
      </c>
      <c r="U458" s="1" t="str">
        <f>+IFERROR(INDEX('Restaurant Base (Hidden)'!$A$2:$Z$1048576,MATCH($C458,'Restaurant Base (Hidden)'!$C$2:$C$1048576,0),MATCH(U$6,'Restaurant Base (Hidden)'!$A$1:$Z$1,0)),"")</f>
        <v/>
      </c>
      <c r="V458" s="2" t="str">
        <f>+IFERROR(INDEX('Restaurant Base (Hidden)'!$A$2:$Z$1048576,MATCH($C458,'Restaurant Base (Hidden)'!$C$2:$C$1048576,0),MATCH(V$6,'Restaurant Base (Hidden)'!$A$1:$Z$1,0)),"")</f>
        <v/>
      </c>
      <c r="W458" s="65" t="str">
        <f>+IFERROR(INDEX('Restaurant Base (Hidden)'!$A$2:$Z$1048576,MATCH($C458,'Restaurant Base (Hidden)'!$C$2:$C$1048576,0),MATCH(W$6,'Restaurant Base (Hidden)'!$A$1:$Z$1,0)),"")</f>
        <v/>
      </c>
      <c r="X458" s="1" t="str">
        <f>+IFERROR(INDEX('Restaurant Base (Hidden)'!$A$2:$Z$1048576,MATCH($C458,'Restaurant Base (Hidden)'!$C$2:$C$1048576,0),MATCH(X$6,'Restaurant Base (Hidden)'!$A$1:$Z$1,0)),"")</f>
        <v/>
      </c>
      <c r="Y458" s="65" t="str">
        <f>+IFERROR(INDEX('Restaurant Base (Hidden)'!$A$2:$Z$1048576,MATCH($C458,'Restaurant Base (Hidden)'!$C$2:$C$1048576,0),MATCH(Y$6,'Restaurant Base (Hidden)'!$A$1:$Z$1,0)),"")</f>
        <v/>
      </c>
      <c r="Z458" s="106" t="str">
        <f>+IFERROR(INDEX('Restaurant Base (Hidden)'!$A$2:$Z$1048576,MATCH($C458,'Restaurant Base (Hidden)'!$C$2:$C$1048576,0),MATCH(Z$6,'Restaurant Base (Hidden)'!$A$1:$Z$1,0)),"")</f>
        <v/>
      </c>
      <c r="AA458" s="65" t="str">
        <f>+IFERROR(INDEX('Restaurant Base (Hidden)'!$A$2:$Z$1048576,MATCH($C458,'Restaurant Base (Hidden)'!$C$2:$C$1048576,0),MATCH(AA$6,'Restaurant Base (Hidden)'!$A$1:$Z$1,0)),"")</f>
        <v/>
      </c>
      <c r="AB458" s="1" t="str">
        <f>+IFERROR(INDEX('Restaurant Base (Hidden)'!$A$2:$Z$1048576,MATCH($C458,'Restaurant Base (Hidden)'!$C$2:$C$1048576,0),MATCH(AB$6,'Restaurant Base (Hidden)'!$A$1:$Z$1,0)),"")</f>
        <v/>
      </c>
      <c r="AC458" s="20" t="str">
        <f>+IFERROR(INDEX('Restaurant Base (Hidden)'!$A$2:$Z$1048576,MATCH($C458,'Restaurant Base (Hidden)'!$C$2:$C$1048576,0),MATCH(AC$6,'Restaurant Base (Hidden)'!$A$1:$Z$1,0)),"")</f>
        <v/>
      </c>
      <c r="AD458" s="65" t="str">
        <f>+IFERROR(INDEX('Restaurant Base (Hidden)'!$A$2:$Z$1048576,MATCH($C458,'Restaurant Base (Hidden)'!$C$2:$C$1048576,0),MATCH(AD$6,'Restaurant Base (Hidden)'!$A$1:$Z$1,0)),"")</f>
        <v/>
      </c>
      <c r="AE458" s="1" t="str">
        <f>+IFERROR(INDEX('Restaurant Base (Hidden)'!$A$2:$Z$1048576,MATCH($C458,'Restaurant Base (Hidden)'!$C$2:$C$1048576,0),MATCH(AE$6,'Restaurant Base (Hidden)'!$A$1:$Z$1,0)),"")</f>
        <v/>
      </c>
      <c r="AF458" s="65" t="str">
        <f>+IFERROR(INDEX('Restaurant Base (Hidden)'!$A$2:$Z$1048576,MATCH($C458,'Restaurant Base (Hidden)'!$C$2:$C$1048576,0),MATCH(AF$6,'Restaurant Base (Hidden)'!$A$1:$Z$1,0)),"")</f>
        <v/>
      </c>
      <c r="AG458" s="1" t="str">
        <f>+IFERROR(INDEX('Restaurant Base (Hidden)'!$A$2:$Z$1048576,MATCH($C458,'Restaurant Base (Hidden)'!$C$2:$C$1048576,0),MATCH(AG$6,'Restaurant Base (Hidden)'!$A$1:$Z$1,0)),"")</f>
        <v/>
      </c>
    </row>
    <row r="459" spans="1:33" ht="16" customHeight="1" x14ac:dyDescent="0.4">
      <c r="A459" s="163" t="str">
        <f>IF('Restaurant Base (Hidden)'!A454=0,"", 'Restaurant Base (Hidden)'!A454)</f>
        <v/>
      </c>
      <c r="B459" s="163" t="str">
        <f>IF('Restaurant Base (Hidden)'!B454=0,"", 'Restaurant Base (Hidden)'!B454)</f>
        <v/>
      </c>
      <c r="C459" s="163" t="str">
        <f>IF('Restaurant Base (Hidden)'!C454=0,"", 'Restaurant Base (Hidden)'!C454)</f>
        <v/>
      </c>
      <c r="D459" s="104" t="str">
        <f t="shared" si="7"/>
        <v/>
      </c>
      <c r="E459" s="105" t="str">
        <f>+IFERROR(INDEX('Restaurant Base (Hidden)'!$A$2:$Z$1048576,MATCH($C459,'Restaurant Base (Hidden)'!$C$2:$C$1048576,0),MATCH(E$6,'Restaurant Base (Hidden)'!$A$1:$Z$1,0)),"")</f>
        <v/>
      </c>
      <c r="F459" s="2" t="str">
        <f>+IFERROR(INDEX('Restaurant Base (Hidden)'!$A$2:$Z$1048576,MATCH($C459,'Restaurant Base (Hidden)'!$C$2:$C$1048576,0),MATCH(F$6,'Restaurant Base (Hidden)'!$A$1:$Z$1,0)),"")</f>
        <v/>
      </c>
      <c r="G459" s="20" t="str">
        <f>+IFERROR(INDEX('Restaurant Base (Hidden)'!$A$2:$Z$1048576,MATCH($C459,'Restaurant Base (Hidden)'!$C$2:$C$1048576,0),MATCH(G$6,'Restaurant Base (Hidden)'!$A$1:$Z$1,0)),"")</f>
        <v/>
      </c>
      <c r="H459" s="50" t="str">
        <f>+IFERROR(INDEX('Restaurant Base (Hidden)'!$A$2:$Z$1048576,MATCH($C459,'Restaurant Base (Hidden)'!$C$2:$C$1048576,0),MATCH(H$6,'Restaurant Base (Hidden)'!$A$1:$Z$1,0)),"")</f>
        <v/>
      </c>
      <c r="I459" s="20" t="str">
        <f>+IFERROR(INDEX('Restaurant Base (Hidden)'!$A$2:$Z$1048576,MATCH($C459,'Restaurant Base (Hidden)'!$C$2:$C$1048576,0),MATCH(I$6,'Restaurant Base (Hidden)'!$A$1:$Z$1,0)),"")</f>
        <v/>
      </c>
      <c r="J459" s="49" t="str">
        <f>+IFERROR(INDEX('Restaurant Base (Hidden)'!$A$2:$Z$1048576,MATCH($C459,'Restaurant Base (Hidden)'!$C$2:$C$1048576,0),MATCH(J$6,'Restaurant Base (Hidden)'!$A$1:$Z$1,0)),"")</f>
        <v/>
      </c>
      <c r="K459" s="20" t="str">
        <f>+IFERROR(INDEX('Restaurant Base (Hidden)'!$A$2:$Z$1048576,MATCH($C459,'Restaurant Base (Hidden)'!$C$2:$C$1048576,0),MATCH(K$6,'Restaurant Base (Hidden)'!$A$1:$Z$1,0)),"")</f>
        <v/>
      </c>
      <c r="L459" s="51" t="str">
        <f>+IFERROR(INDEX('Restaurant Base (Hidden)'!$A$2:$Z$1048576,MATCH($C459,'Restaurant Base (Hidden)'!$C$2:$C$1048576,0),MATCH(L$6,'Restaurant Base (Hidden)'!$A$1:$Z$1,0)),"")</f>
        <v/>
      </c>
      <c r="M459" s="2" t="str">
        <f>+IFERROR(INDEX('Restaurant Base (Hidden)'!$A$2:$Z$1048576,MATCH($C459,'Restaurant Base (Hidden)'!$C$2:$C$1048576,0),MATCH(M$6,'Restaurant Base (Hidden)'!$A$1:$Z$1,0)),"")</f>
        <v/>
      </c>
      <c r="N459" s="234" t="str">
        <f>+IFERROR(INDEX('Restaurant Base (Hidden)'!$A$2:$Z$1048576,MATCH($C459,'Restaurant Base (Hidden)'!$C$2:$C$1048576,0),MATCH(N$6,'Restaurant Base (Hidden)'!$A$1:$Z$1,0)),"")</f>
        <v/>
      </c>
      <c r="O459" s="1" t="str">
        <f>+IFERROR(INDEX('Restaurant Base (Hidden)'!$A$2:$Z$1048576,MATCH($C459,'Restaurant Base (Hidden)'!$C$2:$C$1048576,0),MATCH(O$6,'Restaurant Base (Hidden)'!$A$1:$Z$1,0)),"")</f>
        <v/>
      </c>
      <c r="P459" s="2" t="str">
        <f>+IFERROR(INDEX('Restaurant Base (Hidden)'!$A$2:$Z$1048576,MATCH($C459,'Restaurant Base (Hidden)'!$C$2:$C$1048576,0),MATCH(P$6,'Restaurant Base (Hidden)'!$A$1:$Z$1,0)),"")</f>
        <v/>
      </c>
      <c r="Q459" s="234" t="str">
        <f>+IFERROR(INDEX('Restaurant Base (Hidden)'!$A$2:$Z$1048576,MATCH($C459,'Restaurant Base (Hidden)'!$C$2:$C$1048576,0),MATCH(Q$6,'Restaurant Base (Hidden)'!$A$1:$Z$1,0)),"")</f>
        <v/>
      </c>
      <c r="R459" s="1" t="str">
        <f>+IFERROR(INDEX('Restaurant Base (Hidden)'!$A$2:$Z$1048576,MATCH($C459,'Restaurant Base (Hidden)'!$C$2:$C$1048576,0),MATCH(R$6,'Restaurant Base (Hidden)'!$A$1:$Z$1,0)),"")</f>
        <v/>
      </c>
      <c r="S459" s="2" t="str">
        <f>+IFERROR(INDEX('Restaurant Base (Hidden)'!$A$2:$Z$1048576,MATCH($C459,'Restaurant Base (Hidden)'!$C$2:$C$1048576,0),MATCH(S$6,'Restaurant Base (Hidden)'!$A$1:$Z$1,0)),"")</f>
        <v/>
      </c>
      <c r="T459" s="62" t="str">
        <f>+IFERROR(INDEX('Restaurant Base (Hidden)'!$A$2:$Z$1048576,MATCH($C459,'Restaurant Base (Hidden)'!$C$2:$C$1048576,0),MATCH(T$6,'Restaurant Base (Hidden)'!$A$1:$Z$1,0)),"")</f>
        <v/>
      </c>
      <c r="U459" s="1" t="str">
        <f>+IFERROR(INDEX('Restaurant Base (Hidden)'!$A$2:$Z$1048576,MATCH($C459,'Restaurant Base (Hidden)'!$C$2:$C$1048576,0),MATCH(U$6,'Restaurant Base (Hidden)'!$A$1:$Z$1,0)),"")</f>
        <v/>
      </c>
      <c r="V459" s="2" t="str">
        <f>+IFERROR(INDEX('Restaurant Base (Hidden)'!$A$2:$Z$1048576,MATCH($C459,'Restaurant Base (Hidden)'!$C$2:$C$1048576,0),MATCH(V$6,'Restaurant Base (Hidden)'!$A$1:$Z$1,0)),"")</f>
        <v/>
      </c>
      <c r="W459" s="65" t="str">
        <f>+IFERROR(INDEX('Restaurant Base (Hidden)'!$A$2:$Z$1048576,MATCH($C459,'Restaurant Base (Hidden)'!$C$2:$C$1048576,0),MATCH(W$6,'Restaurant Base (Hidden)'!$A$1:$Z$1,0)),"")</f>
        <v/>
      </c>
      <c r="X459" s="1" t="str">
        <f>+IFERROR(INDEX('Restaurant Base (Hidden)'!$A$2:$Z$1048576,MATCH($C459,'Restaurant Base (Hidden)'!$C$2:$C$1048576,0),MATCH(X$6,'Restaurant Base (Hidden)'!$A$1:$Z$1,0)),"")</f>
        <v/>
      </c>
      <c r="Y459" s="65" t="str">
        <f>+IFERROR(INDEX('Restaurant Base (Hidden)'!$A$2:$Z$1048576,MATCH($C459,'Restaurant Base (Hidden)'!$C$2:$C$1048576,0),MATCH(Y$6,'Restaurant Base (Hidden)'!$A$1:$Z$1,0)),"")</f>
        <v/>
      </c>
      <c r="Z459" s="106" t="str">
        <f>+IFERROR(INDEX('Restaurant Base (Hidden)'!$A$2:$Z$1048576,MATCH($C459,'Restaurant Base (Hidden)'!$C$2:$C$1048576,0),MATCH(Z$6,'Restaurant Base (Hidden)'!$A$1:$Z$1,0)),"")</f>
        <v/>
      </c>
      <c r="AA459" s="65" t="str">
        <f>+IFERROR(INDEX('Restaurant Base (Hidden)'!$A$2:$Z$1048576,MATCH($C459,'Restaurant Base (Hidden)'!$C$2:$C$1048576,0),MATCH(AA$6,'Restaurant Base (Hidden)'!$A$1:$Z$1,0)),"")</f>
        <v/>
      </c>
      <c r="AB459" s="1" t="str">
        <f>+IFERROR(INDEX('Restaurant Base (Hidden)'!$A$2:$Z$1048576,MATCH($C459,'Restaurant Base (Hidden)'!$C$2:$C$1048576,0),MATCH(AB$6,'Restaurant Base (Hidden)'!$A$1:$Z$1,0)),"")</f>
        <v/>
      </c>
      <c r="AC459" s="20" t="str">
        <f>+IFERROR(INDEX('Restaurant Base (Hidden)'!$A$2:$Z$1048576,MATCH($C459,'Restaurant Base (Hidden)'!$C$2:$C$1048576,0),MATCH(AC$6,'Restaurant Base (Hidden)'!$A$1:$Z$1,0)),"")</f>
        <v/>
      </c>
      <c r="AD459" s="65" t="str">
        <f>+IFERROR(INDEX('Restaurant Base (Hidden)'!$A$2:$Z$1048576,MATCH($C459,'Restaurant Base (Hidden)'!$C$2:$C$1048576,0),MATCH(AD$6,'Restaurant Base (Hidden)'!$A$1:$Z$1,0)),"")</f>
        <v/>
      </c>
      <c r="AE459" s="1" t="str">
        <f>+IFERROR(INDEX('Restaurant Base (Hidden)'!$A$2:$Z$1048576,MATCH($C459,'Restaurant Base (Hidden)'!$C$2:$C$1048576,0),MATCH(AE$6,'Restaurant Base (Hidden)'!$A$1:$Z$1,0)),"")</f>
        <v/>
      </c>
      <c r="AF459" s="65" t="str">
        <f>+IFERROR(INDEX('Restaurant Base (Hidden)'!$A$2:$Z$1048576,MATCH($C459,'Restaurant Base (Hidden)'!$C$2:$C$1048576,0),MATCH(AF$6,'Restaurant Base (Hidden)'!$A$1:$Z$1,0)),"")</f>
        <v/>
      </c>
      <c r="AG459" s="1" t="str">
        <f>+IFERROR(INDEX('Restaurant Base (Hidden)'!$A$2:$Z$1048576,MATCH($C459,'Restaurant Base (Hidden)'!$C$2:$C$1048576,0),MATCH(AG$6,'Restaurant Base (Hidden)'!$A$1:$Z$1,0)),"")</f>
        <v/>
      </c>
    </row>
    <row r="460" spans="1:33" x14ac:dyDescent="0.4">
      <c r="N460" s="52"/>
      <c r="Z460" s="106"/>
      <c r="AA460" s="107"/>
      <c r="AB460" s="1"/>
    </row>
    <row r="461" spans="1:33" x14ac:dyDescent="0.4">
      <c r="N461" s="52"/>
      <c r="Z461" s="106"/>
      <c r="AA461" s="107"/>
      <c r="AB461" s="1"/>
    </row>
    <row r="462" spans="1:33" x14ac:dyDescent="0.4">
      <c r="N462" s="52"/>
      <c r="Z462" s="106"/>
      <c r="AA462" s="107"/>
      <c r="AB462" s="1"/>
    </row>
    <row r="463" spans="1:33" x14ac:dyDescent="0.4">
      <c r="N463" s="52"/>
      <c r="Z463" s="106"/>
      <c r="AA463" s="107"/>
      <c r="AB463" s="1"/>
    </row>
    <row r="464" spans="1:33" x14ac:dyDescent="0.4">
      <c r="N464" s="52"/>
      <c r="Z464" s="106"/>
      <c r="AA464" s="107"/>
      <c r="AB464" s="1"/>
    </row>
    <row r="465" spans="14:28" x14ac:dyDescent="0.4">
      <c r="N465" s="52"/>
      <c r="Z465" s="106"/>
      <c r="AA465" s="107"/>
      <c r="AB465" s="1"/>
    </row>
    <row r="466" spans="14:28" x14ac:dyDescent="0.4">
      <c r="N466" s="52"/>
      <c r="Z466" s="106"/>
      <c r="AA466" s="107"/>
      <c r="AB466" s="1"/>
    </row>
    <row r="467" spans="14:28" x14ac:dyDescent="0.4">
      <c r="N467" s="52"/>
      <c r="Z467" s="106"/>
      <c r="AA467" s="107"/>
      <c r="AB467" s="1"/>
    </row>
    <row r="468" spans="14:28" x14ac:dyDescent="0.4">
      <c r="N468" s="52"/>
      <c r="Z468" s="106"/>
      <c r="AA468" s="107"/>
      <c r="AB468" s="1"/>
    </row>
    <row r="469" spans="14:28" x14ac:dyDescent="0.4">
      <c r="N469" s="52"/>
      <c r="Z469" s="106"/>
      <c r="AA469" s="107"/>
      <c r="AB469" s="1"/>
    </row>
    <row r="470" spans="14:28" x14ac:dyDescent="0.4">
      <c r="N470" s="52"/>
      <c r="Z470" s="106"/>
      <c r="AA470" s="107"/>
      <c r="AB470" s="1"/>
    </row>
    <row r="471" spans="14:28" x14ac:dyDescent="0.4">
      <c r="N471" s="52"/>
      <c r="Z471" s="106"/>
      <c r="AA471" s="107"/>
      <c r="AB471" s="1"/>
    </row>
    <row r="472" spans="14:28" x14ac:dyDescent="0.4">
      <c r="N472" s="52"/>
      <c r="Z472" s="106"/>
      <c r="AA472" s="107"/>
      <c r="AB472" s="1"/>
    </row>
    <row r="473" spans="14:28" x14ac:dyDescent="0.4">
      <c r="N473" s="52"/>
      <c r="Z473" s="106"/>
      <c r="AA473" s="107"/>
      <c r="AB473" s="1"/>
    </row>
    <row r="474" spans="14:28" x14ac:dyDescent="0.4">
      <c r="N474" s="52"/>
      <c r="Z474" s="106"/>
      <c r="AA474" s="107"/>
      <c r="AB474" s="1"/>
    </row>
    <row r="475" spans="14:28" x14ac:dyDescent="0.4">
      <c r="N475" s="52"/>
      <c r="Z475" s="106"/>
      <c r="AA475" s="107"/>
      <c r="AB475" s="1"/>
    </row>
    <row r="476" spans="14:28" x14ac:dyDescent="0.4">
      <c r="N476" s="52"/>
      <c r="Z476" s="106"/>
      <c r="AA476" s="107"/>
      <c r="AB476" s="1"/>
    </row>
    <row r="477" spans="14:28" x14ac:dyDescent="0.4">
      <c r="N477" s="52"/>
      <c r="Z477" s="106"/>
      <c r="AA477" s="107"/>
      <c r="AB477" s="1"/>
    </row>
    <row r="478" spans="14:28" x14ac:dyDescent="0.4">
      <c r="N478" s="52"/>
      <c r="Z478" s="106"/>
      <c r="AA478" s="107"/>
      <c r="AB478" s="1"/>
    </row>
    <row r="479" spans="14:28" x14ac:dyDescent="0.4">
      <c r="N479" s="52"/>
      <c r="Z479" s="106"/>
      <c r="AA479" s="107"/>
      <c r="AB479" s="1"/>
    </row>
    <row r="480" spans="14:28" x14ac:dyDescent="0.4">
      <c r="N480" s="52"/>
      <c r="Z480" s="106"/>
      <c r="AA480" s="107"/>
      <c r="AB480" s="1"/>
    </row>
    <row r="481" spans="14:28" x14ac:dyDescent="0.4">
      <c r="N481" s="52"/>
      <c r="Z481" s="106"/>
      <c r="AA481" s="107"/>
      <c r="AB481" s="1"/>
    </row>
    <row r="482" spans="14:28" x14ac:dyDescent="0.4">
      <c r="N482" s="52"/>
      <c r="Z482" s="106"/>
      <c r="AA482" s="107"/>
      <c r="AB482" s="1"/>
    </row>
    <row r="483" spans="14:28" x14ac:dyDescent="0.4">
      <c r="N483" s="52"/>
      <c r="Z483" s="106"/>
      <c r="AA483" s="107"/>
      <c r="AB483" s="1"/>
    </row>
    <row r="484" spans="14:28" x14ac:dyDescent="0.4">
      <c r="N484" s="52"/>
      <c r="Z484" s="106"/>
      <c r="AA484" s="107"/>
      <c r="AB484" s="1"/>
    </row>
    <row r="485" spans="14:28" x14ac:dyDescent="0.4">
      <c r="N485" s="52"/>
      <c r="Z485" s="106"/>
      <c r="AA485" s="107"/>
      <c r="AB485" s="1"/>
    </row>
    <row r="486" spans="14:28" x14ac:dyDescent="0.4">
      <c r="N486" s="52"/>
      <c r="Z486" s="106"/>
      <c r="AA486" s="107"/>
      <c r="AB486" s="1"/>
    </row>
    <row r="487" spans="14:28" x14ac:dyDescent="0.4">
      <c r="N487" s="52"/>
      <c r="Z487" s="106"/>
      <c r="AA487" s="107"/>
      <c r="AB487" s="1"/>
    </row>
    <row r="488" spans="14:28" x14ac:dyDescent="0.4">
      <c r="N488" s="52"/>
      <c r="Z488" s="106"/>
      <c r="AA488" s="107"/>
      <c r="AB488" s="1"/>
    </row>
    <row r="489" spans="14:28" x14ac:dyDescent="0.4">
      <c r="N489" s="52"/>
      <c r="Z489" s="106"/>
      <c r="AA489" s="107"/>
      <c r="AB489" s="1"/>
    </row>
    <row r="490" spans="14:28" x14ac:dyDescent="0.4">
      <c r="N490" s="52"/>
      <c r="Z490" s="106"/>
      <c r="AA490" s="107"/>
      <c r="AB490" s="1"/>
    </row>
    <row r="491" spans="14:28" x14ac:dyDescent="0.4">
      <c r="N491" s="52"/>
      <c r="Z491" s="106"/>
      <c r="AA491" s="107"/>
      <c r="AB491" s="1"/>
    </row>
    <row r="492" spans="14:28" x14ac:dyDescent="0.4">
      <c r="N492" s="52"/>
      <c r="Z492" s="106"/>
      <c r="AA492" s="107"/>
      <c r="AB492" s="1"/>
    </row>
    <row r="493" spans="14:28" x14ac:dyDescent="0.4">
      <c r="N493" s="52"/>
      <c r="Z493" s="106"/>
      <c r="AA493" s="107"/>
      <c r="AB493" s="1"/>
    </row>
    <row r="494" spans="14:28" x14ac:dyDescent="0.4">
      <c r="N494" s="52"/>
      <c r="Z494" s="106"/>
      <c r="AA494" s="107"/>
      <c r="AB494" s="1"/>
    </row>
    <row r="495" spans="14:28" x14ac:dyDescent="0.4">
      <c r="N495" s="52"/>
      <c r="Z495" s="106"/>
      <c r="AA495" s="107"/>
      <c r="AB495" s="1"/>
    </row>
    <row r="496" spans="14:28" x14ac:dyDescent="0.4">
      <c r="N496" s="52"/>
      <c r="Z496" s="106"/>
      <c r="AA496" s="107"/>
      <c r="AB496" s="1"/>
    </row>
    <row r="497" spans="14:28" x14ac:dyDescent="0.4">
      <c r="N497" s="52"/>
      <c r="Z497" s="106"/>
      <c r="AA497" s="107"/>
      <c r="AB497" s="1"/>
    </row>
    <row r="498" spans="14:28" x14ac:dyDescent="0.4">
      <c r="N498" s="52"/>
      <c r="Z498" s="106"/>
      <c r="AA498" s="107"/>
      <c r="AB498" s="1"/>
    </row>
    <row r="499" spans="14:28" x14ac:dyDescent="0.4">
      <c r="N499" s="52"/>
      <c r="Z499" s="106"/>
      <c r="AA499" s="107"/>
      <c r="AB499" s="1"/>
    </row>
    <row r="500" spans="14:28" x14ac:dyDescent="0.4">
      <c r="N500" s="52"/>
      <c r="Z500" s="106"/>
      <c r="AA500" s="107"/>
      <c r="AB500" s="1"/>
    </row>
    <row r="501" spans="14:28" x14ac:dyDescent="0.4">
      <c r="N501" s="52"/>
      <c r="Z501" s="106"/>
      <c r="AA501" s="107"/>
      <c r="AB501" s="1"/>
    </row>
    <row r="502" spans="14:28" x14ac:dyDescent="0.4">
      <c r="N502" s="52"/>
      <c r="Z502" s="106"/>
      <c r="AA502" s="107"/>
      <c r="AB502" s="1"/>
    </row>
    <row r="503" spans="14:28" x14ac:dyDescent="0.4">
      <c r="N503" s="52"/>
      <c r="Z503" s="106"/>
      <c r="AA503" s="107"/>
      <c r="AB503" s="1"/>
    </row>
    <row r="504" spans="14:28" x14ac:dyDescent="0.4">
      <c r="N504" s="52"/>
      <c r="Z504" s="106"/>
      <c r="AA504" s="107"/>
      <c r="AB504" s="1"/>
    </row>
    <row r="505" spans="14:28" x14ac:dyDescent="0.4">
      <c r="N505" s="52"/>
      <c r="Z505" s="106"/>
      <c r="AA505" s="107"/>
      <c r="AB505" s="1"/>
    </row>
    <row r="506" spans="14:28" x14ac:dyDescent="0.4">
      <c r="N506" s="52"/>
      <c r="Z506" s="106"/>
      <c r="AA506" s="107"/>
      <c r="AB506" s="1"/>
    </row>
    <row r="507" spans="14:28" x14ac:dyDescent="0.4">
      <c r="N507" s="52"/>
      <c r="Z507" s="106"/>
      <c r="AA507" s="107"/>
      <c r="AB507" s="1"/>
    </row>
    <row r="508" spans="14:28" x14ac:dyDescent="0.4">
      <c r="N508" s="52"/>
      <c r="Z508" s="106"/>
      <c r="AA508" s="107"/>
      <c r="AB508" s="1"/>
    </row>
    <row r="509" spans="14:28" x14ac:dyDescent="0.4">
      <c r="N509" s="52"/>
      <c r="Z509" s="106"/>
      <c r="AA509" s="107"/>
      <c r="AB509" s="1"/>
    </row>
    <row r="510" spans="14:28" x14ac:dyDescent="0.4">
      <c r="N510" s="52"/>
      <c r="Z510" s="106"/>
      <c r="AA510" s="107"/>
      <c r="AB510" s="1"/>
    </row>
    <row r="511" spans="14:28" x14ac:dyDescent="0.4">
      <c r="N511" s="52"/>
      <c r="Z511" s="106"/>
      <c r="AA511" s="107"/>
      <c r="AB511" s="1"/>
    </row>
    <row r="512" spans="14:28" x14ac:dyDescent="0.4">
      <c r="N512" s="52"/>
      <c r="Z512" s="106"/>
      <c r="AA512" s="107"/>
      <c r="AB512" s="1"/>
    </row>
    <row r="513" spans="14:28" x14ac:dyDescent="0.4">
      <c r="N513" s="52"/>
      <c r="Z513" s="106"/>
      <c r="AA513" s="107"/>
      <c r="AB513" s="1"/>
    </row>
    <row r="514" spans="14:28" x14ac:dyDescent="0.4">
      <c r="N514" s="52"/>
      <c r="Z514" s="106"/>
      <c r="AA514" s="107"/>
      <c r="AB514" s="1"/>
    </row>
    <row r="515" spans="14:28" x14ac:dyDescent="0.4">
      <c r="N515" s="52"/>
      <c r="Z515" s="106"/>
      <c r="AA515" s="107"/>
      <c r="AB515" s="1"/>
    </row>
    <row r="516" spans="14:28" x14ac:dyDescent="0.4">
      <c r="N516" s="52"/>
      <c r="Z516" s="106"/>
      <c r="AA516" s="107"/>
      <c r="AB516" s="1"/>
    </row>
    <row r="517" spans="14:28" x14ac:dyDescent="0.4">
      <c r="N517" s="52"/>
      <c r="Z517" s="106"/>
      <c r="AA517" s="107"/>
      <c r="AB517" s="1"/>
    </row>
    <row r="518" spans="14:28" x14ac:dyDescent="0.4">
      <c r="N518" s="52"/>
      <c r="Z518" s="106"/>
      <c r="AA518" s="107"/>
      <c r="AB518" s="1"/>
    </row>
    <row r="519" spans="14:28" x14ac:dyDescent="0.4">
      <c r="N519" s="52"/>
      <c r="Z519" s="106"/>
      <c r="AA519" s="107"/>
      <c r="AB519" s="1"/>
    </row>
    <row r="520" spans="14:28" x14ac:dyDescent="0.4">
      <c r="N520" s="52"/>
      <c r="Z520" s="106"/>
      <c r="AA520" s="107"/>
      <c r="AB520" s="1"/>
    </row>
    <row r="521" spans="14:28" x14ac:dyDescent="0.4">
      <c r="N521" s="52"/>
      <c r="Z521" s="106"/>
      <c r="AA521" s="107"/>
      <c r="AB521" s="1"/>
    </row>
    <row r="522" spans="14:28" x14ac:dyDescent="0.4">
      <c r="N522" s="52"/>
      <c r="Z522" s="106"/>
      <c r="AA522" s="107"/>
      <c r="AB522" s="1"/>
    </row>
    <row r="523" spans="14:28" x14ac:dyDescent="0.4">
      <c r="N523" s="52"/>
      <c r="Z523" s="106"/>
      <c r="AA523" s="107"/>
      <c r="AB523" s="1"/>
    </row>
    <row r="524" spans="14:28" x14ac:dyDescent="0.4">
      <c r="N524" s="52"/>
      <c r="Z524" s="106"/>
      <c r="AA524" s="107"/>
      <c r="AB524" s="1"/>
    </row>
    <row r="525" spans="14:28" x14ac:dyDescent="0.4">
      <c r="N525" s="52"/>
      <c r="Z525" s="106"/>
      <c r="AA525" s="107"/>
      <c r="AB525" s="1"/>
    </row>
    <row r="526" spans="14:28" x14ac:dyDescent="0.4">
      <c r="N526" s="52"/>
      <c r="Z526" s="106"/>
      <c r="AA526" s="107"/>
      <c r="AB526" s="1"/>
    </row>
    <row r="527" spans="14:28" x14ac:dyDescent="0.4">
      <c r="N527" s="52"/>
      <c r="Z527" s="106"/>
      <c r="AA527" s="107"/>
      <c r="AB527" s="1"/>
    </row>
    <row r="528" spans="14:28" x14ac:dyDescent="0.4">
      <c r="N528" s="52"/>
      <c r="Z528" s="106"/>
      <c r="AA528" s="107"/>
      <c r="AB528" s="1"/>
    </row>
    <row r="529" spans="14:28" x14ac:dyDescent="0.4">
      <c r="N529" s="52"/>
      <c r="Z529" s="106"/>
      <c r="AA529" s="107"/>
      <c r="AB529" s="1"/>
    </row>
    <row r="530" spans="14:28" x14ac:dyDescent="0.4">
      <c r="N530" s="52"/>
      <c r="Z530" s="106"/>
      <c r="AA530" s="107"/>
      <c r="AB530" s="1"/>
    </row>
    <row r="531" spans="14:28" x14ac:dyDescent="0.4">
      <c r="N531" s="52"/>
      <c r="Z531" s="106"/>
      <c r="AA531" s="107"/>
      <c r="AB531" s="1"/>
    </row>
    <row r="532" spans="14:28" x14ac:dyDescent="0.4">
      <c r="N532" s="52"/>
      <c r="Z532" s="106"/>
      <c r="AA532" s="107"/>
      <c r="AB532" s="1"/>
    </row>
    <row r="533" spans="14:28" x14ac:dyDescent="0.4">
      <c r="N533" s="52"/>
      <c r="Z533" s="106"/>
      <c r="AA533" s="107"/>
      <c r="AB533" s="1"/>
    </row>
    <row r="534" spans="14:28" x14ac:dyDescent="0.4">
      <c r="N534" s="52"/>
      <c r="Z534" s="106"/>
      <c r="AA534" s="107"/>
      <c r="AB534" s="1"/>
    </row>
    <row r="535" spans="14:28" x14ac:dyDescent="0.4">
      <c r="N535" s="52"/>
      <c r="Z535" s="106"/>
      <c r="AA535" s="107"/>
      <c r="AB535" s="1"/>
    </row>
    <row r="536" spans="14:28" x14ac:dyDescent="0.4">
      <c r="N536" s="52"/>
      <c r="Z536" s="106"/>
      <c r="AA536" s="107"/>
      <c r="AB536" s="1"/>
    </row>
    <row r="537" spans="14:28" x14ac:dyDescent="0.4">
      <c r="N537" s="52"/>
      <c r="Z537" s="106"/>
      <c r="AA537" s="107"/>
      <c r="AB537" s="1"/>
    </row>
    <row r="538" spans="14:28" x14ac:dyDescent="0.4">
      <c r="N538" s="52"/>
      <c r="Z538" s="106"/>
      <c r="AA538" s="107"/>
      <c r="AB538" s="1"/>
    </row>
    <row r="539" spans="14:28" x14ac:dyDescent="0.4">
      <c r="N539" s="52"/>
      <c r="Z539" s="106"/>
      <c r="AA539" s="107"/>
      <c r="AB539" s="1"/>
    </row>
    <row r="540" spans="14:28" x14ac:dyDescent="0.4">
      <c r="N540" s="52"/>
      <c r="Z540" s="106"/>
      <c r="AA540" s="107"/>
      <c r="AB540" s="1"/>
    </row>
    <row r="541" spans="14:28" x14ac:dyDescent="0.4">
      <c r="N541" s="52"/>
      <c r="Z541" s="106"/>
      <c r="AA541" s="107"/>
      <c r="AB541" s="1"/>
    </row>
    <row r="542" spans="14:28" x14ac:dyDescent="0.4">
      <c r="N542" s="52"/>
      <c r="Z542" s="106"/>
      <c r="AA542" s="107"/>
      <c r="AB542" s="1"/>
    </row>
    <row r="543" spans="14:28" x14ac:dyDescent="0.4">
      <c r="N543" s="52"/>
      <c r="Z543" s="106"/>
      <c r="AA543" s="107"/>
      <c r="AB543" s="1"/>
    </row>
    <row r="544" spans="14:28" x14ac:dyDescent="0.4">
      <c r="N544" s="52"/>
      <c r="Z544" s="106"/>
      <c r="AA544" s="107"/>
      <c r="AB544" s="1"/>
    </row>
    <row r="545" spans="14:28" x14ac:dyDescent="0.4">
      <c r="N545" s="52"/>
      <c r="Z545" s="106"/>
      <c r="AA545" s="107"/>
      <c r="AB545" s="1"/>
    </row>
    <row r="546" spans="14:28" x14ac:dyDescent="0.4">
      <c r="N546" s="52"/>
      <c r="Z546" s="106"/>
      <c r="AA546" s="107"/>
      <c r="AB546" s="1"/>
    </row>
    <row r="547" spans="14:28" x14ac:dyDescent="0.4">
      <c r="N547" s="52"/>
      <c r="Z547" s="106"/>
      <c r="AA547" s="107"/>
      <c r="AB547" s="1"/>
    </row>
    <row r="548" spans="14:28" x14ac:dyDescent="0.4">
      <c r="N548" s="52"/>
      <c r="Z548" s="106"/>
      <c r="AA548" s="107"/>
      <c r="AB548" s="1"/>
    </row>
    <row r="549" spans="14:28" x14ac:dyDescent="0.4">
      <c r="N549" s="52"/>
      <c r="Z549" s="106"/>
      <c r="AA549" s="107"/>
      <c r="AB549" s="1"/>
    </row>
    <row r="550" spans="14:28" x14ac:dyDescent="0.4">
      <c r="N550" s="52"/>
      <c r="Z550" s="106"/>
      <c r="AA550" s="107"/>
      <c r="AB550" s="1"/>
    </row>
    <row r="551" spans="14:28" x14ac:dyDescent="0.4">
      <c r="N551" s="52"/>
      <c r="Z551" s="106"/>
      <c r="AA551" s="107"/>
      <c r="AB551" s="1"/>
    </row>
    <row r="552" spans="14:28" x14ac:dyDescent="0.4">
      <c r="N552" s="52"/>
      <c r="Z552" s="106"/>
      <c r="AA552" s="107"/>
      <c r="AB552" s="1"/>
    </row>
    <row r="553" spans="14:28" x14ac:dyDescent="0.4">
      <c r="N553" s="52"/>
      <c r="Z553" s="106"/>
      <c r="AA553" s="107"/>
      <c r="AB553" s="1"/>
    </row>
  </sheetData>
  <autoFilter ref="A6:AB459" xr:uid="{00000000-0009-0000-0000-000001000000}">
    <sortState xmlns:xlrd2="http://schemas.microsoft.com/office/spreadsheetml/2017/richdata2" ref="A7:AB459">
      <sortCondition ref="D6:D459"/>
    </sortState>
  </autoFilter>
  <mergeCells count="9">
    <mergeCell ref="AD5:AG5"/>
    <mergeCell ref="G5:L5"/>
    <mergeCell ref="C1:D1"/>
    <mergeCell ref="C2:D3"/>
    <mergeCell ref="Q5:R5"/>
    <mergeCell ref="T5:U5"/>
    <mergeCell ref="W5:AB5"/>
    <mergeCell ref="N5:O5"/>
    <mergeCell ref="C4:D4"/>
  </mergeCells>
  <conditionalFormatting sqref="H7:H459">
    <cfRule type="cellIs" dxfId="3" priority="1" operator="equal">
      <formula>0</formula>
    </cfRule>
  </conditionalFormatting>
  <conditionalFormatting sqref="J7:J459 O7:O459 R7:R459 U7:U459 X7:X459 AE7:AE459 N460:N553">
    <cfRule type="cellIs" dxfId="2" priority="4" operator="equal">
      <formula>0</formula>
    </cfRule>
  </conditionalFormatting>
  <conditionalFormatting sqref="AB7:AB459 AA460:AB553">
    <cfRule type="cellIs" dxfId="1" priority="2" operator="equal">
      <formula>0</formula>
    </cfRule>
  </conditionalFormatting>
  <conditionalFormatting sqref="AG7:AG459">
    <cfRule type="cellIs" dxfId="0" priority="3" operator="equal">
      <formula>0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04"/>
  <sheetViews>
    <sheetView showGridLines="0" tabSelected="1" view="pageBreakPreview" zoomScaleNormal="100" zoomScaleSheetLayoutView="100" workbookViewId="0">
      <pane ySplit="1" topLeftCell="A2" activePane="bottomLeft" state="frozen"/>
      <selection activeCell="C6" sqref="C6"/>
      <selection pane="bottomLeft" activeCell="I1" sqref="I1"/>
    </sheetView>
  </sheetViews>
  <sheetFormatPr defaultColWidth="8.61328125" defaultRowHeight="15.9" x14ac:dyDescent="0.45"/>
  <cols>
    <col min="2" max="2" width="26.765625" style="16" bestFit="1" customWidth="1"/>
    <col min="3" max="3" width="10.07421875" style="16" customWidth="1"/>
    <col min="4" max="4" width="15.15234375" bestFit="1" customWidth="1"/>
    <col min="5" max="5" width="47.53515625" bestFit="1" customWidth="1"/>
    <col min="6" max="6" width="13.921875" customWidth="1"/>
    <col min="7" max="7" width="12.921875" customWidth="1"/>
    <col min="8" max="8" width="11.921875" bestFit="1" customWidth="1"/>
    <col min="9" max="9" width="10.07421875" customWidth="1"/>
    <col min="26" max="26" width="17.3828125" customWidth="1"/>
  </cols>
  <sheetData>
    <row r="1" spans="2:26" ht="27" customHeight="1" x14ac:dyDescent="0.4">
      <c r="B1" s="248" t="s">
        <v>0</v>
      </c>
      <c r="C1" s="249"/>
      <c r="D1" s="249"/>
      <c r="E1" s="249"/>
      <c r="F1" s="249"/>
      <c r="G1" s="249"/>
      <c r="H1" s="250"/>
      <c r="Z1" t="s">
        <v>0</v>
      </c>
    </row>
    <row r="2" spans="2:26" ht="19.5" customHeight="1" thickBot="1" x14ac:dyDescent="0.55000000000000004">
      <c r="B2" s="252" t="str">
        <f>"Classement:"&amp;+VLOOKUP($B$1,'Restaurant Dashboard'!$C:$D,2,0)&amp;"/"&amp;+COUNT('Restaurant Dashboard'!D7:D2816)</f>
        <v>Classement:1/404</v>
      </c>
      <c r="C2" s="247"/>
      <c r="D2" s="253"/>
      <c r="E2" s="239"/>
      <c r="F2" s="240" t="s">
        <v>1</v>
      </c>
      <c r="G2" s="241" t="str">
        <f>VLOOKUP(B1,'Restaurant Base (Hidden)'!$C:$Z,3,0)</f>
        <v>4,557</v>
      </c>
      <c r="H2" s="8"/>
      <c r="Z2" t="s">
        <v>2</v>
      </c>
    </row>
    <row r="3" spans="2:26" ht="16" customHeight="1" thickTop="1" x14ac:dyDescent="0.45">
      <c r="B3" s="9"/>
      <c r="C3" s="9"/>
      <c r="D3" s="8"/>
      <c r="E3" s="8"/>
      <c r="F3" s="8"/>
      <c r="G3" s="8"/>
      <c r="H3" s="8"/>
      <c r="Z3" t="s">
        <v>3</v>
      </c>
    </row>
    <row r="4" spans="2:26" ht="21" customHeight="1" x14ac:dyDescent="0.55000000000000004">
      <c r="B4" s="251" t="s">
        <v>4</v>
      </c>
      <c r="C4" s="250"/>
      <c r="D4" s="235" t="s">
        <v>5</v>
      </c>
      <c r="E4" s="238" t="s">
        <v>6</v>
      </c>
      <c r="F4" s="236" t="s">
        <v>7</v>
      </c>
      <c r="G4" s="236" t="s">
        <v>8</v>
      </c>
      <c r="H4" s="237" t="s">
        <v>9</v>
      </c>
      <c r="Z4" t="s">
        <v>10</v>
      </c>
    </row>
    <row r="5" spans="2:26" s="16" customFormat="1" ht="18.899999999999999" customHeight="1" x14ac:dyDescent="0.45">
      <c r="B5" s="242" t="s">
        <v>11</v>
      </c>
      <c r="C5" s="243"/>
      <c r="D5" s="207">
        <v>0.1</v>
      </c>
      <c r="E5" s="205" t="s">
        <v>12</v>
      </c>
      <c r="F5" s="206" t="str">
        <f>VLOOKUP($B$1,'Restaurant Base (Hidden)'!$C:$AG,3,0)</f>
        <v>4,557</v>
      </c>
      <c r="G5" s="206">
        <f>VLOOKUP($B$1,'Restaurant Base (Hidden)'!$C:$AG,4,0)</f>
        <v>5</v>
      </c>
      <c r="H5" s="207">
        <v>0.1</v>
      </c>
      <c r="Z5" t="s">
        <v>13</v>
      </c>
    </row>
    <row r="6" spans="2:26" s="16" customFormat="1" ht="18.899999999999999" customHeight="1" x14ac:dyDescent="0.45">
      <c r="B6" s="244"/>
      <c r="C6" s="245"/>
      <c r="D6" s="186">
        <v>0.1</v>
      </c>
      <c r="E6" s="208" t="s">
        <v>14</v>
      </c>
      <c r="F6" s="209" t="str">
        <f>VLOOKUP($B$1,'Restaurant Base (Hidden)'!$C:$AG,5,0)</f>
        <v>86,60 %</v>
      </c>
      <c r="G6" s="209">
        <f>+VLOOKUP($B$1,'Restaurant Base (Hidden)'!$C:$V,6,0)</f>
        <v>3</v>
      </c>
      <c r="H6" s="186">
        <v>0.1</v>
      </c>
      <c r="Z6" t="s">
        <v>15</v>
      </c>
    </row>
    <row r="7" spans="2:26" s="16" customFormat="1" ht="18.899999999999999" customHeight="1" x14ac:dyDescent="0.45">
      <c r="B7" s="244"/>
      <c r="C7" s="245"/>
      <c r="D7" s="202">
        <v>0.05</v>
      </c>
      <c r="E7" s="210" t="s">
        <v>16</v>
      </c>
      <c r="F7" s="211" t="str">
        <f>VLOOKUP($B$1,'Restaurant Base (Hidden)'!$C:$AG,7,0)</f>
        <v>0,058</v>
      </c>
      <c r="G7" s="211">
        <f>+VLOOKUP($B$1,'Restaurant Base (Hidden)'!$C:$V,8,0)</f>
        <v>5</v>
      </c>
      <c r="H7" s="202">
        <v>0.05</v>
      </c>
      <c r="Z7" t="s">
        <v>17</v>
      </c>
    </row>
    <row r="8" spans="2:26" s="16" customFormat="1" ht="18.899999999999999" customHeight="1" x14ac:dyDescent="0.45">
      <c r="B8" s="244"/>
      <c r="C8" s="245"/>
      <c r="D8" s="213">
        <v>0.15</v>
      </c>
      <c r="E8" s="212" t="s">
        <v>18</v>
      </c>
      <c r="F8" s="213" t="str">
        <f>VLOOKUP($B$1,'Restaurant Base (Hidden)'!$C:$AG,9,0)</f>
        <v>78,60 %</v>
      </c>
      <c r="G8" s="214">
        <f>+VLOOKUP($B$1,'Restaurant Base (Hidden)'!$C:$AG,10,0)</f>
        <v>5</v>
      </c>
      <c r="H8" s="213">
        <v>0.15</v>
      </c>
      <c r="Z8" t="s">
        <v>19</v>
      </c>
    </row>
    <row r="9" spans="2:26" s="16" customFormat="1" ht="18.899999999999999" customHeight="1" x14ac:dyDescent="0.45">
      <c r="B9" s="244"/>
      <c r="C9" s="245"/>
      <c r="D9" s="216">
        <v>0.15</v>
      </c>
      <c r="E9" s="215" t="s">
        <v>20</v>
      </c>
      <c r="F9" s="216" t="str">
        <f>VLOOKUP($B$1,'Restaurant Base (Hidden)'!$C:$AG,11,0)</f>
        <v>92,50 %</v>
      </c>
      <c r="G9" s="217">
        <f>+VLOOKUP($B$1,'Restaurant Base (Hidden)'!$C:$AG,12,0)</f>
        <v>5</v>
      </c>
      <c r="H9" s="216">
        <v>0.15</v>
      </c>
      <c r="Z9" t="s">
        <v>21</v>
      </c>
    </row>
    <row r="10" spans="2:26" s="16" customFormat="1" ht="18.899999999999999" customHeight="1" x14ac:dyDescent="0.45">
      <c r="B10" s="246"/>
      <c r="C10" s="247"/>
      <c r="D10" s="220">
        <v>0.1</v>
      </c>
      <c r="E10" s="218" t="s">
        <v>22</v>
      </c>
      <c r="F10" s="219">
        <f>VLOOKUP($B$1,'Restaurant Base (Hidden)'!$C:$AG,13,0)</f>
        <v>76.900000000000006</v>
      </c>
      <c r="G10" s="219">
        <f>+VLOOKUP($B$1,'Restaurant Base (Hidden)'!$C:$AG,14,0)</f>
        <v>5</v>
      </c>
      <c r="H10" s="220">
        <v>0.1</v>
      </c>
      <c r="Z10" t="s">
        <v>23</v>
      </c>
    </row>
    <row r="11" spans="2:26" s="16" customFormat="1" ht="18.899999999999999" customHeight="1" x14ac:dyDescent="0.45">
      <c r="B11" s="242" t="s">
        <v>24</v>
      </c>
      <c r="C11" s="243"/>
      <c r="D11" s="222">
        <v>0.04</v>
      </c>
      <c r="E11" s="221" t="s">
        <v>25</v>
      </c>
      <c r="F11" s="222" t="str">
        <f>VLOOKUP($B$1,'Restaurant Base (Hidden)'!$C:$AG,15,0)</f>
        <v>58,50 %</v>
      </c>
      <c r="G11" s="223">
        <f>+VLOOKUP($B$1,'Restaurant Base (Hidden)'!$C:$AG,16,0)</f>
        <v>1</v>
      </c>
      <c r="H11" s="222">
        <v>0.04</v>
      </c>
      <c r="Z11" t="s">
        <v>26</v>
      </c>
    </row>
    <row r="12" spans="2:26" s="16" customFormat="1" ht="18.899999999999999" customHeight="1" x14ac:dyDescent="0.45">
      <c r="B12" s="244"/>
      <c r="C12" s="245"/>
      <c r="D12" s="196">
        <v>0.04</v>
      </c>
      <c r="E12" s="224" t="s">
        <v>27</v>
      </c>
      <c r="F12" s="196" t="str">
        <f>VLOOKUP($B$1,'Restaurant Base (Hidden)'!$C:$AG,17,0)</f>
        <v>94,40 %</v>
      </c>
      <c r="G12" s="225">
        <f>+VLOOKUP($B$1,'Restaurant Base (Hidden)'!$C:$AG,18,0)</f>
        <v>4</v>
      </c>
      <c r="H12" s="196">
        <v>0.04</v>
      </c>
      <c r="Z12" t="s">
        <v>28</v>
      </c>
    </row>
    <row r="13" spans="2:26" s="16" customFormat="1" ht="18.899999999999999" customHeight="1" x14ac:dyDescent="0.45">
      <c r="B13" s="244"/>
      <c r="C13" s="245"/>
      <c r="D13" s="197">
        <v>7.0000000000000007E-2</v>
      </c>
      <c r="E13" s="226" t="s">
        <v>29</v>
      </c>
      <c r="F13" s="197" t="str">
        <f>VLOOKUP($B$1,'Restaurant Base (Hidden)'!$C:$AG,19,0)</f>
        <v>85,00 %</v>
      </c>
      <c r="G13" s="227">
        <f>+VLOOKUP($B$1,'Restaurant Base (Hidden)'!$C:$AG,20,0)</f>
        <v>3</v>
      </c>
      <c r="H13" s="197">
        <v>7.0000000000000007E-2</v>
      </c>
      <c r="Z13" t="s">
        <v>30</v>
      </c>
    </row>
    <row r="14" spans="2:26" s="16" customFormat="1" ht="18.899999999999999" customHeight="1" x14ac:dyDescent="0.45">
      <c r="B14" s="244"/>
      <c r="C14" s="245"/>
      <c r="D14" s="229">
        <v>0.1</v>
      </c>
      <c r="E14" s="228" t="s">
        <v>31</v>
      </c>
      <c r="F14" s="229" t="str">
        <f>VLOOKUP($B$1,'Restaurant Base (Hidden)'!$C:$AG,21,0)</f>
        <v>91,70 %</v>
      </c>
      <c r="G14" s="230">
        <f>+VLOOKUP($B$1,'Restaurant Base (Hidden)'!$C:$AG,22,0)</f>
        <v>4</v>
      </c>
      <c r="H14" s="229">
        <v>0.1</v>
      </c>
      <c r="Z14" t="s">
        <v>32</v>
      </c>
    </row>
    <row r="15" spans="2:26" ht="15.9" customHeight="1" x14ac:dyDescent="0.4">
      <c r="B15" s="246"/>
      <c r="C15" s="247"/>
      <c r="D15" s="200">
        <v>0.1</v>
      </c>
      <c r="E15" s="231" t="s">
        <v>33</v>
      </c>
      <c r="F15" s="200" t="str">
        <f>VLOOKUP($B$1,'Restaurant Base (Hidden)'!$C:$AG,23,0)</f>
        <v>96,60 %</v>
      </c>
      <c r="G15" s="232">
        <f>+VLOOKUP($B$1,'Restaurant Base (Hidden)'!$C:$AG,24,0)</f>
        <v>4</v>
      </c>
      <c r="H15" s="200">
        <v>0.1</v>
      </c>
      <c r="Z15" t="s">
        <v>34</v>
      </c>
    </row>
    <row r="16" spans="2:26" x14ac:dyDescent="0.45">
      <c r="Z16" t="s">
        <v>35</v>
      </c>
    </row>
    <row r="17" spans="26:26" x14ac:dyDescent="0.45">
      <c r="Z17" t="s">
        <v>36</v>
      </c>
    </row>
    <row r="18" spans="26:26" x14ac:dyDescent="0.45">
      <c r="Z18" t="s">
        <v>37</v>
      </c>
    </row>
    <row r="19" spans="26:26" x14ac:dyDescent="0.45">
      <c r="Z19" t="s">
        <v>38</v>
      </c>
    </row>
    <row r="20" spans="26:26" x14ac:dyDescent="0.45">
      <c r="Z20" t="s">
        <v>39</v>
      </c>
    </row>
    <row r="21" spans="26:26" x14ac:dyDescent="0.45">
      <c r="Z21" t="s">
        <v>40</v>
      </c>
    </row>
    <row r="22" spans="26:26" x14ac:dyDescent="0.45">
      <c r="Z22" t="s">
        <v>41</v>
      </c>
    </row>
    <row r="23" spans="26:26" x14ac:dyDescent="0.45">
      <c r="Z23" t="s">
        <v>42</v>
      </c>
    </row>
    <row r="24" spans="26:26" x14ac:dyDescent="0.45">
      <c r="Z24" t="s">
        <v>43</v>
      </c>
    </row>
    <row r="25" spans="26:26" x14ac:dyDescent="0.45">
      <c r="Z25" t="s">
        <v>44</v>
      </c>
    </row>
    <row r="26" spans="26:26" x14ac:dyDescent="0.45">
      <c r="Z26" t="s">
        <v>45</v>
      </c>
    </row>
    <row r="27" spans="26:26" x14ac:dyDescent="0.45">
      <c r="Z27" t="s">
        <v>46</v>
      </c>
    </row>
    <row r="28" spans="26:26" x14ac:dyDescent="0.45">
      <c r="Z28" t="s">
        <v>47</v>
      </c>
    </row>
    <row r="29" spans="26:26" x14ac:dyDescent="0.45">
      <c r="Z29" t="s">
        <v>48</v>
      </c>
    </row>
    <row r="30" spans="26:26" x14ac:dyDescent="0.45">
      <c r="Z30" t="s">
        <v>49</v>
      </c>
    </row>
    <row r="31" spans="26:26" x14ac:dyDescent="0.45">
      <c r="Z31" t="s">
        <v>50</v>
      </c>
    </row>
    <row r="32" spans="26:26" x14ac:dyDescent="0.45">
      <c r="Z32" t="s">
        <v>51</v>
      </c>
    </row>
    <row r="33" spans="8:26" x14ac:dyDescent="0.45">
      <c r="Z33" t="s">
        <v>52</v>
      </c>
    </row>
    <row r="34" spans="8:26" x14ac:dyDescent="0.45">
      <c r="Z34" t="s">
        <v>53</v>
      </c>
    </row>
    <row r="35" spans="8:26" x14ac:dyDescent="0.45">
      <c r="Z35" t="s">
        <v>54</v>
      </c>
    </row>
    <row r="36" spans="8:26" x14ac:dyDescent="0.45">
      <c r="H36" s="3"/>
      <c r="Z36" t="s">
        <v>55</v>
      </c>
    </row>
    <row r="37" spans="8:26" x14ac:dyDescent="0.45">
      <c r="H37" s="3"/>
      <c r="Z37" t="s">
        <v>56</v>
      </c>
    </row>
    <row r="38" spans="8:26" x14ac:dyDescent="0.45">
      <c r="H38" s="3"/>
      <c r="Z38" t="s">
        <v>57</v>
      </c>
    </row>
    <row r="39" spans="8:26" x14ac:dyDescent="0.45">
      <c r="H39" s="3"/>
      <c r="Z39" t="s">
        <v>58</v>
      </c>
    </row>
    <row r="40" spans="8:26" x14ac:dyDescent="0.45">
      <c r="H40" s="3"/>
      <c r="Z40" t="s">
        <v>59</v>
      </c>
    </row>
    <row r="41" spans="8:26" x14ac:dyDescent="0.45">
      <c r="H41" s="3"/>
      <c r="Z41" t="s">
        <v>60</v>
      </c>
    </row>
    <row r="42" spans="8:26" x14ac:dyDescent="0.45">
      <c r="H42" s="3"/>
      <c r="Z42" t="s">
        <v>61</v>
      </c>
    </row>
    <row r="43" spans="8:26" x14ac:dyDescent="0.45">
      <c r="H43" s="3"/>
      <c r="Z43" t="s">
        <v>62</v>
      </c>
    </row>
    <row r="44" spans="8:26" x14ac:dyDescent="0.45">
      <c r="H44" s="3"/>
      <c r="Z44" t="s">
        <v>63</v>
      </c>
    </row>
    <row r="45" spans="8:26" x14ac:dyDescent="0.45">
      <c r="H45" s="3"/>
      <c r="Z45" t="s">
        <v>64</v>
      </c>
    </row>
    <row r="46" spans="8:26" x14ac:dyDescent="0.45">
      <c r="H46" s="3"/>
      <c r="Z46" t="s">
        <v>65</v>
      </c>
    </row>
    <row r="47" spans="8:26" x14ac:dyDescent="0.45">
      <c r="H47" s="3"/>
      <c r="Z47" t="s">
        <v>66</v>
      </c>
    </row>
    <row r="48" spans="8:26" x14ac:dyDescent="0.45">
      <c r="H48" s="3"/>
      <c r="Z48" t="s">
        <v>67</v>
      </c>
    </row>
    <row r="49" spans="1:26" x14ac:dyDescent="0.45">
      <c r="H49" s="3"/>
      <c r="Z49" t="s">
        <v>68</v>
      </c>
    </row>
    <row r="50" spans="1:26" x14ac:dyDescent="0.45">
      <c r="E50" s="3"/>
      <c r="H50" s="3"/>
      <c r="Z50" t="s">
        <v>69</v>
      </c>
    </row>
    <row r="51" spans="1:26" x14ac:dyDescent="0.45">
      <c r="E51" s="3"/>
      <c r="H51" s="3"/>
      <c r="Z51" t="s">
        <v>70</v>
      </c>
    </row>
    <row r="52" spans="1:26" x14ac:dyDescent="0.45">
      <c r="E52" s="3"/>
      <c r="H52" s="3"/>
      <c r="Z52" t="s">
        <v>71</v>
      </c>
    </row>
    <row r="53" spans="1:26" x14ac:dyDescent="0.45">
      <c r="E53" s="3"/>
      <c r="H53" s="3"/>
      <c r="Z53" t="s">
        <v>72</v>
      </c>
    </row>
    <row r="54" spans="1:26" x14ac:dyDescent="0.45">
      <c r="E54" s="3"/>
      <c r="H54" s="3"/>
      <c r="Z54" t="s">
        <v>73</v>
      </c>
    </row>
    <row r="55" spans="1:26" x14ac:dyDescent="0.45">
      <c r="E55" s="3"/>
      <c r="Z55" t="s">
        <v>74</v>
      </c>
    </row>
    <row r="56" spans="1:26" x14ac:dyDescent="0.45">
      <c r="A56" s="3"/>
      <c r="B56" s="4"/>
      <c r="C56" s="4"/>
      <c r="D56" s="3"/>
      <c r="E56" s="3"/>
      <c r="F56" s="3"/>
      <c r="G56" s="3"/>
      <c r="Z56" t="s">
        <v>75</v>
      </c>
    </row>
    <row r="57" spans="1:26" x14ac:dyDescent="0.45">
      <c r="A57" s="3"/>
      <c r="B57" s="4"/>
      <c r="C57" s="4"/>
      <c r="D57" s="3"/>
      <c r="E57" s="3"/>
      <c r="F57" s="3"/>
      <c r="G57" s="3"/>
      <c r="Z57" t="s">
        <v>76</v>
      </c>
    </row>
    <row r="58" spans="1:26" x14ac:dyDescent="0.45">
      <c r="A58" s="3"/>
      <c r="B58" s="4"/>
      <c r="C58" s="4"/>
      <c r="D58" s="3"/>
      <c r="E58" s="3"/>
      <c r="F58" s="3"/>
      <c r="G58" s="3"/>
      <c r="Z58" t="s">
        <v>77</v>
      </c>
    </row>
    <row r="59" spans="1:26" x14ac:dyDescent="0.45">
      <c r="A59" s="3"/>
      <c r="B59" s="4"/>
      <c r="C59" s="4"/>
      <c r="D59" s="3"/>
      <c r="E59" s="3"/>
      <c r="F59" s="3"/>
      <c r="G59" s="3"/>
      <c r="Z59" t="s">
        <v>78</v>
      </c>
    </row>
    <row r="60" spans="1:26" x14ac:dyDescent="0.45">
      <c r="A60" s="3"/>
      <c r="B60" s="4"/>
      <c r="C60" s="4"/>
      <c r="D60" s="3"/>
      <c r="E60" s="3"/>
      <c r="F60" s="3"/>
      <c r="G60" s="3"/>
      <c r="Z60" t="s">
        <v>79</v>
      </c>
    </row>
    <row r="61" spans="1:26" x14ac:dyDescent="0.45">
      <c r="A61" s="3"/>
      <c r="B61" s="4"/>
      <c r="C61" s="4"/>
      <c r="D61" s="3"/>
      <c r="E61" s="3"/>
      <c r="F61" s="3"/>
      <c r="G61" s="3"/>
      <c r="Z61" t="s">
        <v>80</v>
      </c>
    </row>
    <row r="62" spans="1:26" x14ac:dyDescent="0.45">
      <c r="A62" s="3"/>
      <c r="B62" s="4"/>
      <c r="C62" s="4"/>
      <c r="D62" s="3"/>
      <c r="E62" s="3"/>
      <c r="F62" s="3"/>
      <c r="G62" s="3"/>
      <c r="Z62" t="s">
        <v>81</v>
      </c>
    </row>
    <row r="63" spans="1:26" x14ac:dyDescent="0.45">
      <c r="A63" s="3"/>
      <c r="B63" s="4"/>
      <c r="C63" s="4"/>
      <c r="D63" s="3"/>
      <c r="E63" s="3"/>
      <c r="F63" s="3"/>
      <c r="G63" s="3"/>
      <c r="Z63" t="s">
        <v>82</v>
      </c>
    </row>
    <row r="64" spans="1:26" x14ac:dyDescent="0.45">
      <c r="A64" s="3"/>
      <c r="B64" s="4"/>
      <c r="C64" s="4"/>
      <c r="D64" s="3"/>
      <c r="E64" s="3"/>
      <c r="F64" s="3"/>
      <c r="G64" s="3"/>
      <c r="Z64" t="s">
        <v>83</v>
      </c>
    </row>
    <row r="65" spans="1:26" x14ac:dyDescent="0.45">
      <c r="A65" s="3"/>
      <c r="B65" s="4"/>
      <c r="C65" s="4"/>
      <c r="D65" s="3"/>
      <c r="E65" s="3"/>
      <c r="F65" s="3"/>
      <c r="G65" s="3"/>
      <c r="Z65" t="s">
        <v>84</v>
      </c>
    </row>
    <row r="66" spans="1:26" x14ac:dyDescent="0.45">
      <c r="A66" s="3"/>
      <c r="B66" s="4"/>
      <c r="C66" s="4"/>
      <c r="D66" s="3"/>
      <c r="E66" s="3"/>
      <c r="F66" s="3"/>
      <c r="G66" s="3"/>
      <c r="Z66" t="s">
        <v>85</v>
      </c>
    </row>
    <row r="67" spans="1:26" x14ac:dyDescent="0.45">
      <c r="A67" s="3"/>
      <c r="B67" s="4"/>
      <c r="C67" s="4"/>
      <c r="D67" s="3"/>
      <c r="E67" s="3"/>
      <c r="F67" s="3"/>
      <c r="G67" s="3"/>
      <c r="Z67" t="s">
        <v>86</v>
      </c>
    </row>
    <row r="68" spans="1:26" x14ac:dyDescent="0.45">
      <c r="A68" s="3"/>
      <c r="B68" s="4"/>
      <c r="C68" s="4"/>
      <c r="D68" s="3"/>
      <c r="E68" s="3"/>
      <c r="F68" s="3"/>
      <c r="G68" s="3"/>
      <c r="Z68" t="s">
        <v>87</v>
      </c>
    </row>
    <row r="69" spans="1:26" x14ac:dyDescent="0.45">
      <c r="A69" s="3"/>
      <c r="B69" s="4"/>
      <c r="C69" s="4"/>
      <c r="D69" s="3"/>
      <c r="F69" s="3"/>
      <c r="G69" s="3"/>
      <c r="Z69" t="s">
        <v>88</v>
      </c>
    </row>
    <row r="70" spans="1:26" x14ac:dyDescent="0.45">
      <c r="A70" s="3"/>
      <c r="B70" s="4"/>
      <c r="C70" s="4"/>
      <c r="D70" s="3"/>
      <c r="F70" s="3"/>
      <c r="G70" s="3"/>
      <c r="Z70" t="s">
        <v>89</v>
      </c>
    </row>
    <row r="71" spans="1:26" x14ac:dyDescent="0.45">
      <c r="A71" s="3"/>
      <c r="B71" s="4"/>
      <c r="C71" s="4"/>
      <c r="D71" s="3"/>
      <c r="F71" s="3"/>
      <c r="G71" s="3"/>
      <c r="Z71" t="s">
        <v>90</v>
      </c>
    </row>
    <row r="72" spans="1:26" x14ac:dyDescent="0.45">
      <c r="A72" s="3"/>
      <c r="B72" s="4"/>
      <c r="C72" s="4"/>
      <c r="D72" s="3"/>
      <c r="F72" s="3"/>
      <c r="G72" s="3"/>
      <c r="Z72" t="s">
        <v>91</v>
      </c>
    </row>
    <row r="73" spans="1:26" x14ac:dyDescent="0.45">
      <c r="A73" s="3"/>
      <c r="B73" s="4"/>
      <c r="C73" s="4"/>
      <c r="D73" s="3"/>
      <c r="F73" s="3"/>
      <c r="G73" s="3"/>
      <c r="Z73" t="s">
        <v>92</v>
      </c>
    </row>
    <row r="74" spans="1:26" x14ac:dyDescent="0.45">
      <c r="A74" s="3"/>
      <c r="B74" s="4"/>
      <c r="C74" s="4"/>
      <c r="D74" s="3"/>
      <c r="F74" s="3"/>
      <c r="G74" s="3"/>
      <c r="Z74" t="s">
        <v>93</v>
      </c>
    </row>
    <row r="75" spans="1:26" x14ac:dyDescent="0.45">
      <c r="A75" s="3"/>
      <c r="Z75" t="s">
        <v>94</v>
      </c>
    </row>
    <row r="76" spans="1:26" x14ac:dyDescent="0.45">
      <c r="A76" s="3"/>
      <c r="Z76" t="s">
        <v>95</v>
      </c>
    </row>
    <row r="77" spans="1:26" x14ac:dyDescent="0.45">
      <c r="Z77" t="s">
        <v>96</v>
      </c>
    </row>
    <row r="78" spans="1:26" x14ac:dyDescent="0.45">
      <c r="Z78" t="s">
        <v>97</v>
      </c>
    </row>
    <row r="79" spans="1:26" x14ac:dyDescent="0.45">
      <c r="Z79" t="s">
        <v>98</v>
      </c>
    </row>
    <row r="80" spans="1:26" x14ac:dyDescent="0.45">
      <c r="Z80" t="s">
        <v>99</v>
      </c>
    </row>
    <row r="81" spans="26:26" x14ac:dyDescent="0.45">
      <c r="Z81" t="s">
        <v>100</v>
      </c>
    </row>
    <row r="82" spans="26:26" x14ac:dyDescent="0.45">
      <c r="Z82" t="s">
        <v>101</v>
      </c>
    </row>
    <row r="83" spans="26:26" x14ac:dyDescent="0.45">
      <c r="Z83" t="s">
        <v>102</v>
      </c>
    </row>
    <row r="84" spans="26:26" x14ac:dyDescent="0.45">
      <c r="Z84" t="s">
        <v>103</v>
      </c>
    </row>
    <row r="85" spans="26:26" x14ac:dyDescent="0.45">
      <c r="Z85" t="s">
        <v>104</v>
      </c>
    </row>
    <row r="86" spans="26:26" x14ac:dyDescent="0.45">
      <c r="Z86" t="s">
        <v>105</v>
      </c>
    </row>
    <row r="87" spans="26:26" x14ac:dyDescent="0.45">
      <c r="Z87" t="s">
        <v>106</v>
      </c>
    </row>
    <row r="88" spans="26:26" x14ac:dyDescent="0.45">
      <c r="Z88" t="s">
        <v>107</v>
      </c>
    </row>
    <row r="89" spans="26:26" x14ac:dyDescent="0.45">
      <c r="Z89" t="s">
        <v>108</v>
      </c>
    </row>
    <row r="90" spans="26:26" x14ac:dyDescent="0.45">
      <c r="Z90" t="s">
        <v>109</v>
      </c>
    </row>
    <row r="91" spans="26:26" x14ac:dyDescent="0.45">
      <c r="Z91" t="s">
        <v>110</v>
      </c>
    </row>
    <row r="92" spans="26:26" x14ac:dyDescent="0.45">
      <c r="Z92" t="s">
        <v>111</v>
      </c>
    </row>
    <row r="93" spans="26:26" x14ac:dyDescent="0.45">
      <c r="Z93" t="s">
        <v>112</v>
      </c>
    </row>
    <row r="94" spans="26:26" x14ac:dyDescent="0.45">
      <c r="Z94" t="s">
        <v>113</v>
      </c>
    </row>
    <row r="95" spans="26:26" x14ac:dyDescent="0.45">
      <c r="Z95" t="s">
        <v>114</v>
      </c>
    </row>
    <row r="96" spans="26:26" x14ac:dyDescent="0.45">
      <c r="Z96" t="s">
        <v>115</v>
      </c>
    </row>
    <row r="97" spans="26:26" x14ac:dyDescent="0.45">
      <c r="Z97" t="s">
        <v>116</v>
      </c>
    </row>
    <row r="98" spans="26:26" x14ac:dyDescent="0.45">
      <c r="Z98" t="s">
        <v>117</v>
      </c>
    </row>
    <row r="99" spans="26:26" x14ac:dyDescent="0.45">
      <c r="Z99" t="s">
        <v>118</v>
      </c>
    </row>
    <row r="100" spans="26:26" x14ac:dyDescent="0.45">
      <c r="Z100" t="s">
        <v>119</v>
      </c>
    </row>
    <row r="101" spans="26:26" x14ac:dyDescent="0.45">
      <c r="Z101" t="s">
        <v>120</v>
      </c>
    </row>
    <row r="102" spans="26:26" x14ac:dyDescent="0.45">
      <c r="Z102" t="s">
        <v>121</v>
      </c>
    </row>
    <row r="103" spans="26:26" x14ac:dyDescent="0.45">
      <c r="Z103" t="s">
        <v>122</v>
      </c>
    </row>
    <row r="104" spans="26:26" x14ac:dyDescent="0.45">
      <c r="Z104" t="s">
        <v>123</v>
      </c>
    </row>
    <row r="105" spans="26:26" x14ac:dyDescent="0.45">
      <c r="Z105" t="s">
        <v>124</v>
      </c>
    </row>
    <row r="106" spans="26:26" x14ac:dyDescent="0.45">
      <c r="Z106" t="s">
        <v>125</v>
      </c>
    </row>
    <row r="107" spans="26:26" x14ac:dyDescent="0.45">
      <c r="Z107" t="s">
        <v>126</v>
      </c>
    </row>
    <row r="108" spans="26:26" x14ac:dyDescent="0.45">
      <c r="Z108" t="s">
        <v>127</v>
      </c>
    </row>
    <row r="109" spans="26:26" x14ac:dyDescent="0.45">
      <c r="Z109" t="s">
        <v>128</v>
      </c>
    </row>
    <row r="110" spans="26:26" x14ac:dyDescent="0.45">
      <c r="Z110" t="s">
        <v>129</v>
      </c>
    </row>
    <row r="111" spans="26:26" x14ac:dyDescent="0.45">
      <c r="Z111" t="s">
        <v>130</v>
      </c>
    </row>
    <row r="112" spans="26:26" x14ac:dyDescent="0.45">
      <c r="Z112" t="s">
        <v>131</v>
      </c>
    </row>
    <row r="113" spans="26:26" x14ac:dyDescent="0.45">
      <c r="Z113" t="s">
        <v>132</v>
      </c>
    </row>
    <row r="114" spans="26:26" x14ac:dyDescent="0.45">
      <c r="Z114" t="s">
        <v>133</v>
      </c>
    </row>
    <row r="115" spans="26:26" x14ac:dyDescent="0.45">
      <c r="Z115" t="s">
        <v>134</v>
      </c>
    </row>
    <row r="116" spans="26:26" x14ac:dyDescent="0.45">
      <c r="Z116" t="s">
        <v>135</v>
      </c>
    </row>
    <row r="117" spans="26:26" x14ac:dyDescent="0.45">
      <c r="Z117" t="s">
        <v>136</v>
      </c>
    </row>
    <row r="118" spans="26:26" x14ac:dyDescent="0.45">
      <c r="Z118" t="s">
        <v>137</v>
      </c>
    </row>
    <row r="119" spans="26:26" x14ac:dyDescent="0.45">
      <c r="Z119" t="s">
        <v>138</v>
      </c>
    </row>
    <row r="120" spans="26:26" x14ac:dyDescent="0.45">
      <c r="Z120" t="s">
        <v>139</v>
      </c>
    </row>
    <row r="121" spans="26:26" x14ac:dyDescent="0.45">
      <c r="Z121" t="s">
        <v>140</v>
      </c>
    </row>
    <row r="122" spans="26:26" x14ac:dyDescent="0.45">
      <c r="Z122" t="s">
        <v>141</v>
      </c>
    </row>
    <row r="123" spans="26:26" x14ac:dyDescent="0.45">
      <c r="Z123" t="s">
        <v>142</v>
      </c>
    </row>
    <row r="124" spans="26:26" x14ac:dyDescent="0.45">
      <c r="Z124" t="s">
        <v>143</v>
      </c>
    </row>
    <row r="125" spans="26:26" x14ac:dyDescent="0.45">
      <c r="Z125" t="s">
        <v>144</v>
      </c>
    </row>
    <row r="126" spans="26:26" x14ac:dyDescent="0.45">
      <c r="Z126" t="s">
        <v>145</v>
      </c>
    </row>
    <row r="127" spans="26:26" x14ac:dyDescent="0.45">
      <c r="Z127" t="s">
        <v>146</v>
      </c>
    </row>
    <row r="128" spans="26:26" x14ac:dyDescent="0.45">
      <c r="Z128" t="s">
        <v>147</v>
      </c>
    </row>
    <row r="129" spans="26:26" x14ac:dyDescent="0.45">
      <c r="Z129" t="s">
        <v>148</v>
      </c>
    </row>
    <row r="130" spans="26:26" x14ac:dyDescent="0.45">
      <c r="Z130" t="s">
        <v>149</v>
      </c>
    </row>
    <row r="131" spans="26:26" x14ac:dyDescent="0.45">
      <c r="Z131" t="s">
        <v>150</v>
      </c>
    </row>
    <row r="132" spans="26:26" x14ac:dyDescent="0.45">
      <c r="Z132" t="s">
        <v>151</v>
      </c>
    </row>
    <row r="133" spans="26:26" x14ac:dyDescent="0.45">
      <c r="Z133" t="s">
        <v>152</v>
      </c>
    </row>
    <row r="134" spans="26:26" x14ac:dyDescent="0.45">
      <c r="Z134" t="s">
        <v>153</v>
      </c>
    </row>
    <row r="135" spans="26:26" x14ac:dyDescent="0.45">
      <c r="Z135" t="s">
        <v>154</v>
      </c>
    </row>
    <row r="136" spans="26:26" x14ac:dyDescent="0.45">
      <c r="Z136" t="s">
        <v>155</v>
      </c>
    </row>
    <row r="137" spans="26:26" x14ac:dyDescent="0.45">
      <c r="Z137" t="s">
        <v>156</v>
      </c>
    </row>
    <row r="138" spans="26:26" x14ac:dyDescent="0.45">
      <c r="Z138" t="s">
        <v>157</v>
      </c>
    </row>
    <row r="139" spans="26:26" x14ac:dyDescent="0.45">
      <c r="Z139" t="s">
        <v>158</v>
      </c>
    </row>
    <row r="140" spans="26:26" x14ac:dyDescent="0.45">
      <c r="Z140" t="s">
        <v>159</v>
      </c>
    </row>
    <row r="141" spans="26:26" x14ac:dyDescent="0.45">
      <c r="Z141" t="s">
        <v>160</v>
      </c>
    </row>
    <row r="142" spans="26:26" x14ac:dyDescent="0.45">
      <c r="Z142" t="s">
        <v>161</v>
      </c>
    </row>
    <row r="143" spans="26:26" x14ac:dyDescent="0.45">
      <c r="Z143" t="s">
        <v>162</v>
      </c>
    </row>
    <row r="144" spans="26:26" x14ac:dyDescent="0.45">
      <c r="Z144" t="s">
        <v>163</v>
      </c>
    </row>
    <row r="145" spans="26:26" x14ac:dyDescent="0.45">
      <c r="Z145" t="s">
        <v>164</v>
      </c>
    </row>
    <row r="146" spans="26:26" x14ac:dyDescent="0.45">
      <c r="Z146" t="s">
        <v>165</v>
      </c>
    </row>
    <row r="147" spans="26:26" x14ac:dyDescent="0.45">
      <c r="Z147" t="s">
        <v>166</v>
      </c>
    </row>
    <row r="148" spans="26:26" x14ac:dyDescent="0.45">
      <c r="Z148" t="s">
        <v>167</v>
      </c>
    </row>
    <row r="149" spans="26:26" x14ac:dyDescent="0.45">
      <c r="Z149" t="s">
        <v>168</v>
      </c>
    </row>
    <row r="150" spans="26:26" x14ac:dyDescent="0.45">
      <c r="Z150" t="s">
        <v>169</v>
      </c>
    </row>
    <row r="151" spans="26:26" x14ac:dyDescent="0.45">
      <c r="Z151" t="s">
        <v>170</v>
      </c>
    </row>
    <row r="152" spans="26:26" x14ac:dyDescent="0.45">
      <c r="Z152" t="s">
        <v>171</v>
      </c>
    </row>
    <row r="153" spans="26:26" x14ac:dyDescent="0.45">
      <c r="Z153" t="s">
        <v>172</v>
      </c>
    </row>
    <row r="154" spans="26:26" x14ac:dyDescent="0.45">
      <c r="Z154" t="s">
        <v>173</v>
      </c>
    </row>
    <row r="155" spans="26:26" x14ac:dyDescent="0.45">
      <c r="Z155" t="s">
        <v>174</v>
      </c>
    </row>
    <row r="156" spans="26:26" x14ac:dyDescent="0.45">
      <c r="Z156" t="s">
        <v>175</v>
      </c>
    </row>
    <row r="157" spans="26:26" x14ac:dyDescent="0.45">
      <c r="Z157" t="s">
        <v>176</v>
      </c>
    </row>
    <row r="158" spans="26:26" x14ac:dyDescent="0.45">
      <c r="Z158" t="s">
        <v>177</v>
      </c>
    </row>
    <row r="159" spans="26:26" x14ac:dyDescent="0.45">
      <c r="Z159" t="s">
        <v>178</v>
      </c>
    </row>
    <row r="160" spans="26:26" x14ac:dyDescent="0.45">
      <c r="Z160" t="s">
        <v>179</v>
      </c>
    </row>
    <row r="161" spans="26:26" x14ac:dyDescent="0.45">
      <c r="Z161" t="s">
        <v>180</v>
      </c>
    </row>
    <row r="162" spans="26:26" x14ac:dyDescent="0.45">
      <c r="Z162" t="s">
        <v>181</v>
      </c>
    </row>
    <row r="163" spans="26:26" x14ac:dyDescent="0.45">
      <c r="Z163" t="s">
        <v>182</v>
      </c>
    </row>
    <row r="164" spans="26:26" x14ac:dyDescent="0.45">
      <c r="Z164" t="s">
        <v>183</v>
      </c>
    </row>
    <row r="165" spans="26:26" x14ac:dyDescent="0.45">
      <c r="Z165" t="s">
        <v>184</v>
      </c>
    </row>
    <row r="166" spans="26:26" x14ac:dyDescent="0.45">
      <c r="Z166" t="s">
        <v>185</v>
      </c>
    </row>
    <row r="167" spans="26:26" x14ac:dyDescent="0.45">
      <c r="Z167" t="s">
        <v>186</v>
      </c>
    </row>
    <row r="168" spans="26:26" x14ac:dyDescent="0.45">
      <c r="Z168" t="s">
        <v>187</v>
      </c>
    </row>
    <row r="169" spans="26:26" x14ac:dyDescent="0.45">
      <c r="Z169" t="s">
        <v>188</v>
      </c>
    </row>
    <row r="170" spans="26:26" x14ac:dyDescent="0.45">
      <c r="Z170" t="s">
        <v>189</v>
      </c>
    </row>
    <row r="171" spans="26:26" x14ac:dyDescent="0.45">
      <c r="Z171" t="s">
        <v>190</v>
      </c>
    </row>
    <row r="172" spans="26:26" x14ac:dyDescent="0.45">
      <c r="Z172" t="s">
        <v>191</v>
      </c>
    </row>
    <row r="173" spans="26:26" x14ac:dyDescent="0.45">
      <c r="Z173" t="s">
        <v>192</v>
      </c>
    </row>
    <row r="174" spans="26:26" x14ac:dyDescent="0.45">
      <c r="Z174" t="s">
        <v>193</v>
      </c>
    </row>
    <row r="175" spans="26:26" x14ac:dyDescent="0.45">
      <c r="Z175" t="s">
        <v>194</v>
      </c>
    </row>
    <row r="176" spans="26:26" x14ac:dyDescent="0.45">
      <c r="Z176" t="s">
        <v>195</v>
      </c>
    </row>
    <row r="177" spans="26:26" x14ac:dyDescent="0.45">
      <c r="Z177" t="s">
        <v>196</v>
      </c>
    </row>
    <row r="178" spans="26:26" x14ac:dyDescent="0.45">
      <c r="Z178" t="s">
        <v>197</v>
      </c>
    </row>
    <row r="179" spans="26:26" x14ac:dyDescent="0.45">
      <c r="Z179" t="s">
        <v>198</v>
      </c>
    </row>
    <row r="180" spans="26:26" x14ac:dyDescent="0.45">
      <c r="Z180" t="s">
        <v>199</v>
      </c>
    </row>
    <row r="181" spans="26:26" x14ac:dyDescent="0.45">
      <c r="Z181" t="s">
        <v>200</v>
      </c>
    </row>
    <row r="182" spans="26:26" x14ac:dyDescent="0.45">
      <c r="Z182" t="s">
        <v>201</v>
      </c>
    </row>
    <row r="183" spans="26:26" x14ac:dyDescent="0.45">
      <c r="Z183" t="s">
        <v>202</v>
      </c>
    </row>
    <row r="184" spans="26:26" x14ac:dyDescent="0.45">
      <c r="Z184" t="s">
        <v>203</v>
      </c>
    </row>
    <row r="185" spans="26:26" x14ac:dyDescent="0.45">
      <c r="Z185" t="s">
        <v>204</v>
      </c>
    </row>
    <row r="186" spans="26:26" x14ac:dyDescent="0.45">
      <c r="Z186" t="s">
        <v>205</v>
      </c>
    </row>
    <row r="187" spans="26:26" x14ac:dyDescent="0.45">
      <c r="Z187" t="s">
        <v>206</v>
      </c>
    </row>
    <row r="188" spans="26:26" x14ac:dyDescent="0.45">
      <c r="Z188" t="s">
        <v>207</v>
      </c>
    </row>
    <row r="189" spans="26:26" x14ac:dyDescent="0.45">
      <c r="Z189" t="s">
        <v>208</v>
      </c>
    </row>
    <row r="190" spans="26:26" x14ac:dyDescent="0.45">
      <c r="Z190" t="s">
        <v>209</v>
      </c>
    </row>
    <row r="191" spans="26:26" x14ac:dyDescent="0.45">
      <c r="Z191" t="s">
        <v>210</v>
      </c>
    </row>
    <row r="192" spans="26:26" x14ac:dyDescent="0.45">
      <c r="Z192" t="s">
        <v>211</v>
      </c>
    </row>
    <row r="193" spans="26:26" x14ac:dyDescent="0.45">
      <c r="Z193" t="s">
        <v>212</v>
      </c>
    </row>
    <row r="194" spans="26:26" x14ac:dyDescent="0.45">
      <c r="Z194" t="s">
        <v>213</v>
      </c>
    </row>
    <row r="195" spans="26:26" x14ac:dyDescent="0.45">
      <c r="Z195" t="s">
        <v>214</v>
      </c>
    </row>
    <row r="196" spans="26:26" x14ac:dyDescent="0.45">
      <c r="Z196" t="s">
        <v>215</v>
      </c>
    </row>
    <row r="197" spans="26:26" x14ac:dyDescent="0.45">
      <c r="Z197" t="s">
        <v>216</v>
      </c>
    </row>
    <row r="198" spans="26:26" x14ac:dyDescent="0.45">
      <c r="Z198" t="s">
        <v>217</v>
      </c>
    </row>
    <row r="199" spans="26:26" x14ac:dyDescent="0.45">
      <c r="Z199" t="s">
        <v>218</v>
      </c>
    </row>
    <row r="200" spans="26:26" x14ac:dyDescent="0.45">
      <c r="Z200" t="s">
        <v>219</v>
      </c>
    </row>
    <row r="201" spans="26:26" x14ac:dyDescent="0.45">
      <c r="Z201" t="s">
        <v>220</v>
      </c>
    </row>
    <row r="202" spans="26:26" x14ac:dyDescent="0.45">
      <c r="Z202" t="s">
        <v>221</v>
      </c>
    </row>
    <row r="203" spans="26:26" x14ac:dyDescent="0.45">
      <c r="Z203" t="s">
        <v>222</v>
      </c>
    </row>
    <row r="204" spans="26:26" x14ac:dyDescent="0.45">
      <c r="Z204" t="s">
        <v>223</v>
      </c>
    </row>
    <row r="205" spans="26:26" x14ac:dyDescent="0.45">
      <c r="Z205" t="s">
        <v>224</v>
      </c>
    </row>
    <row r="206" spans="26:26" x14ac:dyDescent="0.45">
      <c r="Z206" t="s">
        <v>225</v>
      </c>
    </row>
    <row r="207" spans="26:26" x14ac:dyDescent="0.45">
      <c r="Z207" t="s">
        <v>226</v>
      </c>
    </row>
    <row r="208" spans="26:26" x14ac:dyDescent="0.45">
      <c r="Z208" t="s">
        <v>227</v>
      </c>
    </row>
    <row r="209" spans="26:26" x14ac:dyDescent="0.45">
      <c r="Z209" t="s">
        <v>228</v>
      </c>
    </row>
    <row r="210" spans="26:26" x14ac:dyDescent="0.45">
      <c r="Z210" t="s">
        <v>229</v>
      </c>
    </row>
    <row r="211" spans="26:26" x14ac:dyDescent="0.45">
      <c r="Z211" t="s">
        <v>230</v>
      </c>
    </row>
    <row r="212" spans="26:26" x14ac:dyDescent="0.45">
      <c r="Z212" t="s">
        <v>231</v>
      </c>
    </row>
    <row r="213" spans="26:26" x14ac:dyDescent="0.45">
      <c r="Z213" t="s">
        <v>232</v>
      </c>
    </row>
    <row r="214" spans="26:26" x14ac:dyDescent="0.45">
      <c r="Z214" t="s">
        <v>233</v>
      </c>
    </row>
    <row r="215" spans="26:26" x14ac:dyDescent="0.45">
      <c r="Z215" t="s">
        <v>234</v>
      </c>
    </row>
    <row r="216" spans="26:26" x14ac:dyDescent="0.45">
      <c r="Z216" t="s">
        <v>235</v>
      </c>
    </row>
    <row r="217" spans="26:26" x14ac:dyDescent="0.45">
      <c r="Z217" t="s">
        <v>236</v>
      </c>
    </row>
    <row r="218" spans="26:26" x14ac:dyDescent="0.45">
      <c r="Z218" t="s">
        <v>237</v>
      </c>
    </row>
    <row r="219" spans="26:26" x14ac:dyDescent="0.45">
      <c r="Z219" t="s">
        <v>238</v>
      </c>
    </row>
    <row r="220" spans="26:26" x14ac:dyDescent="0.45">
      <c r="Z220" t="s">
        <v>239</v>
      </c>
    </row>
    <row r="221" spans="26:26" x14ac:dyDescent="0.45">
      <c r="Z221" t="s">
        <v>240</v>
      </c>
    </row>
    <row r="222" spans="26:26" x14ac:dyDescent="0.45">
      <c r="Z222" t="s">
        <v>241</v>
      </c>
    </row>
    <row r="223" spans="26:26" x14ac:dyDescent="0.45">
      <c r="Z223" t="s">
        <v>242</v>
      </c>
    </row>
    <row r="224" spans="26:26" x14ac:dyDescent="0.45">
      <c r="Z224" t="s">
        <v>243</v>
      </c>
    </row>
    <row r="225" spans="26:26" x14ac:dyDescent="0.45">
      <c r="Z225" t="s">
        <v>244</v>
      </c>
    </row>
    <row r="226" spans="26:26" x14ac:dyDescent="0.45">
      <c r="Z226" t="s">
        <v>245</v>
      </c>
    </row>
    <row r="227" spans="26:26" x14ac:dyDescent="0.45">
      <c r="Z227" t="s">
        <v>246</v>
      </c>
    </row>
    <row r="228" spans="26:26" x14ac:dyDescent="0.45">
      <c r="Z228" t="s">
        <v>247</v>
      </c>
    </row>
    <row r="229" spans="26:26" x14ac:dyDescent="0.45">
      <c r="Z229" t="s">
        <v>248</v>
      </c>
    </row>
    <row r="230" spans="26:26" x14ac:dyDescent="0.45">
      <c r="Z230" t="s">
        <v>249</v>
      </c>
    </row>
    <row r="231" spans="26:26" x14ac:dyDescent="0.45">
      <c r="Z231" t="s">
        <v>250</v>
      </c>
    </row>
    <row r="232" spans="26:26" x14ac:dyDescent="0.45">
      <c r="Z232" t="s">
        <v>251</v>
      </c>
    </row>
    <row r="233" spans="26:26" x14ac:dyDescent="0.45">
      <c r="Z233" t="s">
        <v>252</v>
      </c>
    </row>
    <row r="234" spans="26:26" x14ac:dyDescent="0.45">
      <c r="Z234" t="s">
        <v>253</v>
      </c>
    </row>
    <row r="235" spans="26:26" x14ac:dyDescent="0.45">
      <c r="Z235" t="s">
        <v>254</v>
      </c>
    </row>
    <row r="236" spans="26:26" x14ac:dyDescent="0.45">
      <c r="Z236" t="s">
        <v>255</v>
      </c>
    </row>
    <row r="237" spans="26:26" x14ac:dyDescent="0.45">
      <c r="Z237" t="s">
        <v>256</v>
      </c>
    </row>
    <row r="238" spans="26:26" x14ac:dyDescent="0.45">
      <c r="Z238" t="s">
        <v>257</v>
      </c>
    </row>
    <row r="239" spans="26:26" x14ac:dyDescent="0.45">
      <c r="Z239" t="s">
        <v>258</v>
      </c>
    </row>
    <row r="240" spans="26:26" x14ac:dyDescent="0.45">
      <c r="Z240" t="s">
        <v>259</v>
      </c>
    </row>
    <row r="241" spans="26:26" x14ac:dyDescent="0.45">
      <c r="Z241" t="s">
        <v>260</v>
      </c>
    </row>
    <row r="242" spans="26:26" x14ac:dyDescent="0.45">
      <c r="Z242" t="s">
        <v>261</v>
      </c>
    </row>
    <row r="243" spans="26:26" x14ac:dyDescent="0.45">
      <c r="Z243" t="s">
        <v>262</v>
      </c>
    </row>
    <row r="244" spans="26:26" x14ac:dyDescent="0.45">
      <c r="Z244" t="s">
        <v>263</v>
      </c>
    </row>
    <row r="245" spans="26:26" x14ac:dyDescent="0.45">
      <c r="Z245" t="s">
        <v>264</v>
      </c>
    </row>
    <row r="246" spans="26:26" x14ac:dyDescent="0.45">
      <c r="Z246" t="s">
        <v>265</v>
      </c>
    </row>
    <row r="247" spans="26:26" x14ac:dyDescent="0.45">
      <c r="Z247" t="s">
        <v>266</v>
      </c>
    </row>
    <row r="248" spans="26:26" x14ac:dyDescent="0.45">
      <c r="Z248" t="s">
        <v>267</v>
      </c>
    </row>
    <row r="249" spans="26:26" x14ac:dyDescent="0.45">
      <c r="Z249" t="s">
        <v>268</v>
      </c>
    </row>
    <row r="250" spans="26:26" x14ac:dyDescent="0.45">
      <c r="Z250" t="s">
        <v>269</v>
      </c>
    </row>
    <row r="251" spans="26:26" x14ac:dyDescent="0.45">
      <c r="Z251" t="s">
        <v>270</v>
      </c>
    </row>
    <row r="252" spans="26:26" x14ac:dyDescent="0.45">
      <c r="Z252" t="s">
        <v>271</v>
      </c>
    </row>
    <row r="253" spans="26:26" x14ac:dyDescent="0.45">
      <c r="Z253" t="s">
        <v>272</v>
      </c>
    </row>
    <row r="254" spans="26:26" x14ac:dyDescent="0.45">
      <c r="Z254" t="s">
        <v>273</v>
      </c>
    </row>
    <row r="255" spans="26:26" x14ac:dyDescent="0.45">
      <c r="Z255" t="s">
        <v>274</v>
      </c>
    </row>
    <row r="256" spans="26:26" x14ac:dyDescent="0.45">
      <c r="Z256" t="s">
        <v>275</v>
      </c>
    </row>
    <row r="257" spans="26:26" x14ac:dyDescent="0.45">
      <c r="Z257" t="s">
        <v>276</v>
      </c>
    </row>
    <row r="258" spans="26:26" x14ac:dyDescent="0.45">
      <c r="Z258" t="s">
        <v>277</v>
      </c>
    </row>
    <row r="259" spans="26:26" x14ac:dyDescent="0.45">
      <c r="Z259" t="s">
        <v>278</v>
      </c>
    </row>
    <row r="260" spans="26:26" x14ac:dyDescent="0.45">
      <c r="Z260" t="s">
        <v>279</v>
      </c>
    </row>
    <row r="261" spans="26:26" x14ac:dyDescent="0.45">
      <c r="Z261" t="s">
        <v>280</v>
      </c>
    </row>
    <row r="262" spans="26:26" x14ac:dyDescent="0.45">
      <c r="Z262" t="s">
        <v>281</v>
      </c>
    </row>
    <row r="263" spans="26:26" x14ac:dyDescent="0.45">
      <c r="Z263" t="s">
        <v>282</v>
      </c>
    </row>
    <row r="264" spans="26:26" x14ac:dyDescent="0.45">
      <c r="Z264" t="s">
        <v>283</v>
      </c>
    </row>
    <row r="265" spans="26:26" x14ac:dyDescent="0.45">
      <c r="Z265" t="s">
        <v>284</v>
      </c>
    </row>
    <row r="266" spans="26:26" x14ac:dyDescent="0.45">
      <c r="Z266" t="s">
        <v>285</v>
      </c>
    </row>
    <row r="267" spans="26:26" x14ac:dyDescent="0.45">
      <c r="Z267" t="s">
        <v>286</v>
      </c>
    </row>
    <row r="268" spans="26:26" x14ac:dyDescent="0.45">
      <c r="Z268" t="s">
        <v>287</v>
      </c>
    </row>
    <row r="269" spans="26:26" x14ac:dyDescent="0.45">
      <c r="Z269" t="s">
        <v>288</v>
      </c>
    </row>
    <row r="270" spans="26:26" x14ac:dyDescent="0.45">
      <c r="Z270" t="s">
        <v>289</v>
      </c>
    </row>
    <row r="271" spans="26:26" x14ac:dyDescent="0.45">
      <c r="Z271" t="s">
        <v>290</v>
      </c>
    </row>
    <row r="272" spans="26:26" x14ac:dyDescent="0.45">
      <c r="Z272" t="s">
        <v>291</v>
      </c>
    </row>
    <row r="273" spans="26:26" x14ac:dyDescent="0.45">
      <c r="Z273" t="s">
        <v>292</v>
      </c>
    </row>
    <row r="274" spans="26:26" x14ac:dyDescent="0.45">
      <c r="Z274" t="s">
        <v>293</v>
      </c>
    </row>
    <row r="275" spans="26:26" x14ac:dyDescent="0.45">
      <c r="Z275" t="s">
        <v>294</v>
      </c>
    </row>
    <row r="276" spans="26:26" x14ac:dyDescent="0.45">
      <c r="Z276" t="s">
        <v>295</v>
      </c>
    </row>
    <row r="277" spans="26:26" x14ac:dyDescent="0.45">
      <c r="Z277" t="s">
        <v>296</v>
      </c>
    </row>
    <row r="278" spans="26:26" x14ac:dyDescent="0.45">
      <c r="Z278" t="s">
        <v>297</v>
      </c>
    </row>
    <row r="279" spans="26:26" x14ac:dyDescent="0.45">
      <c r="Z279" t="s">
        <v>298</v>
      </c>
    </row>
    <row r="280" spans="26:26" x14ac:dyDescent="0.45">
      <c r="Z280" t="s">
        <v>299</v>
      </c>
    </row>
    <row r="281" spans="26:26" x14ac:dyDescent="0.45">
      <c r="Z281" t="s">
        <v>300</v>
      </c>
    </row>
    <row r="282" spans="26:26" x14ac:dyDescent="0.45">
      <c r="Z282" t="s">
        <v>301</v>
      </c>
    </row>
    <row r="283" spans="26:26" x14ac:dyDescent="0.45">
      <c r="Z283" t="s">
        <v>302</v>
      </c>
    </row>
    <row r="284" spans="26:26" x14ac:dyDescent="0.45">
      <c r="Z284" t="s">
        <v>303</v>
      </c>
    </row>
    <row r="285" spans="26:26" x14ac:dyDescent="0.45">
      <c r="Z285" t="s">
        <v>304</v>
      </c>
    </row>
    <row r="286" spans="26:26" x14ac:dyDescent="0.45">
      <c r="Z286" t="s">
        <v>305</v>
      </c>
    </row>
    <row r="287" spans="26:26" x14ac:dyDescent="0.45">
      <c r="Z287" t="s">
        <v>306</v>
      </c>
    </row>
    <row r="288" spans="26:26" x14ac:dyDescent="0.45">
      <c r="Z288" t="s">
        <v>307</v>
      </c>
    </row>
    <row r="289" spans="26:26" x14ac:dyDescent="0.45">
      <c r="Z289" t="s">
        <v>308</v>
      </c>
    </row>
    <row r="290" spans="26:26" x14ac:dyDescent="0.45">
      <c r="Z290" t="s">
        <v>309</v>
      </c>
    </row>
    <row r="291" spans="26:26" x14ac:dyDescent="0.45">
      <c r="Z291" t="s">
        <v>310</v>
      </c>
    </row>
    <row r="292" spans="26:26" x14ac:dyDescent="0.45">
      <c r="Z292" t="s">
        <v>311</v>
      </c>
    </row>
    <row r="293" spans="26:26" x14ac:dyDescent="0.45">
      <c r="Z293" t="s">
        <v>312</v>
      </c>
    </row>
    <row r="294" spans="26:26" x14ac:dyDescent="0.45">
      <c r="Z294" t="s">
        <v>313</v>
      </c>
    </row>
    <row r="295" spans="26:26" x14ac:dyDescent="0.45">
      <c r="Z295" t="s">
        <v>314</v>
      </c>
    </row>
    <row r="296" spans="26:26" x14ac:dyDescent="0.45">
      <c r="Z296" t="s">
        <v>315</v>
      </c>
    </row>
    <row r="297" spans="26:26" x14ac:dyDescent="0.45">
      <c r="Z297" t="s">
        <v>316</v>
      </c>
    </row>
    <row r="298" spans="26:26" x14ac:dyDescent="0.45">
      <c r="Z298" t="s">
        <v>317</v>
      </c>
    </row>
    <row r="299" spans="26:26" x14ac:dyDescent="0.45">
      <c r="Z299" t="s">
        <v>318</v>
      </c>
    </row>
    <row r="300" spans="26:26" x14ac:dyDescent="0.45">
      <c r="Z300" t="s">
        <v>319</v>
      </c>
    </row>
    <row r="301" spans="26:26" x14ac:dyDescent="0.45">
      <c r="Z301" t="s">
        <v>320</v>
      </c>
    </row>
    <row r="302" spans="26:26" x14ac:dyDescent="0.45">
      <c r="Z302" t="s">
        <v>321</v>
      </c>
    </row>
    <row r="303" spans="26:26" x14ac:dyDescent="0.45">
      <c r="Z303" t="s">
        <v>322</v>
      </c>
    </row>
    <row r="304" spans="26:26" x14ac:dyDescent="0.45">
      <c r="Z304" t="s">
        <v>323</v>
      </c>
    </row>
    <row r="305" spans="26:26" x14ac:dyDescent="0.45">
      <c r="Z305" t="s">
        <v>324</v>
      </c>
    </row>
    <row r="306" spans="26:26" x14ac:dyDescent="0.45">
      <c r="Z306" t="s">
        <v>325</v>
      </c>
    </row>
    <row r="307" spans="26:26" x14ac:dyDescent="0.45">
      <c r="Z307" t="s">
        <v>326</v>
      </c>
    </row>
    <row r="308" spans="26:26" x14ac:dyDescent="0.45">
      <c r="Z308" t="s">
        <v>327</v>
      </c>
    </row>
    <row r="309" spans="26:26" x14ac:dyDescent="0.45">
      <c r="Z309" t="s">
        <v>328</v>
      </c>
    </row>
    <row r="310" spans="26:26" x14ac:dyDescent="0.45">
      <c r="Z310" t="s">
        <v>329</v>
      </c>
    </row>
    <row r="311" spans="26:26" x14ac:dyDescent="0.45">
      <c r="Z311" t="s">
        <v>330</v>
      </c>
    </row>
    <row r="312" spans="26:26" x14ac:dyDescent="0.45">
      <c r="Z312" t="s">
        <v>331</v>
      </c>
    </row>
    <row r="313" spans="26:26" x14ac:dyDescent="0.45">
      <c r="Z313" t="s">
        <v>332</v>
      </c>
    </row>
    <row r="314" spans="26:26" x14ac:dyDescent="0.45">
      <c r="Z314" t="s">
        <v>333</v>
      </c>
    </row>
    <row r="315" spans="26:26" x14ac:dyDescent="0.45">
      <c r="Z315" t="s">
        <v>334</v>
      </c>
    </row>
    <row r="316" spans="26:26" x14ac:dyDescent="0.45">
      <c r="Z316" t="s">
        <v>335</v>
      </c>
    </row>
    <row r="317" spans="26:26" x14ac:dyDescent="0.45">
      <c r="Z317" t="s">
        <v>336</v>
      </c>
    </row>
    <row r="318" spans="26:26" x14ac:dyDescent="0.45">
      <c r="Z318" t="s">
        <v>337</v>
      </c>
    </row>
    <row r="319" spans="26:26" x14ac:dyDescent="0.45">
      <c r="Z319" t="s">
        <v>338</v>
      </c>
    </row>
    <row r="320" spans="26:26" x14ac:dyDescent="0.45">
      <c r="Z320" t="s">
        <v>339</v>
      </c>
    </row>
    <row r="321" spans="26:26" x14ac:dyDescent="0.45">
      <c r="Z321" t="s">
        <v>340</v>
      </c>
    </row>
    <row r="322" spans="26:26" x14ac:dyDescent="0.45">
      <c r="Z322" t="s">
        <v>341</v>
      </c>
    </row>
    <row r="323" spans="26:26" x14ac:dyDescent="0.45">
      <c r="Z323" t="s">
        <v>342</v>
      </c>
    </row>
    <row r="324" spans="26:26" x14ac:dyDescent="0.45">
      <c r="Z324" t="s">
        <v>343</v>
      </c>
    </row>
    <row r="325" spans="26:26" x14ac:dyDescent="0.45">
      <c r="Z325" t="s">
        <v>344</v>
      </c>
    </row>
    <row r="326" spans="26:26" x14ac:dyDescent="0.45">
      <c r="Z326" t="s">
        <v>345</v>
      </c>
    </row>
    <row r="327" spans="26:26" x14ac:dyDescent="0.45">
      <c r="Z327" t="s">
        <v>346</v>
      </c>
    </row>
    <row r="328" spans="26:26" x14ac:dyDescent="0.45">
      <c r="Z328" t="s">
        <v>347</v>
      </c>
    </row>
    <row r="329" spans="26:26" x14ac:dyDescent="0.45">
      <c r="Z329" t="s">
        <v>348</v>
      </c>
    </row>
    <row r="330" spans="26:26" x14ac:dyDescent="0.45">
      <c r="Z330" t="s">
        <v>349</v>
      </c>
    </row>
    <row r="331" spans="26:26" x14ac:dyDescent="0.45">
      <c r="Z331" t="s">
        <v>350</v>
      </c>
    </row>
    <row r="332" spans="26:26" x14ac:dyDescent="0.45">
      <c r="Z332" t="s">
        <v>351</v>
      </c>
    </row>
    <row r="333" spans="26:26" x14ac:dyDescent="0.45">
      <c r="Z333" t="s">
        <v>352</v>
      </c>
    </row>
    <row r="334" spans="26:26" x14ac:dyDescent="0.45">
      <c r="Z334" t="s">
        <v>353</v>
      </c>
    </row>
    <row r="335" spans="26:26" x14ac:dyDescent="0.45">
      <c r="Z335" t="s">
        <v>354</v>
      </c>
    </row>
    <row r="336" spans="26:26" x14ac:dyDescent="0.45">
      <c r="Z336" t="s">
        <v>355</v>
      </c>
    </row>
    <row r="337" spans="26:26" x14ac:dyDescent="0.45">
      <c r="Z337" t="s">
        <v>356</v>
      </c>
    </row>
    <row r="338" spans="26:26" x14ac:dyDescent="0.45">
      <c r="Z338" t="s">
        <v>357</v>
      </c>
    </row>
    <row r="339" spans="26:26" x14ac:dyDescent="0.45">
      <c r="Z339" t="s">
        <v>358</v>
      </c>
    </row>
    <row r="340" spans="26:26" x14ac:dyDescent="0.45">
      <c r="Z340" t="s">
        <v>359</v>
      </c>
    </row>
    <row r="341" spans="26:26" x14ac:dyDescent="0.45">
      <c r="Z341" t="s">
        <v>360</v>
      </c>
    </row>
    <row r="342" spans="26:26" x14ac:dyDescent="0.45">
      <c r="Z342" t="s">
        <v>361</v>
      </c>
    </row>
    <row r="343" spans="26:26" x14ac:dyDescent="0.45">
      <c r="Z343" t="s">
        <v>362</v>
      </c>
    </row>
    <row r="344" spans="26:26" x14ac:dyDescent="0.45">
      <c r="Z344" t="s">
        <v>363</v>
      </c>
    </row>
    <row r="345" spans="26:26" x14ac:dyDescent="0.45">
      <c r="Z345" t="s">
        <v>364</v>
      </c>
    </row>
    <row r="346" spans="26:26" x14ac:dyDescent="0.45">
      <c r="Z346" t="s">
        <v>365</v>
      </c>
    </row>
    <row r="347" spans="26:26" x14ac:dyDescent="0.45">
      <c r="Z347" t="s">
        <v>366</v>
      </c>
    </row>
    <row r="348" spans="26:26" x14ac:dyDescent="0.45">
      <c r="Z348" t="s">
        <v>367</v>
      </c>
    </row>
    <row r="349" spans="26:26" x14ac:dyDescent="0.45">
      <c r="Z349" t="s">
        <v>368</v>
      </c>
    </row>
    <row r="350" spans="26:26" x14ac:dyDescent="0.45">
      <c r="Z350" t="s">
        <v>369</v>
      </c>
    </row>
    <row r="351" spans="26:26" x14ac:dyDescent="0.45">
      <c r="Z351" t="s">
        <v>370</v>
      </c>
    </row>
    <row r="352" spans="26:26" x14ac:dyDescent="0.45">
      <c r="Z352" t="s">
        <v>371</v>
      </c>
    </row>
    <row r="353" spans="26:26" x14ac:dyDescent="0.45">
      <c r="Z353" t="s">
        <v>372</v>
      </c>
    </row>
    <row r="354" spans="26:26" x14ac:dyDescent="0.45">
      <c r="Z354" t="s">
        <v>373</v>
      </c>
    </row>
    <row r="355" spans="26:26" x14ac:dyDescent="0.45">
      <c r="Z355" t="s">
        <v>374</v>
      </c>
    </row>
    <row r="356" spans="26:26" x14ac:dyDescent="0.45">
      <c r="Z356" t="s">
        <v>375</v>
      </c>
    </row>
    <row r="357" spans="26:26" x14ac:dyDescent="0.45">
      <c r="Z357" t="s">
        <v>376</v>
      </c>
    </row>
    <row r="358" spans="26:26" x14ac:dyDescent="0.45">
      <c r="Z358" t="s">
        <v>377</v>
      </c>
    </row>
    <row r="359" spans="26:26" x14ac:dyDescent="0.45">
      <c r="Z359" t="s">
        <v>378</v>
      </c>
    </row>
    <row r="360" spans="26:26" x14ac:dyDescent="0.45">
      <c r="Z360" t="s">
        <v>379</v>
      </c>
    </row>
    <row r="361" spans="26:26" x14ac:dyDescent="0.45">
      <c r="Z361" t="s">
        <v>380</v>
      </c>
    </row>
    <row r="362" spans="26:26" x14ac:dyDescent="0.45">
      <c r="Z362" t="s">
        <v>381</v>
      </c>
    </row>
    <row r="363" spans="26:26" x14ac:dyDescent="0.45">
      <c r="Z363" t="s">
        <v>382</v>
      </c>
    </row>
    <row r="364" spans="26:26" x14ac:dyDescent="0.45">
      <c r="Z364" t="s">
        <v>383</v>
      </c>
    </row>
    <row r="365" spans="26:26" x14ac:dyDescent="0.45">
      <c r="Z365" t="s">
        <v>384</v>
      </c>
    </row>
    <row r="366" spans="26:26" x14ac:dyDescent="0.45">
      <c r="Z366" t="s">
        <v>385</v>
      </c>
    </row>
    <row r="367" spans="26:26" x14ac:dyDescent="0.45">
      <c r="Z367" t="s">
        <v>386</v>
      </c>
    </row>
    <row r="368" spans="26:26" x14ac:dyDescent="0.45">
      <c r="Z368" t="s">
        <v>387</v>
      </c>
    </row>
    <row r="369" spans="26:26" x14ac:dyDescent="0.45">
      <c r="Z369" t="s">
        <v>388</v>
      </c>
    </row>
    <row r="370" spans="26:26" x14ac:dyDescent="0.45">
      <c r="Z370" t="s">
        <v>389</v>
      </c>
    </row>
    <row r="371" spans="26:26" x14ac:dyDescent="0.45">
      <c r="Z371" t="s">
        <v>390</v>
      </c>
    </row>
    <row r="372" spans="26:26" x14ac:dyDescent="0.45">
      <c r="Z372" t="s">
        <v>391</v>
      </c>
    </row>
    <row r="373" spans="26:26" x14ac:dyDescent="0.45">
      <c r="Z373" t="s">
        <v>392</v>
      </c>
    </row>
    <row r="374" spans="26:26" x14ac:dyDescent="0.45">
      <c r="Z374" t="s">
        <v>393</v>
      </c>
    </row>
    <row r="375" spans="26:26" x14ac:dyDescent="0.45">
      <c r="Z375" t="s">
        <v>394</v>
      </c>
    </row>
    <row r="376" spans="26:26" x14ac:dyDescent="0.45">
      <c r="Z376" t="s">
        <v>395</v>
      </c>
    </row>
    <row r="377" spans="26:26" x14ac:dyDescent="0.45">
      <c r="Z377" t="s">
        <v>396</v>
      </c>
    </row>
    <row r="378" spans="26:26" x14ac:dyDescent="0.45">
      <c r="Z378" t="s">
        <v>397</v>
      </c>
    </row>
    <row r="379" spans="26:26" x14ac:dyDescent="0.45">
      <c r="Z379" t="s">
        <v>398</v>
      </c>
    </row>
    <row r="380" spans="26:26" x14ac:dyDescent="0.45">
      <c r="Z380" t="s">
        <v>399</v>
      </c>
    </row>
    <row r="381" spans="26:26" x14ac:dyDescent="0.45">
      <c r="Z381" t="s">
        <v>400</v>
      </c>
    </row>
    <row r="382" spans="26:26" x14ac:dyDescent="0.45">
      <c r="Z382" t="s">
        <v>401</v>
      </c>
    </row>
    <row r="383" spans="26:26" x14ac:dyDescent="0.45">
      <c r="Z383" t="s">
        <v>402</v>
      </c>
    </row>
    <row r="384" spans="26:26" x14ac:dyDescent="0.45">
      <c r="Z384" t="s">
        <v>403</v>
      </c>
    </row>
    <row r="385" spans="26:26" x14ac:dyDescent="0.45">
      <c r="Z385" t="s">
        <v>404</v>
      </c>
    </row>
    <row r="386" spans="26:26" x14ac:dyDescent="0.45">
      <c r="Z386" t="s">
        <v>405</v>
      </c>
    </row>
    <row r="387" spans="26:26" x14ac:dyDescent="0.45">
      <c r="Z387" t="s">
        <v>406</v>
      </c>
    </row>
    <row r="388" spans="26:26" x14ac:dyDescent="0.45">
      <c r="Z388" t="s">
        <v>407</v>
      </c>
    </row>
    <row r="389" spans="26:26" x14ac:dyDescent="0.45">
      <c r="Z389" t="s">
        <v>408</v>
      </c>
    </row>
    <row r="390" spans="26:26" x14ac:dyDescent="0.45">
      <c r="Z390" t="s">
        <v>409</v>
      </c>
    </row>
    <row r="391" spans="26:26" x14ac:dyDescent="0.45">
      <c r="Z391" t="s">
        <v>410</v>
      </c>
    </row>
    <row r="392" spans="26:26" x14ac:dyDescent="0.45">
      <c r="Z392" t="s">
        <v>411</v>
      </c>
    </row>
    <row r="393" spans="26:26" x14ac:dyDescent="0.45">
      <c r="Z393" t="s">
        <v>412</v>
      </c>
    </row>
    <row r="394" spans="26:26" x14ac:dyDescent="0.45">
      <c r="Z394" t="s">
        <v>413</v>
      </c>
    </row>
    <row r="395" spans="26:26" x14ac:dyDescent="0.45">
      <c r="Z395" t="s">
        <v>414</v>
      </c>
    </row>
    <row r="396" spans="26:26" x14ac:dyDescent="0.45">
      <c r="Z396" t="s">
        <v>415</v>
      </c>
    </row>
    <row r="397" spans="26:26" x14ac:dyDescent="0.45">
      <c r="Z397" t="s">
        <v>416</v>
      </c>
    </row>
    <row r="398" spans="26:26" x14ac:dyDescent="0.45">
      <c r="Z398" t="s">
        <v>417</v>
      </c>
    </row>
    <row r="399" spans="26:26" x14ac:dyDescent="0.45">
      <c r="Z399" t="s">
        <v>418</v>
      </c>
    </row>
    <row r="400" spans="26:26" x14ac:dyDescent="0.45">
      <c r="Z400" t="s">
        <v>419</v>
      </c>
    </row>
    <row r="401" spans="26:26" x14ac:dyDescent="0.45">
      <c r="Z401" t="s">
        <v>420</v>
      </c>
    </row>
    <row r="402" spans="26:26" x14ac:dyDescent="0.45">
      <c r="Z402" t="s">
        <v>421</v>
      </c>
    </row>
    <row r="403" spans="26:26" x14ac:dyDescent="0.45">
      <c r="Z403" t="s">
        <v>422</v>
      </c>
    </row>
    <row r="404" spans="26:26" x14ac:dyDescent="0.45">
      <c r="Z404" t="s">
        <v>423</v>
      </c>
    </row>
  </sheetData>
  <mergeCells count="5">
    <mergeCell ref="B11:C15"/>
    <mergeCell ref="B1:H1"/>
    <mergeCell ref="B5:C10"/>
    <mergeCell ref="B4:C4"/>
    <mergeCell ref="B2:D2"/>
  </mergeCells>
  <dataValidations count="3">
    <dataValidation type="list" showInputMessage="1" showErrorMessage="1" sqref="B1" xr:uid="{00000000-0002-0000-0200-000000000000}">
      <formula1>$Z$1:$Z$405</formula1>
    </dataValidation>
    <dataValidation type="list" sqref="B1" xr:uid="{00000000-0002-0000-0200-000001000000}">
      <formula1>Z1:Z403</formula1>
    </dataValidation>
    <dataValidation type="list" sqref="B1" xr:uid="{00000000-0002-0000-0200-000002000000}">
      <formula1>Z1:Z404</formula1>
    </dataValidation>
  </dataValidations>
  <pageMargins left="0.7" right="0.7" top="0.75" bottom="0.75" header="0.3" footer="0.3"/>
  <pageSetup scale="74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405"/>
  <sheetViews>
    <sheetView topLeftCell="B1" zoomScale="95" zoomScaleNormal="95" workbookViewId="0">
      <selection activeCell="V17" sqref="V16:V17"/>
    </sheetView>
  </sheetViews>
  <sheetFormatPr defaultRowHeight="14.6" x14ac:dyDescent="0.4"/>
  <cols>
    <col min="12" max="12" width="23.921875" bestFit="1" customWidth="1"/>
    <col min="25" max="25" width="20.84375" style="53" bestFit="1" customWidth="1"/>
    <col min="26" max="26" width="16.61328125" bestFit="1" customWidth="1"/>
  </cols>
  <sheetData>
    <row r="1" spans="1:26" x14ac:dyDescent="0.4">
      <c r="A1" t="s">
        <v>544</v>
      </c>
      <c r="B1" t="s">
        <v>545</v>
      </c>
      <c r="C1" t="s">
        <v>546</v>
      </c>
      <c r="D1" t="s">
        <v>522</v>
      </c>
      <c r="E1" t="s">
        <v>523</v>
      </c>
      <c r="F1" t="s">
        <v>441</v>
      </c>
      <c r="G1" t="s">
        <v>524</v>
      </c>
      <c r="H1" t="s">
        <v>525</v>
      </c>
      <c r="I1" t="s">
        <v>526</v>
      </c>
      <c r="J1" t="s">
        <v>527</v>
      </c>
      <c r="K1" t="s">
        <v>528</v>
      </c>
      <c r="L1" t="s">
        <v>529</v>
      </c>
      <c r="M1" t="s">
        <v>530</v>
      </c>
      <c r="N1" t="s">
        <v>531</v>
      </c>
      <c r="O1" t="s">
        <v>532</v>
      </c>
      <c r="P1" t="s">
        <v>533</v>
      </c>
      <c r="Q1" t="s">
        <v>534</v>
      </c>
      <c r="R1" t="s">
        <v>535</v>
      </c>
      <c r="S1" t="s">
        <v>536</v>
      </c>
      <c r="T1" t="s">
        <v>537</v>
      </c>
      <c r="U1" t="s">
        <v>538</v>
      </c>
      <c r="V1" t="s">
        <v>539</v>
      </c>
      <c r="W1" t="s">
        <v>540</v>
      </c>
      <c r="X1" t="s">
        <v>541</v>
      </c>
      <c r="Y1" s="53" t="s">
        <v>542</v>
      </c>
      <c r="Z1" t="s">
        <v>543</v>
      </c>
    </row>
    <row r="2" spans="1:26" x14ac:dyDescent="0.4">
      <c r="A2" t="s">
        <v>547</v>
      </c>
      <c r="B2" t="s">
        <v>548</v>
      </c>
      <c r="C2" t="s">
        <v>15</v>
      </c>
      <c r="D2">
        <v>3.91</v>
      </c>
      <c r="E2" t="s">
        <v>549</v>
      </c>
      <c r="F2">
        <v>5</v>
      </c>
      <c r="G2" t="s">
        <v>550</v>
      </c>
      <c r="H2">
        <v>5</v>
      </c>
      <c r="I2" t="s">
        <v>551</v>
      </c>
      <c r="J2">
        <v>5</v>
      </c>
      <c r="K2" t="s">
        <v>552</v>
      </c>
      <c r="L2">
        <v>5</v>
      </c>
      <c r="M2" t="s">
        <v>553</v>
      </c>
      <c r="N2">
        <v>5</v>
      </c>
      <c r="O2">
        <v>66.5</v>
      </c>
      <c r="P2">
        <v>4</v>
      </c>
      <c r="Q2" t="s">
        <v>554</v>
      </c>
      <c r="R2">
        <v>3</v>
      </c>
      <c r="S2" t="s">
        <v>555</v>
      </c>
      <c r="T2">
        <v>3</v>
      </c>
      <c r="U2" t="s">
        <v>556</v>
      </c>
      <c r="V2">
        <v>3</v>
      </c>
      <c r="W2" t="s">
        <v>557</v>
      </c>
      <c r="X2">
        <v>1</v>
      </c>
      <c r="Y2" t="s">
        <v>558</v>
      </c>
      <c r="Z2">
        <v>2</v>
      </c>
    </row>
    <row r="3" spans="1:26" x14ac:dyDescent="0.4">
      <c r="A3" t="s">
        <v>559</v>
      </c>
      <c r="B3" t="s">
        <v>560</v>
      </c>
      <c r="C3" t="s">
        <v>252</v>
      </c>
      <c r="D3">
        <v>2.92</v>
      </c>
      <c r="E3" t="s">
        <v>561</v>
      </c>
      <c r="F3">
        <v>4</v>
      </c>
      <c r="G3" t="s">
        <v>562</v>
      </c>
      <c r="H3">
        <v>4</v>
      </c>
      <c r="I3" t="s">
        <v>563</v>
      </c>
      <c r="J3">
        <v>4</v>
      </c>
      <c r="K3" t="s">
        <v>564</v>
      </c>
      <c r="L3">
        <v>3</v>
      </c>
      <c r="M3" t="s">
        <v>565</v>
      </c>
      <c r="N3">
        <v>5</v>
      </c>
      <c r="O3">
        <v>53.3</v>
      </c>
      <c r="P3">
        <v>1</v>
      </c>
      <c r="Q3" t="s">
        <v>566</v>
      </c>
      <c r="R3">
        <v>3</v>
      </c>
      <c r="S3" t="s">
        <v>554</v>
      </c>
      <c r="T3">
        <v>3</v>
      </c>
      <c r="U3" t="s">
        <v>567</v>
      </c>
      <c r="V3">
        <v>1</v>
      </c>
      <c r="W3" t="s">
        <v>564</v>
      </c>
      <c r="X3">
        <v>1</v>
      </c>
      <c r="Y3" t="s">
        <v>568</v>
      </c>
      <c r="Z3">
        <v>2</v>
      </c>
    </row>
    <row r="4" spans="1:26" x14ac:dyDescent="0.4">
      <c r="A4" t="s">
        <v>569</v>
      </c>
      <c r="B4" t="s">
        <v>570</v>
      </c>
      <c r="C4" t="s">
        <v>336</v>
      </c>
      <c r="D4">
        <v>2.62</v>
      </c>
      <c r="E4" t="s">
        <v>571</v>
      </c>
      <c r="F4">
        <v>5</v>
      </c>
      <c r="G4" t="s">
        <v>572</v>
      </c>
      <c r="H4">
        <v>1</v>
      </c>
      <c r="I4" t="s">
        <v>573</v>
      </c>
      <c r="J4">
        <v>1</v>
      </c>
      <c r="K4" t="s">
        <v>574</v>
      </c>
      <c r="L4">
        <v>5</v>
      </c>
      <c r="M4" t="s">
        <v>575</v>
      </c>
      <c r="N4">
        <v>1</v>
      </c>
      <c r="O4">
        <v>55.8</v>
      </c>
      <c r="P4">
        <v>1</v>
      </c>
      <c r="Q4" t="s">
        <v>576</v>
      </c>
      <c r="R4">
        <v>2</v>
      </c>
      <c r="S4" t="s">
        <v>577</v>
      </c>
      <c r="T4">
        <v>3</v>
      </c>
      <c r="U4" t="s">
        <v>578</v>
      </c>
      <c r="V4">
        <v>3</v>
      </c>
      <c r="W4" t="s">
        <v>579</v>
      </c>
      <c r="X4">
        <v>4</v>
      </c>
      <c r="Y4" t="s">
        <v>580</v>
      </c>
      <c r="Z4">
        <v>3</v>
      </c>
    </row>
    <row r="5" spans="1:26" x14ac:dyDescent="0.4">
      <c r="A5" t="s">
        <v>581</v>
      </c>
      <c r="B5" t="s">
        <v>582</v>
      </c>
      <c r="C5" t="s">
        <v>285</v>
      </c>
      <c r="D5">
        <v>2.83</v>
      </c>
      <c r="E5" t="s">
        <v>583</v>
      </c>
      <c r="F5">
        <v>2</v>
      </c>
      <c r="G5" t="s">
        <v>584</v>
      </c>
      <c r="H5">
        <v>5</v>
      </c>
      <c r="I5" t="s">
        <v>585</v>
      </c>
      <c r="J5">
        <v>1</v>
      </c>
      <c r="K5" t="s">
        <v>586</v>
      </c>
      <c r="L5">
        <v>5</v>
      </c>
      <c r="M5" t="s">
        <v>587</v>
      </c>
      <c r="N5">
        <v>1</v>
      </c>
      <c r="O5">
        <v>69.2</v>
      </c>
      <c r="P5">
        <v>5</v>
      </c>
      <c r="Q5" t="s">
        <v>588</v>
      </c>
      <c r="R5">
        <v>3</v>
      </c>
      <c r="S5" t="s">
        <v>589</v>
      </c>
      <c r="T5">
        <v>2</v>
      </c>
      <c r="U5" t="s">
        <v>590</v>
      </c>
      <c r="V5">
        <v>3</v>
      </c>
      <c r="W5" t="s">
        <v>591</v>
      </c>
      <c r="X5">
        <v>1</v>
      </c>
      <c r="Y5" t="s">
        <v>592</v>
      </c>
      <c r="Z5">
        <v>1</v>
      </c>
    </row>
    <row r="6" spans="1:26" x14ac:dyDescent="0.4">
      <c r="A6" t="s">
        <v>593</v>
      </c>
      <c r="B6" t="s">
        <v>594</v>
      </c>
      <c r="C6" t="s">
        <v>231</v>
      </c>
      <c r="D6">
        <v>2.97</v>
      </c>
      <c r="E6" t="s">
        <v>595</v>
      </c>
      <c r="F6">
        <v>5</v>
      </c>
      <c r="G6" t="s">
        <v>596</v>
      </c>
      <c r="H6">
        <v>4</v>
      </c>
      <c r="I6" t="s">
        <v>597</v>
      </c>
      <c r="J6">
        <v>3</v>
      </c>
      <c r="K6" t="s">
        <v>598</v>
      </c>
      <c r="L6">
        <v>5</v>
      </c>
      <c r="M6" t="s">
        <v>599</v>
      </c>
      <c r="N6">
        <v>1</v>
      </c>
      <c r="O6">
        <v>73.2</v>
      </c>
      <c r="P6">
        <v>5</v>
      </c>
      <c r="Q6" t="s">
        <v>600</v>
      </c>
      <c r="R6">
        <v>1</v>
      </c>
      <c r="S6" t="s">
        <v>601</v>
      </c>
      <c r="T6">
        <v>2</v>
      </c>
      <c r="U6" t="s">
        <v>602</v>
      </c>
      <c r="V6">
        <v>3</v>
      </c>
      <c r="W6" t="s">
        <v>603</v>
      </c>
      <c r="X6">
        <v>1</v>
      </c>
      <c r="Y6" t="s">
        <v>604</v>
      </c>
      <c r="Z6">
        <v>1</v>
      </c>
    </row>
    <row r="7" spans="1:26" x14ac:dyDescent="0.4">
      <c r="A7" t="s">
        <v>605</v>
      </c>
      <c r="B7" t="s">
        <v>606</v>
      </c>
      <c r="C7" t="s">
        <v>180</v>
      </c>
      <c r="D7">
        <v>3.13</v>
      </c>
      <c r="E7" t="s">
        <v>607</v>
      </c>
      <c r="F7">
        <v>5</v>
      </c>
      <c r="G7" t="s">
        <v>608</v>
      </c>
      <c r="H7">
        <v>2</v>
      </c>
      <c r="I7" t="s">
        <v>609</v>
      </c>
      <c r="J7">
        <v>1</v>
      </c>
      <c r="K7" t="s">
        <v>610</v>
      </c>
      <c r="L7">
        <v>5</v>
      </c>
      <c r="M7" t="s">
        <v>611</v>
      </c>
      <c r="N7">
        <v>4</v>
      </c>
      <c r="O7">
        <v>63.1</v>
      </c>
      <c r="P7">
        <v>3</v>
      </c>
      <c r="Q7" t="s">
        <v>612</v>
      </c>
      <c r="R7">
        <v>2</v>
      </c>
      <c r="S7" t="s">
        <v>613</v>
      </c>
      <c r="T7">
        <v>3</v>
      </c>
      <c r="U7" t="s">
        <v>614</v>
      </c>
      <c r="V7">
        <v>2</v>
      </c>
      <c r="W7" t="s">
        <v>615</v>
      </c>
      <c r="X7">
        <v>3</v>
      </c>
      <c r="Y7" t="s">
        <v>616</v>
      </c>
      <c r="Z7">
        <v>2</v>
      </c>
    </row>
    <row r="8" spans="1:26" x14ac:dyDescent="0.4">
      <c r="A8" t="s">
        <v>617</v>
      </c>
      <c r="B8" t="s">
        <v>618</v>
      </c>
      <c r="C8" t="s">
        <v>420</v>
      </c>
      <c r="D8">
        <v>1.84</v>
      </c>
      <c r="E8" t="s">
        <v>619</v>
      </c>
      <c r="F8">
        <v>1</v>
      </c>
      <c r="G8" t="s">
        <v>620</v>
      </c>
      <c r="H8">
        <v>1</v>
      </c>
      <c r="I8" t="s">
        <v>621</v>
      </c>
      <c r="J8">
        <v>5</v>
      </c>
      <c r="K8" t="s">
        <v>599</v>
      </c>
      <c r="L8">
        <v>1</v>
      </c>
      <c r="M8" t="s">
        <v>622</v>
      </c>
      <c r="N8">
        <v>1</v>
      </c>
      <c r="O8">
        <v>69.900000000000006</v>
      </c>
      <c r="P8">
        <v>5</v>
      </c>
      <c r="Q8" t="s">
        <v>623</v>
      </c>
      <c r="R8">
        <v>2</v>
      </c>
      <c r="S8" t="s">
        <v>572</v>
      </c>
      <c r="T8">
        <v>2</v>
      </c>
      <c r="U8" t="s">
        <v>624</v>
      </c>
      <c r="V8">
        <v>2</v>
      </c>
      <c r="W8" t="s">
        <v>625</v>
      </c>
      <c r="X8">
        <v>1</v>
      </c>
      <c r="Y8" t="s">
        <v>626</v>
      </c>
      <c r="Z8">
        <v>1</v>
      </c>
    </row>
    <row r="9" spans="1:26" x14ac:dyDescent="0.4">
      <c r="A9" t="s">
        <v>627</v>
      </c>
      <c r="B9" t="s">
        <v>628</v>
      </c>
      <c r="C9" t="s">
        <v>56</v>
      </c>
      <c r="D9">
        <v>3.61</v>
      </c>
      <c r="E9" t="s">
        <v>629</v>
      </c>
      <c r="F9">
        <v>5</v>
      </c>
      <c r="G9" t="s">
        <v>630</v>
      </c>
      <c r="H9">
        <v>5</v>
      </c>
      <c r="I9" t="s">
        <v>631</v>
      </c>
      <c r="J9">
        <v>3</v>
      </c>
      <c r="K9" t="s">
        <v>632</v>
      </c>
      <c r="L9">
        <v>5</v>
      </c>
      <c r="M9" t="s">
        <v>633</v>
      </c>
      <c r="N9">
        <v>5</v>
      </c>
      <c r="O9">
        <v>65.3</v>
      </c>
      <c r="P9">
        <v>4</v>
      </c>
      <c r="Q9" t="s">
        <v>620</v>
      </c>
      <c r="R9">
        <v>2</v>
      </c>
      <c r="S9" t="s">
        <v>634</v>
      </c>
      <c r="T9">
        <v>3</v>
      </c>
      <c r="U9" t="s">
        <v>635</v>
      </c>
      <c r="V9">
        <v>1</v>
      </c>
      <c r="W9" t="s">
        <v>636</v>
      </c>
      <c r="X9">
        <v>2</v>
      </c>
      <c r="Y9" t="s">
        <v>600</v>
      </c>
      <c r="Z9">
        <v>1</v>
      </c>
    </row>
    <row r="10" spans="1:26" x14ac:dyDescent="0.4">
      <c r="A10" t="s">
        <v>637</v>
      </c>
      <c r="B10" t="s">
        <v>638</v>
      </c>
      <c r="C10" t="s">
        <v>235</v>
      </c>
      <c r="D10">
        <v>2.96</v>
      </c>
      <c r="E10" t="s">
        <v>639</v>
      </c>
      <c r="F10">
        <v>4</v>
      </c>
      <c r="G10" t="s">
        <v>640</v>
      </c>
      <c r="H10">
        <v>5</v>
      </c>
      <c r="I10" t="s">
        <v>641</v>
      </c>
      <c r="J10">
        <v>2</v>
      </c>
      <c r="K10" t="s">
        <v>642</v>
      </c>
      <c r="L10">
        <v>5</v>
      </c>
      <c r="M10" t="s">
        <v>643</v>
      </c>
      <c r="N10">
        <v>2</v>
      </c>
      <c r="O10">
        <v>57.5</v>
      </c>
      <c r="P10">
        <v>2</v>
      </c>
      <c r="Q10" t="s">
        <v>644</v>
      </c>
      <c r="R10">
        <v>4</v>
      </c>
      <c r="S10" t="s">
        <v>591</v>
      </c>
      <c r="T10">
        <v>1</v>
      </c>
      <c r="U10" t="s">
        <v>645</v>
      </c>
      <c r="V10">
        <v>3</v>
      </c>
      <c r="W10" t="s">
        <v>646</v>
      </c>
      <c r="X10">
        <v>1</v>
      </c>
      <c r="Y10" t="s">
        <v>647</v>
      </c>
      <c r="Z10">
        <v>2</v>
      </c>
    </row>
    <row r="11" spans="1:26" x14ac:dyDescent="0.4">
      <c r="A11" t="s">
        <v>648</v>
      </c>
      <c r="B11" t="s">
        <v>649</v>
      </c>
      <c r="C11" t="s">
        <v>295</v>
      </c>
      <c r="D11">
        <v>2.77</v>
      </c>
      <c r="E11" t="s">
        <v>650</v>
      </c>
      <c r="F11">
        <v>5</v>
      </c>
      <c r="G11" t="s">
        <v>651</v>
      </c>
      <c r="H11">
        <v>1</v>
      </c>
      <c r="I11" t="s">
        <v>652</v>
      </c>
      <c r="J11">
        <v>3</v>
      </c>
      <c r="K11" t="s">
        <v>567</v>
      </c>
      <c r="L11">
        <v>1</v>
      </c>
      <c r="M11" t="s">
        <v>653</v>
      </c>
      <c r="N11">
        <v>5</v>
      </c>
      <c r="O11">
        <v>72.400000000000006</v>
      </c>
      <c r="P11">
        <v>5</v>
      </c>
      <c r="Q11" t="s">
        <v>654</v>
      </c>
      <c r="R11">
        <v>2</v>
      </c>
      <c r="S11" t="s">
        <v>613</v>
      </c>
      <c r="T11">
        <v>3</v>
      </c>
      <c r="U11" t="s">
        <v>655</v>
      </c>
      <c r="V11">
        <v>4</v>
      </c>
      <c r="W11" t="s">
        <v>656</v>
      </c>
      <c r="X11">
        <v>1</v>
      </c>
      <c r="Y11" t="s">
        <v>657</v>
      </c>
      <c r="Z11">
        <v>1</v>
      </c>
    </row>
    <row r="12" spans="1:26" x14ac:dyDescent="0.4">
      <c r="A12" t="s">
        <v>658</v>
      </c>
      <c r="B12" t="s">
        <v>659</v>
      </c>
      <c r="C12" t="s">
        <v>337</v>
      </c>
      <c r="D12">
        <v>2.62</v>
      </c>
      <c r="E12" t="s">
        <v>629</v>
      </c>
      <c r="F12">
        <v>5</v>
      </c>
      <c r="G12" t="s">
        <v>660</v>
      </c>
      <c r="H12">
        <v>1</v>
      </c>
      <c r="I12" t="s">
        <v>661</v>
      </c>
      <c r="J12">
        <v>2</v>
      </c>
      <c r="K12" t="s">
        <v>662</v>
      </c>
      <c r="L12">
        <v>2</v>
      </c>
      <c r="M12" t="s">
        <v>642</v>
      </c>
      <c r="N12">
        <v>5</v>
      </c>
      <c r="O12">
        <v>57.5</v>
      </c>
      <c r="P12">
        <v>2</v>
      </c>
      <c r="Q12" t="s">
        <v>663</v>
      </c>
      <c r="R12">
        <v>1</v>
      </c>
      <c r="S12" t="s">
        <v>664</v>
      </c>
      <c r="T12">
        <v>3</v>
      </c>
      <c r="U12" t="s">
        <v>665</v>
      </c>
      <c r="V12">
        <v>2</v>
      </c>
      <c r="W12" t="s">
        <v>666</v>
      </c>
      <c r="X12">
        <v>4</v>
      </c>
      <c r="Y12" t="s">
        <v>667</v>
      </c>
      <c r="Z12">
        <v>1</v>
      </c>
    </row>
    <row r="13" spans="1:26" x14ac:dyDescent="0.4">
      <c r="A13" t="s">
        <v>668</v>
      </c>
      <c r="B13" t="s">
        <v>669</v>
      </c>
      <c r="C13" t="s">
        <v>121</v>
      </c>
      <c r="D13">
        <v>3.3</v>
      </c>
      <c r="E13" t="s">
        <v>670</v>
      </c>
      <c r="F13">
        <v>5</v>
      </c>
      <c r="G13" t="s">
        <v>579</v>
      </c>
      <c r="H13">
        <v>4</v>
      </c>
      <c r="I13" t="s">
        <v>671</v>
      </c>
      <c r="J13">
        <v>4</v>
      </c>
      <c r="K13" t="s">
        <v>672</v>
      </c>
      <c r="L13">
        <v>5</v>
      </c>
      <c r="M13" t="s">
        <v>660</v>
      </c>
      <c r="N13">
        <v>3</v>
      </c>
      <c r="O13">
        <v>72.5</v>
      </c>
      <c r="P13">
        <v>5</v>
      </c>
      <c r="Q13" t="s">
        <v>673</v>
      </c>
      <c r="R13">
        <v>2</v>
      </c>
      <c r="S13" t="s">
        <v>674</v>
      </c>
      <c r="T13">
        <v>2</v>
      </c>
      <c r="U13" t="s">
        <v>675</v>
      </c>
      <c r="V13">
        <v>2</v>
      </c>
      <c r="W13" t="s">
        <v>676</v>
      </c>
      <c r="X13">
        <v>1</v>
      </c>
      <c r="Y13" t="s">
        <v>677</v>
      </c>
      <c r="Z13">
        <v>1</v>
      </c>
    </row>
    <row r="14" spans="1:26" x14ac:dyDescent="0.4">
      <c r="A14" t="s">
        <v>678</v>
      </c>
      <c r="B14" t="s">
        <v>679</v>
      </c>
      <c r="C14" t="s">
        <v>236</v>
      </c>
      <c r="D14">
        <v>2.96</v>
      </c>
      <c r="E14" t="s">
        <v>680</v>
      </c>
      <c r="F14">
        <v>2</v>
      </c>
      <c r="G14" t="s">
        <v>681</v>
      </c>
      <c r="H14">
        <v>2</v>
      </c>
      <c r="I14" t="s">
        <v>682</v>
      </c>
      <c r="J14">
        <v>5</v>
      </c>
      <c r="K14" t="s">
        <v>683</v>
      </c>
      <c r="L14">
        <v>5</v>
      </c>
      <c r="M14" t="s">
        <v>596</v>
      </c>
      <c r="N14">
        <v>5</v>
      </c>
      <c r="O14">
        <v>56</v>
      </c>
      <c r="P14">
        <v>1</v>
      </c>
      <c r="Q14" t="s">
        <v>558</v>
      </c>
      <c r="R14">
        <v>2</v>
      </c>
      <c r="S14" t="s">
        <v>684</v>
      </c>
      <c r="T14">
        <v>4</v>
      </c>
      <c r="U14" t="s">
        <v>599</v>
      </c>
      <c r="V14">
        <v>1</v>
      </c>
      <c r="W14" t="s">
        <v>685</v>
      </c>
      <c r="X14">
        <v>1</v>
      </c>
      <c r="Y14" t="s">
        <v>686</v>
      </c>
      <c r="Z14">
        <v>3</v>
      </c>
    </row>
    <row r="15" spans="1:26" x14ac:dyDescent="0.4">
      <c r="A15" t="s">
        <v>687</v>
      </c>
      <c r="B15" t="s">
        <v>688</v>
      </c>
      <c r="C15" t="s">
        <v>261</v>
      </c>
      <c r="D15">
        <v>2.89</v>
      </c>
      <c r="E15" t="s">
        <v>689</v>
      </c>
      <c r="F15">
        <v>5</v>
      </c>
      <c r="G15" t="s">
        <v>690</v>
      </c>
      <c r="H15">
        <v>5</v>
      </c>
      <c r="I15" t="s">
        <v>691</v>
      </c>
      <c r="J15">
        <v>2</v>
      </c>
      <c r="K15" t="s">
        <v>692</v>
      </c>
      <c r="L15">
        <v>5</v>
      </c>
      <c r="M15" t="s">
        <v>693</v>
      </c>
      <c r="N15">
        <v>1</v>
      </c>
      <c r="O15">
        <v>59.3</v>
      </c>
      <c r="P15">
        <v>2</v>
      </c>
      <c r="Q15" t="s">
        <v>694</v>
      </c>
      <c r="R15">
        <v>2</v>
      </c>
      <c r="S15" t="s">
        <v>695</v>
      </c>
      <c r="T15">
        <v>4</v>
      </c>
      <c r="U15" t="s">
        <v>696</v>
      </c>
      <c r="V15">
        <v>2</v>
      </c>
      <c r="W15" t="s">
        <v>622</v>
      </c>
      <c r="X15">
        <v>1</v>
      </c>
      <c r="Y15" t="s">
        <v>697</v>
      </c>
      <c r="Z15">
        <v>2</v>
      </c>
    </row>
    <row r="16" spans="1:26" x14ac:dyDescent="0.4">
      <c r="A16" t="s">
        <v>698</v>
      </c>
      <c r="B16" t="s">
        <v>699</v>
      </c>
      <c r="C16" t="s">
        <v>94</v>
      </c>
      <c r="D16">
        <v>3.44</v>
      </c>
      <c r="E16" t="s">
        <v>700</v>
      </c>
      <c r="F16">
        <v>4</v>
      </c>
      <c r="G16" t="s">
        <v>701</v>
      </c>
      <c r="H16">
        <v>5</v>
      </c>
      <c r="I16" t="s">
        <v>702</v>
      </c>
      <c r="J16">
        <v>2</v>
      </c>
      <c r="K16" t="s">
        <v>703</v>
      </c>
      <c r="L16">
        <v>5</v>
      </c>
      <c r="M16" t="s">
        <v>704</v>
      </c>
      <c r="N16">
        <v>5</v>
      </c>
      <c r="O16">
        <v>72.099999999999994</v>
      </c>
      <c r="P16">
        <v>5</v>
      </c>
      <c r="Q16" t="s">
        <v>663</v>
      </c>
      <c r="R16">
        <v>1</v>
      </c>
      <c r="S16" t="s">
        <v>705</v>
      </c>
      <c r="T16">
        <v>3</v>
      </c>
      <c r="U16" t="s">
        <v>557</v>
      </c>
      <c r="V16">
        <v>1</v>
      </c>
      <c r="W16" t="s">
        <v>614</v>
      </c>
      <c r="X16">
        <v>1</v>
      </c>
      <c r="Y16" t="s">
        <v>643</v>
      </c>
      <c r="Z16">
        <v>1</v>
      </c>
    </row>
    <row r="17" spans="1:26" x14ac:dyDescent="0.4">
      <c r="A17" t="s">
        <v>706</v>
      </c>
      <c r="B17" t="s">
        <v>707</v>
      </c>
      <c r="C17" t="s">
        <v>207</v>
      </c>
      <c r="D17">
        <v>3.04</v>
      </c>
      <c r="E17" t="s">
        <v>708</v>
      </c>
      <c r="F17">
        <v>5</v>
      </c>
      <c r="G17" t="s">
        <v>709</v>
      </c>
      <c r="H17">
        <v>2</v>
      </c>
      <c r="I17" t="s">
        <v>710</v>
      </c>
      <c r="J17">
        <v>4</v>
      </c>
      <c r="K17" t="s">
        <v>711</v>
      </c>
      <c r="L17">
        <v>1</v>
      </c>
      <c r="M17" t="s">
        <v>712</v>
      </c>
      <c r="N17">
        <v>5</v>
      </c>
      <c r="O17">
        <v>74.900000000000006</v>
      </c>
      <c r="P17">
        <v>5</v>
      </c>
      <c r="Q17" t="s">
        <v>713</v>
      </c>
      <c r="R17">
        <v>2</v>
      </c>
      <c r="S17" t="s">
        <v>714</v>
      </c>
      <c r="T17">
        <v>4</v>
      </c>
      <c r="U17" t="s">
        <v>695</v>
      </c>
      <c r="V17">
        <v>3</v>
      </c>
      <c r="W17" t="s">
        <v>657</v>
      </c>
      <c r="X17">
        <v>1</v>
      </c>
      <c r="Y17" t="s">
        <v>715</v>
      </c>
      <c r="Z17">
        <v>2</v>
      </c>
    </row>
    <row r="18" spans="1:26" x14ac:dyDescent="0.4">
      <c r="A18" t="s">
        <v>716</v>
      </c>
      <c r="B18" t="s">
        <v>717</v>
      </c>
      <c r="C18" t="s">
        <v>107</v>
      </c>
      <c r="D18">
        <v>3.35</v>
      </c>
      <c r="E18" t="s">
        <v>718</v>
      </c>
      <c r="F18">
        <v>2</v>
      </c>
      <c r="G18" t="s">
        <v>719</v>
      </c>
      <c r="H18">
        <v>5</v>
      </c>
      <c r="I18" t="s">
        <v>720</v>
      </c>
      <c r="J18">
        <v>5</v>
      </c>
      <c r="K18" t="s">
        <v>721</v>
      </c>
      <c r="L18">
        <v>5</v>
      </c>
      <c r="M18" t="s">
        <v>722</v>
      </c>
      <c r="N18">
        <v>4</v>
      </c>
      <c r="O18">
        <v>58.9</v>
      </c>
      <c r="P18">
        <v>2</v>
      </c>
      <c r="Q18" t="s">
        <v>723</v>
      </c>
      <c r="R18">
        <v>3</v>
      </c>
      <c r="S18" t="s">
        <v>724</v>
      </c>
      <c r="T18">
        <v>2</v>
      </c>
      <c r="U18" t="s">
        <v>725</v>
      </c>
      <c r="V18">
        <v>3</v>
      </c>
      <c r="W18" t="s">
        <v>726</v>
      </c>
      <c r="X18">
        <v>2</v>
      </c>
      <c r="Y18" t="s">
        <v>727</v>
      </c>
      <c r="Z18">
        <v>2</v>
      </c>
    </row>
    <row r="19" spans="1:26" x14ac:dyDescent="0.4">
      <c r="A19" t="s">
        <v>728</v>
      </c>
      <c r="B19" t="s">
        <v>729</v>
      </c>
      <c r="C19" t="s">
        <v>192</v>
      </c>
      <c r="D19">
        <v>3.08</v>
      </c>
      <c r="E19" t="s">
        <v>730</v>
      </c>
      <c r="F19">
        <v>3</v>
      </c>
      <c r="G19" t="s">
        <v>666</v>
      </c>
      <c r="H19">
        <v>4</v>
      </c>
      <c r="I19" t="s">
        <v>731</v>
      </c>
      <c r="J19">
        <v>3</v>
      </c>
      <c r="K19" t="s">
        <v>651</v>
      </c>
      <c r="L19">
        <v>4</v>
      </c>
      <c r="M19" t="s">
        <v>732</v>
      </c>
      <c r="N19">
        <v>5</v>
      </c>
      <c r="O19">
        <v>58.5</v>
      </c>
      <c r="P19">
        <v>2</v>
      </c>
      <c r="Q19" t="s">
        <v>591</v>
      </c>
      <c r="R19">
        <v>1</v>
      </c>
      <c r="S19" t="s">
        <v>705</v>
      </c>
      <c r="T19">
        <v>3</v>
      </c>
      <c r="U19" t="s">
        <v>733</v>
      </c>
      <c r="V19">
        <v>2</v>
      </c>
      <c r="W19" t="s">
        <v>734</v>
      </c>
      <c r="X19">
        <v>2</v>
      </c>
      <c r="Y19" t="s">
        <v>735</v>
      </c>
      <c r="Z19">
        <v>2</v>
      </c>
    </row>
    <row r="20" spans="1:26" x14ac:dyDescent="0.4">
      <c r="A20" t="s">
        <v>736</v>
      </c>
      <c r="B20" t="s">
        <v>737</v>
      </c>
      <c r="C20" t="s">
        <v>349</v>
      </c>
      <c r="D20">
        <v>2.59</v>
      </c>
      <c r="E20" t="s">
        <v>738</v>
      </c>
      <c r="F20">
        <v>1</v>
      </c>
      <c r="G20" t="s">
        <v>739</v>
      </c>
      <c r="H20">
        <v>5</v>
      </c>
      <c r="I20" t="s">
        <v>740</v>
      </c>
      <c r="J20">
        <v>1</v>
      </c>
      <c r="K20" t="s">
        <v>741</v>
      </c>
      <c r="L20">
        <v>5</v>
      </c>
      <c r="M20" t="s">
        <v>742</v>
      </c>
      <c r="N20">
        <v>1</v>
      </c>
      <c r="O20">
        <v>61.3</v>
      </c>
      <c r="P20">
        <v>3</v>
      </c>
      <c r="Q20" t="s">
        <v>743</v>
      </c>
      <c r="R20">
        <v>3</v>
      </c>
      <c r="S20" t="s">
        <v>727</v>
      </c>
      <c r="T20">
        <v>2</v>
      </c>
      <c r="U20" t="s">
        <v>565</v>
      </c>
      <c r="V20">
        <v>4</v>
      </c>
      <c r="W20" t="s">
        <v>744</v>
      </c>
      <c r="X20">
        <v>1</v>
      </c>
      <c r="Y20" t="s">
        <v>745</v>
      </c>
      <c r="Z20">
        <v>1</v>
      </c>
    </row>
    <row r="21" spans="1:26" x14ac:dyDescent="0.4">
      <c r="A21" t="s">
        <v>746</v>
      </c>
      <c r="B21" t="s">
        <v>747</v>
      </c>
      <c r="C21" t="s">
        <v>86</v>
      </c>
      <c r="D21">
        <v>3.46</v>
      </c>
      <c r="E21" t="s">
        <v>748</v>
      </c>
      <c r="F21">
        <v>4</v>
      </c>
      <c r="G21" t="s">
        <v>749</v>
      </c>
      <c r="H21">
        <v>1</v>
      </c>
      <c r="I21" t="s">
        <v>750</v>
      </c>
      <c r="J21">
        <v>3</v>
      </c>
      <c r="K21" t="s">
        <v>751</v>
      </c>
      <c r="L21">
        <v>5</v>
      </c>
      <c r="M21" t="s">
        <v>752</v>
      </c>
      <c r="N21">
        <v>5</v>
      </c>
      <c r="O21">
        <v>76.8</v>
      </c>
      <c r="P21">
        <v>5</v>
      </c>
      <c r="Q21" t="s">
        <v>753</v>
      </c>
      <c r="R21">
        <v>2</v>
      </c>
      <c r="S21" t="s">
        <v>651</v>
      </c>
      <c r="T21">
        <v>2</v>
      </c>
      <c r="U21" t="s">
        <v>754</v>
      </c>
      <c r="V21">
        <v>2</v>
      </c>
      <c r="W21" t="s">
        <v>755</v>
      </c>
      <c r="X21">
        <v>3</v>
      </c>
      <c r="Y21" t="s">
        <v>756</v>
      </c>
      <c r="Z21">
        <v>3</v>
      </c>
    </row>
    <row r="22" spans="1:26" x14ac:dyDescent="0.4">
      <c r="A22" t="s">
        <v>757</v>
      </c>
      <c r="B22" t="s">
        <v>758</v>
      </c>
      <c r="C22" t="s">
        <v>253</v>
      </c>
      <c r="D22">
        <v>2.92</v>
      </c>
      <c r="E22" t="s">
        <v>759</v>
      </c>
      <c r="F22">
        <v>4</v>
      </c>
      <c r="G22" t="s">
        <v>760</v>
      </c>
      <c r="H22">
        <v>2</v>
      </c>
      <c r="I22" t="s">
        <v>761</v>
      </c>
      <c r="J22">
        <v>1</v>
      </c>
      <c r="K22" t="s">
        <v>592</v>
      </c>
      <c r="L22">
        <v>5</v>
      </c>
      <c r="M22" t="s">
        <v>744</v>
      </c>
      <c r="N22">
        <v>1</v>
      </c>
      <c r="O22">
        <v>70.2</v>
      </c>
      <c r="P22">
        <v>5</v>
      </c>
      <c r="Q22" t="s">
        <v>762</v>
      </c>
      <c r="R22">
        <v>2</v>
      </c>
      <c r="S22" t="s">
        <v>763</v>
      </c>
      <c r="T22">
        <v>3</v>
      </c>
      <c r="U22" t="s">
        <v>552</v>
      </c>
      <c r="V22">
        <v>3</v>
      </c>
      <c r="W22" t="s">
        <v>764</v>
      </c>
      <c r="X22">
        <v>2</v>
      </c>
      <c r="Y22" t="s">
        <v>763</v>
      </c>
      <c r="Z22">
        <v>3</v>
      </c>
    </row>
    <row r="23" spans="1:26" x14ac:dyDescent="0.4">
      <c r="A23" t="s">
        <v>765</v>
      </c>
      <c r="B23" t="s">
        <v>766</v>
      </c>
      <c r="C23" t="s">
        <v>300</v>
      </c>
      <c r="D23">
        <v>2.76</v>
      </c>
      <c r="E23" t="s">
        <v>767</v>
      </c>
      <c r="F23">
        <v>3</v>
      </c>
      <c r="G23" t="s">
        <v>622</v>
      </c>
      <c r="H23">
        <v>1</v>
      </c>
      <c r="I23" t="s">
        <v>768</v>
      </c>
      <c r="J23">
        <v>2</v>
      </c>
      <c r="K23" t="s">
        <v>769</v>
      </c>
      <c r="L23">
        <v>3</v>
      </c>
      <c r="M23" t="s">
        <v>770</v>
      </c>
      <c r="N23">
        <v>5</v>
      </c>
      <c r="O23">
        <v>71</v>
      </c>
      <c r="P23">
        <v>5</v>
      </c>
      <c r="Q23" t="s">
        <v>771</v>
      </c>
      <c r="R23">
        <v>1</v>
      </c>
      <c r="S23" t="s">
        <v>772</v>
      </c>
      <c r="T23">
        <v>3</v>
      </c>
      <c r="U23" t="s">
        <v>773</v>
      </c>
      <c r="V23">
        <v>2</v>
      </c>
      <c r="W23" t="s">
        <v>611</v>
      </c>
      <c r="X23">
        <v>1</v>
      </c>
      <c r="Y23" t="s">
        <v>774</v>
      </c>
      <c r="Z23">
        <v>2</v>
      </c>
    </row>
    <row r="24" spans="1:26" x14ac:dyDescent="0.4">
      <c r="A24" t="s">
        <v>775</v>
      </c>
      <c r="B24" t="s">
        <v>776</v>
      </c>
      <c r="C24" t="s">
        <v>383</v>
      </c>
      <c r="D24">
        <v>2.4</v>
      </c>
      <c r="E24" t="s">
        <v>777</v>
      </c>
      <c r="F24">
        <v>2</v>
      </c>
      <c r="G24" t="s">
        <v>778</v>
      </c>
      <c r="H24">
        <v>1</v>
      </c>
      <c r="I24" t="s">
        <v>779</v>
      </c>
      <c r="J24">
        <v>1</v>
      </c>
      <c r="K24" t="s">
        <v>780</v>
      </c>
      <c r="L24">
        <v>5</v>
      </c>
      <c r="M24" t="s">
        <v>781</v>
      </c>
      <c r="N24">
        <v>3</v>
      </c>
      <c r="O24">
        <v>53.9</v>
      </c>
      <c r="P24">
        <v>1</v>
      </c>
      <c r="Q24" t="s">
        <v>782</v>
      </c>
      <c r="R24">
        <v>3</v>
      </c>
      <c r="S24" t="s">
        <v>783</v>
      </c>
      <c r="T24">
        <v>2</v>
      </c>
      <c r="U24" t="s">
        <v>610</v>
      </c>
      <c r="V24">
        <v>2</v>
      </c>
      <c r="W24" t="s">
        <v>784</v>
      </c>
      <c r="X24">
        <v>4</v>
      </c>
      <c r="Y24" t="s">
        <v>635</v>
      </c>
      <c r="Z24">
        <v>1</v>
      </c>
    </row>
    <row r="25" spans="1:26" x14ac:dyDescent="0.4">
      <c r="A25" t="s">
        <v>785</v>
      </c>
      <c r="B25" t="s">
        <v>786</v>
      </c>
      <c r="C25" t="s">
        <v>212</v>
      </c>
      <c r="D25">
        <v>3.03</v>
      </c>
      <c r="E25" t="s">
        <v>787</v>
      </c>
      <c r="F25">
        <v>2</v>
      </c>
      <c r="G25" t="s">
        <v>788</v>
      </c>
      <c r="H25">
        <v>2</v>
      </c>
      <c r="I25" t="s">
        <v>789</v>
      </c>
      <c r="J25">
        <v>3</v>
      </c>
      <c r="K25" t="s">
        <v>772</v>
      </c>
      <c r="L25">
        <v>5</v>
      </c>
      <c r="M25" t="s">
        <v>790</v>
      </c>
      <c r="N25">
        <v>5</v>
      </c>
      <c r="O25">
        <v>64.900000000000006</v>
      </c>
      <c r="P25">
        <v>4</v>
      </c>
      <c r="Q25" t="s">
        <v>791</v>
      </c>
      <c r="R25">
        <v>4</v>
      </c>
      <c r="S25" t="s">
        <v>792</v>
      </c>
      <c r="T25">
        <v>2</v>
      </c>
      <c r="U25" t="s">
        <v>793</v>
      </c>
      <c r="V25">
        <v>2</v>
      </c>
      <c r="W25" t="s">
        <v>794</v>
      </c>
      <c r="X25">
        <v>1</v>
      </c>
      <c r="Y25" t="s">
        <v>795</v>
      </c>
      <c r="Z25">
        <v>1</v>
      </c>
    </row>
    <row r="26" spans="1:26" x14ac:dyDescent="0.4">
      <c r="A26" t="s">
        <v>796</v>
      </c>
      <c r="B26" t="s">
        <v>797</v>
      </c>
      <c r="C26" t="s">
        <v>132</v>
      </c>
      <c r="D26">
        <v>3.27</v>
      </c>
      <c r="E26" t="s">
        <v>798</v>
      </c>
      <c r="F26">
        <v>3</v>
      </c>
      <c r="G26" t="s">
        <v>655</v>
      </c>
      <c r="H26">
        <v>5</v>
      </c>
      <c r="I26" t="s">
        <v>799</v>
      </c>
      <c r="J26">
        <v>4</v>
      </c>
      <c r="K26" t="s">
        <v>800</v>
      </c>
      <c r="L26">
        <v>1</v>
      </c>
      <c r="M26" t="s">
        <v>801</v>
      </c>
      <c r="N26">
        <v>4</v>
      </c>
      <c r="O26">
        <v>72.599999999999994</v>
      </c>
      <c r="P26">
        <v>5</v>
      </c>
      <c r="Q26" t="s">
        <v>683</v>
      </c>
      <c r="R26">
        <v>5</v>
      </c>
      <c r="S26" t="s">
        <v>802</v>
      </c>
      <c r="T26">
        <v>4</v>
      </c>
      <c r="U26" t="s">
        <v>803</v>
      </c>
      <c r="V26">
        <v>2</v>
      </c>
      <c r="W26" t="s">
        <v>751</v>
      </c>
      <c r="X26">
        <v>3</v>
      </c>
      <c r="Y26" t="s">
        <v>611</v>
      </c>
      <c r="Z26">
        <v>1</v>
      </c>
    </row>
    <row r="27" spans="1:26" x14ac:dyDescent="0.4">
      <c r="A27" t="s">
        <v>804</v>
      </c>
      <c r="B27" t="s">
        <v>805</v>
      </c>
      <c r="C27" t="s">
        <v>232</v>
      </c>
      <c r="D27">
        <v>2.97</v>
      </c>
      <c r="E27" t="s">
        <v>806</v>
      </c>
      <c r="F27">
        <v>3</v>
      </c>
      <c r="G27" t="s">
        <v>807</v>
      </c>
      <c r="H27">
        <v>1</v>
      </c>
      <c r="I27" t="s">
        <v>808</v>
      </c>
      <c r="J27">
        <v>1</v>
      </c>
      <c r="K27" t="s">
        <v>807</v>
      </c>
      <c r="L27">
        <v>5</v>
      </c>
      <c r="M27" t="s">
        <v>809</v>
      </c>
      <c r="N27">
        <v>5</v>
      </c>
      <c r="O27">
        <v>67.099999999999994</v>
      </c>
      <c r="P27">
        <v>4</v>
      </c>
      <c r="Q27" t="s">
        <v>810</v>
      </c>
      <c r="R27">
        <v>3</v>
      </c>
      <c r="S27" t="s">
        <v>811</v>
      </c>
      <c r="T27">
        <v>2</v>
      </c>
      <c r="U27" t="s">
        <v>645</v>
      </c>
      <c r="V27">
        <v>3</v>
      </c>
      <c r="W27" t="s">
        <v>812</v>
      </c>
      <c r="X27">
        <v>2</v>
      </c>
      <c r="Y27" t="s">
        <v>813</v>
      </c>
      <c r="Z27">
        <v>1</v>
      </c>
    </row>
    <row r="28" spans="1:26" x14ac:dyDescent="0.4">
      <c r="A28" t="s">
        <v>814</v>
      </c>
      <c r="B28" t="s">
        <v>815</v>
      </c>
      <c r="C28" t="s">
        <v>114</v>
      </c>
      <c r="D28">
        <v>3.33</v>
      </c>
      <c r="E28" t="s">
        <v>816</v>
      </c>
      <c r="F28">
        <v>2</v>
      </c>
      <c r="G28" t="s">
        <v>684</v>
      </c>
      <c r="H28">
        <v>5</v>
      </c>
      <c r="I28" t="s">
        <v>817</v>
      </c>
      <c r="J28">
        <v>2</v>
      </c>
      <c r="K28" t="s">
        <v>818</v>
      </c>
      <c r="L28">
        <v>3</v>
      </c>
      <c r="M28" t="s">
        <v>616</v>
      </c>
      <c r="N28">
        <v>5</v>
      </c>
      <c r="O28">
        <v>67.900000000000006</v>
      </c>
      <c r="P28">
        <v>4</v>
      </c>
      <c r="Q28" t="s">
        <v>819</v>
      </c>
      <c r="R28">
        <v>1</v>
      </c>
      <c r="S28" t="s">
        <v>820</v>
      </c>
      <c r="T28">
        <v>2</v>
      </c>
      <c r="U28" t="s">
        <v>703</v>
      </c>
      <c r="V28">
        <v>3</v>
      </c>
      <c r="W28" t="s">
        <v>821</v>
      </c>
      <c r="X28">
        <v>4</v>
      </c>
      <c r="Y28" t="s">
        <v>672</v>
      </c>
      <c r="Z28">
        <v>2</v>
      </c>
    </row>
    <row r="29" spans="1:26" x14ac:dyDescent="0.4">
      <c r="A29" t="s">
        <v>822</v>
      </c>
      <c r="B29" t="s">
        <v>823</v>
      </c>
      <c r="C29" t="s">
        <v>73</v>
      </c>
      <c r="D29">
        <v>3.52</v>
      </c>
      <c r="E29" t="s">
        <v>824</v>
      </c>
      <c r="F29">
        <v>2</v>
      </c>
      <c r="G29" t="s">
        <v>591</v>
      </c>
      <c r="H29">
        <v>1</v>
      </c>
      <c r="I29" t="s">
        <v>825</v>
      </c>
      <c r="J29">
        <v>5</v>
      </c>
      <c r="K29" t="s">
        <v>826</v>
      </c>
      <c r="L29">
        <v>5</v>
      </c>
      <c r="M29" t="s">
        <v>676</v>
      </c>
      <c r="N29">
        <v>4</v>
      </c>
      <c r="O29">
        <v>67.3</v>
      </c>
      <c r="P29">
        <v>4</v>
      </c>
      <c r="Q29" t="s">
        <v>827</v>
      </c>
      <c r="R29">
        <v>3</v>
      </c>
      <c r="S29" t="s">
        <v>828</v>
      </c>
      <c r="T29">
        <v>3</v>
      </c>
      <c r="U29" t="s">
        <v>829</v>
      </c>
      <c r="V29">
        <v>3</v>
      </c>
      <c r="W29" t="s">
        <v>580</v>
      </c>
      <c r="X29">
        <v>4</v>
      </c>
      <c r="Y29" t="s">
        <v>830</v>
      </c>
      <c r="Z29">
        <v>4</v>
      </c>
    </row>
    <row r="30" spans="1:26" x14ac:dyDescent="0.4">
      <c r="A30" t="s">
        <v>831</v>
      </c>
      <c r="B30" t="s">
        <v>832</v>
      </c>
      <c r="C30" t="s">
        <v>145</v>
      </c>
      <c r="D30">
        <v>3.23</v>
      </c>
      <c r="E30" t="s">
        <v>833</v>
      </c>
      <c r="F30">
        <v>1</v>
      </c>
      <c r="G30" t="s">
        <v>834</v>
      </c>
      <c r="H30">
        <v>1</v>
      </c>
      <c r="I30" t="s">
        <v>835</v>
      </c>
      <c r="J30">
        <v>5</v>
      </c>
      <c r="K30" t="s">
        <v>667</v>
      </c>
      <c r="L30">
        <v>2</v>
      </c>
      <c r="M30" t="s">
        <v>836</v>
      </c>
      <c r="N30">
        <v>5</v>
      </c>
      <c r="O30">
        <v>69.400000000000006</v>
      </c>
      <c r="P30">
        <v>5</v>
      </c>
      <c r="Q30" t="s">
        <v>577</v>
      </c>
      <c r="R30">
        <v>3</v>
      </c>
      <c r="S30" t="s">
        <v>837</v>
      </c>
      <c r="T30">
        <v>1</v>
      </c>
      <c r="U30" t="s">
        <v>838</v>
      </c>
      <c r="V30">
        <v>4</v>
      </c>
      <c r="W30" t="s">
        <v>839</v>
      </c>
      <c r="X30">
        <v>4</v>
      </c>
      <c r="Y30" t="s">
        <v>640</v>
      </c>
      <c r="Z30">
        <v>4</v>
      </c>
    </row>
    <row r="31" spans="1:26" x14ac:dyDescent="0.4">
      <c r="A31" t="s">
        <v>547</v>
      </c>
      <c r="B31" t="s">
        <v>840</v>
      </c>
      <c r="C31" t="s">
        <v>262</v>
      </c>
      <c r="D31">
        <v>2.89</v>
      </c>
      <c r="E31" t="s">
        <v>841</v>
      </c>
      <c r="F31">
        <v>4</v>
      </c>
      <c r="G31" t="s">
        <v>703</v>
      </c>
      <c r="H31">
        <v>5</v>
      </c>
      <c r="I31" t="s">
        <v>842</v>
      </c>
      <c r="J31">
        <v>4</v>
      </c>
      <c r="K31" t="s">
        <v>843</v>
      </c>
      <c r="L31">
        <v>2</v>
      </c>
      <c r="M31" t="s">
        <v>844</v>
      </c>
      <c r="N31">
        <v>4</v>
      </c>
      <c r="O31">
        <v>63.2</v>
      </c>
      <c r="P31">
        <v>3</v>
      </c>
      <c r="Q31" t="s">
        <v>576</v>
      </c>
      <c r="R31">
        <v>2</v>
      </c>
      <c r="S31" t="s">
        <v>845</v>
      </c>
      <c r="T31">
        <v>3</v>
      </c>
      <c r="U31" t="s">
        <v>846</v>
      </c>
      <c r="V31">
        <v>2</v>
      </c>
      <c r="W31" t="s">
        <v>847</v>
      </c>
      <c r="X31">
        <v>1</v>
      </c>
      <c r="Y31" t="s">
        <v>848</v>
      </c>
      <c r="Z31">
        <v>1</v>
      </c>
    </row>
    <row r="32" spans="1:26" x14ac:dyDescent="0.4">
      <c r="A32" t="s">
        <v>559</v>
      </c>
      <c r="B32" t="s">
        <v>849</v>
      </c>
      <c r="C32" t="s">
        <v>330</v>
      </c>
      <c r="D32">
        <v>2.67</v>
      </c>
      <c r="E32" t="s">
        <v>850</v>
      </c>
      <c r="F32">
        <v>2</v>
      </c>
      <c r="G32" t="s">
        <v>851</v>
      </c>
      <c r="H32">
        <v>1</v>
      </c>
      <c r="I32" t="s">
        <v>852</v>
      </c>
      <c r="J32">
        <v>1</v>
      </c>
      <c r="K32" t="s">
        <v>853</v>
      </c>
      <c r="L32">
        <v>5</v>
      </c>
      <c r="M32" t="s">
        <v>854</v>
      </c>
      <c r="N32">
        <v>2</v>
      </c>
      <c r="O32">
        <v>76.099999999999994</v>
      </c>
      <c r="P32">
        <v>5</v>
      </c>
      <c r="Q32" t="s">
        <v>564</v>
      </c>
      <c r="R32">
        <v>2</v>
      </c>
      <c r="S32" t="s">
        <v>855</v>
      </c>
      <c r="T32">
        <v>2</v>
      </c>
      <c r="U32" t="s">
        <v>856</v>
      </c>
      <c r="V32">
        <v>2</v>
      </c>
      <c r="W32" t="s">
        <v>812</v>
      </c>
      <c r="X32">
        <v>2</v>
      </c>
      <c r="Y32" t="s">
        <v>857</v>
      </c>
      <c r="Z32">
        <v>3</v>
      </c>
    </row>
    <row r="33" spans="1:26" x14ac:dyDescent="0.4">
      <c r="A33" t="s">
        <v>569</v>
      </c>
      <c r="B33" t="s">
        <v>858</v>
      </c>
      <c r="C33" t="s">
        <v>240</v>
      </c>
      <c r="D33">
        <v>2.95</v>
      </c>
      <c r="E33" t="s">
        <v>859</v>
      </c>
      <c r="F33">
        <v>5</v>
      </c>
      <c r="G33" t="s">
        <v>734</v>
      </c>
      <c r="H33">
        <v>1</v>
      </c>
      <c r="I33" t="s">
        <v>860</v>
      </c>
      <c r="J33">
        <v>4</v>
      </c>
      <c r="K33" t="s">
        <v>861</v>
      </c>
      <c r="L33">
        <v>1</v>
      </c>
      <c r="M33" t="s">
        <v>802</v>
      </c>
      <c r="N33">
        <v>5</v>
      </c>
      <c r="O33">
        <v>71.599999999999994</v>
      </c>
      <c r="P33">
        <v>5</v>
      </c>
      <c r="Q33" t="s">
        <v>843</v>
      </c>
      <c r="R33">
        <v>2</v>
      </c>
      <c r="S33" t="s">
        <v>862</v>
      </c>
      <c r="T33">
        <v>3</v>
      </c>
      <c r="U33" t="s">
        <v>646</v>
      </c>
      <c r="V33">
        <v>1</v>
      </c>
      <c r="W33" t="s">
        <v>863</v>
      </c>
      <c r="X33">
        <v>1</v>
      </c>
      <c r="Y33" t="s">
        <v>864</v>
      </c>
      <c r="Z33">
        <v>4</v>
      </c>
    </row>
    <row r="34" spans="1:26" x14ac:dyDescent="0.4">
      <c r="A34" t="s">
        <v>581</v>
      </c>
      <c r="B34" t="s">
        <v>865</v>
      </c>
      <c r="C34" t="s">
        <v>412</v>
      </c>
      <c r="D34">
        <v>2.11</v>
      </c>
      <c r="E34" t="s">
        <v>816</v>
      </c>
      <c r="F34">
        <v>2</v>
      </c>
      <c r="G34" t="s">
        <v>686</v>
      </c>
      <c r="H34">
        <v>4</v>
      </c>
      <c r="I34" t="s">
        <v>866</v>
      </c>
      <c r="J34">
        <v>1</v>
      </c>
      <c r="K34" t="s">
        <v>677</v>
      </c>
      <c r="L34">
        <v>2</v>
      </c>
      <c r="M34" t="s">
        <v>677</v>
      </c>
      <c r="N34">
        <v>1</v>
      </c>
      <c r="O34">
        <v>63.1</v>
      </c>
      <c r="P34">
        <v>3</v>
      </c>
      <c r="Q34" t="s">
        <v>853</v>
      </c>
      <c r="R34">
        <v>3</v>
      </c>
      <c r="S34" t="s">
        <v>749</v>
      </c>
      <c r="T34">
        <v>2</v>
      </c>
      <c r="U34" t="s">
        <v>867</v>
      </c>
      <c r="V34">
        <v>2</v>
      </c>
      <c r="W34" t="s">
        <v>868</v>
      </c>
      <c r="X34">
        <v>1</v>
      </c>
      <c r="Y34" t="s">
        <v>869</v>
      </c>
      <c r="Z34">
        <v>2</v>
      </c>
    </row>
    <row r="35" spans="1:26" x14ac:dyDescent="0.4">
      <c r="A35" t="s">
        <v>593</v>
      </c>
      <c r="B35" t="s">
        <v>870</v>
      </c>
      <c r="C35" t="s">
        <v>237</v>
      </c>
      <c r="D35">
        <v>2.96</v>
      </c>
      <c r="E35" t="s">
        <v>871</v>
      </c>
      <c r="F35">
        <v>5</v>
      </c>
      <c r="G35" t="s">
        <v>872</v>
      </c>
      <c r="H35">
        <v>1</v>
      </c>
      <c r="I35" t="s">
        <v>761</v>
      </c>
      <c r="J35">
        <v>1</v>
      </c>
      <c r="K35" t="s">
        <v>873</v>
      </c>
      <c r="L35">
        <v>5</v>
      </c>
      <c r="M35" t="s">
        <v>874</v>
      </c>
      <c r="N35">
        <v>5</v>
      </c>
      <c r="O35">
        <v>61.9</v>
      </c>
      <c r="P35">
        <v>3</v>
      </c>
      <c r="Q35" t="s">
        <v>875</v>
      </c>
      <c r="R35">
        <v>2</v>
      </c>
      <c r="S35" t="s">
        <v>876</v>
      </c>
      <c r="T35">
        <v>2</v>
      </c>
      <c r="U35" t="s">
        <v>877</v>
      </c>
      <c r="V35">
        <v>1</v>
      </c>
      <c r="W35" t="s">
        <v>878</v>
      </c>
      <c r="X35">
        <v>1</v>
      </c>
      <c r="Y35" t="s">
        <v>704</v>
      </c>
      <c r="Z35">
        <v>3</v>
      </c>
    </row>
    <row r="36" spans="1:26" x14ac:dyDescent="0.4">
      <c r="A36" t="s">
        <v>605</v>
      </c>
      <c r="B36" t="s">
        <v>879</v>
      </c>
      <c r="C36" t="s">
        <v>382</v>
      </c>
      <c r="D36">
        <v>2.41</v>
      </c>
      <c r="E36" t="s">
        <v>880</v>
      </c>
      <c r="F36">
        <v>4</v>
      </c>
      <c r="G36" t="s">
        <v>795</v>
      </c>
      <c r="H36">
        <v>1</v>
      </c>
      <c r="I36" t="s">
        <v>881</v>
      </c>
      <c r="J36">
        <v>3</v>
      </c>
      <c r="K36" t="s">
        <v>882</v>
      </c>
      <c r="L36">
        <v>5</v>
      </c>
      <c r="M36" t="s">
        <v>685</v>
      </c>
      <c r="N36">
        <v>1</v>
      </c>
      <c r="O36">
        <v>68.2</v>
      </c>
      <c r="P36">
        <v>4</v>
      </c>
      <c r="Q36" t="s">
        <v>843</v>
      </c>
      <c r="R36">
        <v>2</v>
      </c>
      <c r="S36" t="s">
        <v>883</v>
      </c>
      <c r="T36">
        <v>2</v>
      </c>
      <c r="U36" t="s">
        <v>884</v>
      </c>
      <c r="V36">
        <v>2</v>
      </c>
      <c r="W36" t="s">
        <v>885</v>
      </c>
      <c r="X36">
        <v>1</v>
      </c>
      <c r="Y36" t="s">
        <v>886</v>
      </c>
      <c r="Z36">
        <v>1</v>
      </c>
    </row>
    <row r="37" spans="1:26" x14ac:dyDescent="0.4">
      <c r="A37" t="s">
        <v>617</v>
      </c>
      <c r="B37" t="s">
        <v>887</v>
      </c>
      <c r="C37" t="s">
        <v>173</v>
      </c>
      <c r="D37">
        <v>3.15</v>
      </c>
      <c r="E37" t="s">
        <v>888</v>
      </c>
      <c r="F37">
        <v>3</v>
      </c>
      <c r="G37" t="s">
        <v>743</v>
      </c>
      <c r="H37">
        <v>2</v>
      </c>
      <c r="I37" t="s">
        <v>889</v>
      </c>
      <c r="J37">
        <v>5</v>
      </c>
      <c r="K37" t="s">
        <v>890</v>
      </c>
      <c r="L37">
        <v>5</v>
      </c>
      <c r="M37" t="s">
        <v>891</v>
      </c>
      <c r="N37">
        <v>5</v>
      </c>
      <c r="O37">
        <v>57.4</v>
      </c>
      <c r="P37">
        <v>2</v>
      </c>
      <c r="Q37" t="s">
        <v>892</v>
      </c>
      <c r="R37">
        <v>2</v>
      </c>
      <c r="S37" t="s">
        <v>893</v>
      </c>
      <c r="T37">
        <v>2</v>
      </c>
      <c r="U37" t="s">
        <v>894</v>
      </c>
      <c r="V37">
        <v>3</v>
      </c>
      <c r="W37" t="s">
        <v>556</v>
      </c>
      <c r="X37">
        <v>3</v>
      </c>
      <c r="Y37" t="s">
        <v>895</v>
      </c>
      <c r="Z37">
        <v>1</v>
      </c>
    </row>
    <row r="38" spans="1:26" x14ac:dyDescent="0.4">
      <c r="A38" t="s">
        <v>627</v>
      </c>
      <c r="B38" t="s">
        <v>896</v>
      </c>
      <c r="C38" t="s">
        <v>278</v>
      </c>
      <c r="D38">
        <v>2.85</v>
      </c>
      <c r="E38" t="s">
        <v>897</v>
      </c>
      <c r="F38">
        <v>4</v>
      </c>
      <c r="G38" t="s">
        <v>898</v>
      </c>
      <c r="H38">
        <v>1</v>
      </c>
      <c r="I38" t="s">
        <v>631</v>
      </c>
      <c r="J38">
        <v>3</v>
      </c>
      <c r="K38" t="s">
        <v>899</v>
      </c>
      <c r="L38">
        <v>5</v>
      </c>
      <c r="M38" t="s">
        <v>900</v>
      </c>
      <c r="N38">
        <v>5</v>
      </c>
      <c r="O38">
        <v>52.8</v>
      </c>
      <c r="P38">
        <v>1</v>
      </c>
      <c r="Q38" t="s">
        <v>876</v>
      </c>
      <c r="R38">
        <v>2</v>
      </c>
      <c r="S38" t="s">
        <v>856</v>
      </c>
      <c r="T38">
        <v>2</v>
      </c>
      <c r="U38" t="s">
        <v>877</v>
      </c>
      <c r="V38">
        <v>1</v>
      </c>
      <c r="W38" t="s">
        <v>613</v>
      </c>
      <c r="X38">
        <v>4</v>
      </c>
      <c r="Y38" t="s">
        <v>635</v>
      </c>
      <c r="Z38">
        <v>1</v>
      </c>
    </row>
    <row r="39" spans="1:26" x14ac:dyDescent="0.4">
      <c r="A39" t="s">
        <v>637</v>
      </c>
      <c r="B39" t="s">
        <v>901</v>
      </c>
      <c r="C39" t="s">
        <v>328</v>
      </c>
      <c r="D39">
        <v>2.68</v>
      </c>
      <c r="E39" t="s">
        <v>902</v>
      </c>
      <c r="F39">
        <v>2</v>
      </c>
      <c r="G39" t="s">
        <v>663</v>
      </c>
      <c r="H39">
        <v>1</v>
      </c>
      <c r="I39" t="s">
        <v>652</v>
      </c>
      <c r="J39">
        <v>3</v>
      </c>
      <c r="K39" t="s">
        <v>903</v>
      </c>
      <c r="L39">
        <v>5</v>
      </c>
      <c r="M39" t="s">
        <v>904</v>
      </c>
      <c r="N39">
        <v>5</v>
      </c>
      <c r="O39">
        <v>61.1</v>
      </c>
      <c r="P39">
        <v>3</v>
      </c>
      <c r="Q39" t="s">
        <v>771</v>
      </c>
      <c r="R39">
        <v>1</v>
      </c>
      <c r="S39" t="s">
        <v>905</v>
      </c>
      <c r="T39">
        <v>2</v>
      </c>
      <c r="U39" t="s">
        <v>906</v>
      </c>
      <c r="V39">
        <v>1</v>
      </c>
      <c r="W39" t="s">
        <v>907</v>
      </c>
      <c r="X39">
        <v>2</v>
      </c>
      <c r="Y39" t="s">
        <v>908</v>
      </c>
      <c r="Z39">
        <v>1</v>
      </c>
    </row>
    <row r="40" spans="1:26" x14ac:dyDescent="0.4">
      <c r="A40" t="s">
        <v>648</v>
      </c>
      <c r="B40" t="s">
        <v>909</v>
      </c>
      <c r="C40" t="s">
        <v>199</v>
      </c>
      <c r="D40">
        <v>3.06</v>
      </c>
      <c r="E40" t="s">
        <v>910</v>
      </c>
      <c r="F40">
        <v>2</v>
      </c>
      <c r="G40" t="s">
        <v>911</v>
      </c>
      <c r="H40">
        <v>3</v>
      </c>
      <c r="I40" t="s">
        <v>912</v>
      </c>
      <c r="J40">
        <v>5</v>
      </c>
      <c r="K40" t="s">
        <v>913</v>
      </c>
      <c r="L40">
        <v>5</v>
      </c>
      <c r="M40" t="s">
        <v>914</v>
      </c>
      <c r="N40">
        <v>1</v>
      </c>
      <c r="O40">
        <v>72.5</v>
      </c>
      <c r="P40">
        <v>5</v>
      </c>
      <c r="Q40" t="s">
        <v>915</v>
      </c>
      <c r="R40">
        <v>3</v>
      </c>
      <c r="S40" t="s">
        <v>662</v>
      </c>
      <c r="T40">
        <v>2</v>
      </c>
      <c r="U40" t="s">
        <v>781</v>
      </c>
      <c r="V40">
        <v>2</v>
      </c>
      <c r="W40" t="s">
        <v>916</v>
      </c>
      <c r="X40">
        <v>2</v>
      </c>
      <c r="Y40" t="s">
        <v>917</v>
      </c>
      <c r="Z40">
        <v>3</v>
      </c>
    </row>
    <row r="41" spans="1:26" x14ac:dyDescent="0.4">
      <c r="A41" t="s">
        <v>658</v>
      </c>
      <c r="B41" t="s">
        <v>918</v>
      </c>
      <c r="C41" t="s">
        <v>296</v>
      </c>
      <c r="D41">
        <v>2.77</v>
      </c>
      <c r="E41" t="s">
        <v>919</v>
      </c>
      <c r="F41">
        <v>3</v>
      </c>
      <c r="G41" t="s">
        <v>920</v>
      </c>
      <c r="H41">
        <v>1</v>
      </c>
      <c r="I41" t="s">
        <v>921</v>
      </c>
      <c r="J41">
        <v>5</v>
      </c>
      <c r="K41" t="s">
        <v>868</v>
      </c>
      <c r="L41">
        <v>3</v>
      </c>
      <c r="M41" t="s">
        <v>922</v>
      </c>
      <c r="N41">
        <v>3</v>
      </c>
      <c r="O41">
        <v>74.599999999999994</v>
      </c>
      <c r="P41">
        <v>5</v>
      </c>
      <c r="Q41" t="s">
        <v>891</v>
      </c>
      <c r="R41">
        <v>4</v>
      </c>
      <c r="S41" t="s">
        <v>923</v>
      </c>
      <c r="T41">
        <v>3</v>
      </c>
      <c r="U41" t="s">
        <v>924</v>
      </c>
      <c r="V41">
        <v>3</v>
      </c>
      <c r="W41" t="s">
        <v>925</v>
      </c>
      <c r="X41">
        <v>1</v>
      </c>
      <c r="Y41" t="s">
        <v>926</v>
      </c>
      <c r="Z41">
        <v>1</v>
      </c>
    </row>
    <row r="42" spans="1:26" x14ac:dyDescent="0.4">
      <c r="A42" t="s">
        <v>668</v>
      </c>
      <c r="B42" t="s">
        <v>548</v>
      </c>
      <c r="C42" t="s">
        <v>108</v>
      </c>
      <c r="D42">
        <v>3.35</v>
      </c>
      <c r="E42" t="s">
        <v>927</v>
      </c>
      <c r="F42">
        <v>5</v>
      </c>
      <c r="G42" t="s">
        <v>781</v>
      </c>
      <c r="H42">
        <v>1</v>
      </c>
      <c r="I42" t="s">
        <v>928</v>
      </c>
      <c r="J42">
        <v>4</v>
      </c>
      <c r="K42" t="s">
        <v>672</v>
      </c>
      <c r="L42">
        <v>5</v>
      </c>
      <c r="M42" t="s">
        <v>602</v>
      </c>
      <c r="N42">
        <v>5</v>
      </c>
      <c r="O42">
        <v>65.099999999999994</v>
      </c>
      <c r="P42">
        <v>4</v>
      </c>
      <c r="Q42" t="s">
        <v>929</v>
      </c>
      <c r="R42">
        <v>2</v>
      </c>
      <c r="S42" t="s">
        <v>930</v>
      </c>
      <c r="T42">
        <v>2</v>
      </c>
      <c r="U42" t="s">
        <v>553</v>
      </c>
      <c r="V42">
        <v>3</v>
      </c>
      <c r="W42" t="s">
        <v>782</v>
      </c>
      <c r="X42">
        <v>3</v>
      </c>
      <c r="Y42" t="s">
        <v>931</v>
      </c>
      <c r="Z42">
        <v>1</v>
      </c>
    </row>
    <row r="43" spans="1:26" x14ac:dyDescent="0.4">
      <c r="A43" t="s">
        <v>678</v>
      </c>
      <c r="B43" t="s">
        <v>560</v>
      </c>
      <c r="C43" t="s">
        <v>2</v>
      </c>
      <c r="D43">
        <v>4.05</v>
      </c>
      <c r="E43" t="s">
        <v>932</v>
      </c>
      <c r="F43">
        <v>3</v>
      </c>
      <c r="G43" t="s">
        <v>655</v>
      </c>
      <c r="H43">
        <v>5</v>
      </c>
      <c r="I43" t="s">
        <v>933</v>
      </c>
      <c r="J43">
        <v>1</v>
      </c>
      <c r="K43" t="s">
        <v>934</v>
      </c>
      <c r="L43">
        <v>5</v>
      </c>
      <c r="M43" t="s">
        <v>644</v>
      </c>
      <c r="N43">
        <v>5</v>
      </c>
      <c r="O43">
        <v>74.2</v>
      </c>
      <c r="P43">
        <v>5</v>
      </c>
      <c r="Q43" t="s">
        <v>935</v>
      </c>
      <c r="R43">
        <v>2</v>
      </c>
      <c r="S43" t="s">
        <v>828</v>
      </c>
      <c r="T43">
        <v>3</v>
      </c>
      <c r="U43" t="s">
        <v>613</v>
      </c>
      <c r="V43">
        <v>3</v>
      </c>
      <c r="W43" t="s">
        <v>756</v>
      </c>
      <c r="X43">
        <v>3</v>
      </c>
      <c r="Y43" t="s">
        <v>936</v>
      </c>
      <c r="Z43">
        <v>5</v>
      </c>
    </row>
    <row r="44" spans="1:26" x14ac:dyDescent="0.4">
      <c r="A44" t="s">
        <v>687</v>
      </c>
      <c r="B44" t="s">
        <v>570</v>
      </c>
      <c r="C44" t="s">
        <v>208</v>
      </c>
      <c r="D44">
        <v>3.04</v>
      </c>
      <c r="E44" t="s">
        <v>937</v>
      </c>
      <c r="F44">
        <v>5</v>
      </c>
      <c r="G44" t="s">
        <v>843</v>
      </c>
      <c r="H44">
        <v>1</v>
      </c>
      <c r="I44" t="s">
        <v>938</v>
      </c>
      <c r="J44">
        <v>2</v>
      </c>
      <c r="K44" t="s">
        <v>742</v>
      </c>
      <c r="L44">
        <v>1</v>
      </c>
      <c r="M44" t="s">
        <v>732</v>
      </c>
      <c r="N44">
        <v>5</v>
      </c>
      <c r="O44">
        <v>76.599999999999994</v>
      </c>
      <c r="P44">
        <v>5</v>
      </c>
      <c r="Q44" t="s">
        <v>939</v>
      </c>
      <c r="R44">
        <v>4</v>
      </c>
      <c r="S44" t="s">
        <v>940</v>
      </c>
      <c r="T44">
        <v>3</v>
      </c>
      <c r="U44" t="s">
        <v>941</v>
      </c>
      <c r="V44">
        <v>3</v>
      </c>
      <c r="W44" t="s">
        <v>610</v>
      </c>
      <c r="X44">
        <v>2</v>
      </c>
      <c r="Y44" t="s">
        <v>942</v>
      </c>
      <c r="Z44">
        <v>3</v>
      </c>
    </row>
    <row r="45" spans="1:26" x14ac:dyDescent="0.4">
      <c r="A45" t="s">
        <v>698</v>
      </c>
      <c r="B45" t="s">
        <v>582</v>
      </c>
      <c r="C45" t="s">
        <v>48</v>
      </c>
      <c r="D45">
        <v>3.69</v>
      </c>
      <c r="E45" t="s">
        <v>927</v>
      </c>
      <c r="F45">
        <v>5</v>
      </c>
      <c r="G45" t="s">
        <v>626</v>
      </c>
      <c r="H45">
        <v>1</v>
      </c>
      <c r="I45" t="s">
        <v>943</v>
      </c>
      <c r="J45">
        <v>5</v>
      </c>
      <c r="K45" t="s">
        <v>791</v>
      </c>
      <c r="L45">
        <v>5</v>
      </c>
      <c r="M45" t="s">
        <v>697</v>
      </c>
      <c r="N45">
        <v>5</v>
      </c>
      <c r="O45">
        <v>71.8</v>
      </c>
      <c r="P45">
        <v>5</v>
      </c>
      <c r="Q45" t="s">
        <v>944</v>
      </c>
      <c r="R45">
        <v>3</v>
      </c>
      <c r="S45" t="s">
        <v>611</v>
      </c>
      <c r="T45">
        <v>2</v>
      </c>
      <c r="U45" t="s">
        <v>945</v>
      </c>
      <c r="V45">
        <v>2</v>
      </c>
      <c r="W45" t="s">
        <v>684</v>
      </c>
      <c r="X45">
        <v>5</v>
      </c>
      <c r="Y45" t="s">
        <v>844</v>
      </c>
      <c r="Z45">
        <v>1</v>
      </c>
    </row>
    <row r="46" spans="1:26" x14ac:dyDescent="0.4">
      <c r="A46" t="s">
        <v>706</v>
      </c>
      <c r="B46" t="s">
        <v>594</v>
      </c>
      <c r="C46" t="s">
        <v>87</v>
      </c>
      <c r="D46">
        <v>3.46</v>
      </c>
      <c r="E46" t="s">
        <v>946</v>
      </c>
      <c r="F46">
        <v>5</v>
      </c>
      <c r="G46" t="s">
        <v>947</v>
      </c>
      <c r="H46">
        <v>1</v>
      </c>
      <c r="I46" t="s">
        <v>948</v>
      </c>
      <c r="J46">
        <v>3</v>
      </c>
      <c r="K46" t="s">
        <v>704</v>
      </c>
      <c r="L46">
        <v>5</v>
      </c>
      <c r="M46" t="s">
        <v>949</v>
      </c>
      <c r="N46">
        <v>5</v>
      </c>
      <c r="O46">
        <v>76.7</v>
      </c>
      <c r="P46">
        <v>5</v>
      </c>
      <c r="Q46" t="s">
        <v>950</v>
      </c>
      <c r="R46">
        <v>2</v>
      </c>
      <c r="S46" t="s">
        <v>951</v>
      </c>
      <c r="T46">
        <v>4</v>
      </c>
      <c r="U46" t="s">
        <v>952</v>
      </c>
      <c r="V46">
        <v>2</v>
      </c>
      <c r="W46" t="s">
        <v>612</v>
      </c>
      <c r="X46">
        <v>1</v>
      </c>
      <c r="Y46" t="s">
        <v>953</v>
      </c>
      <c r="Z46">
        <v>3</v>
      </c>
    </row>
    <row r="47" spans="1:26" x14ac:dyDescent="0.4">
      <c r="A47" t="s">
        <v>716</v>
      </c>
      <c r="B47" t="s">
        <v>606</v>
      </c>
      <c r="C47" t="s">
        <v>333</v>
      </c>
      <c r="D47">
        <v>2.64</v>
      </c>
      <c r="E47" t="s">
        <v>954</v>
      </c>
      <c r="F47">
        <v>5</v>
      </c>
      <c r="G47" t="s">
        <v>683</v>
      </c>
      <c r="H47">
        <v>5</v>
      </c>
      <c r="I47" t="s">
        <v>955</v>
      </c>
      <c r="J47">
        <v>4</v>
      </c>
      <c r="K47" t="s">
        <v>956</v>
      </c>
      <c r="L47">
        <v>2</v>
      </c>
      <c r="M47" t="s">
        <v>957</v>
      </c>
      <c r="N47">
        <v>3</v>
      </c>
      <c r="O47">
        <v>54.4</v>
      </c>
      <c r="P47">
        <v>1</v>
      </c>
      <c r="Q47" t="s">
        <v>726</v>
      </c>
      <c r="R47">
        <v>3</v>
      </c>
      <c r="S47" t="s">
        <v>892</v>
      </c>
      <c r="T47">
        <v>2</v>
      </c>
      <c r="U47" t="s">
        <v>958</v>
      </c>
      <c r="V47">
        <v>1</v>
      </c>
      <c r="W47" t="s">
        <v>610</v>
      </c>
      <c r="X47">
        <v>2</v>
      </c>
      <c r="Y47" t="s">
        <v>711</v>
      </c>
      <c r="Z47">
        <v>1</v>
      </c>
    </row>
    <row r="48" spans="1:26" x14ac:dyDescent="0.4">
      <c r="A48" t="s">
        <v>728</v>
      </c>
      <c r="B48" t="s">
        <v>618</v>
      </c>
      <c r="C48" t="s">
        <v>399</v>
      </c>
      <c r="D48">
        <v>2.27</v>
      </c>
      <c r="E48" t="s">
        <v>959</v>
      </c>
      <c r="F48">
        <v>3</v>
      </c>
      <c r="G48" t="s">
        <v>960</v>
      </c>
      <c r="H48">
        <v>1</v>
      </c>
      <c r="I48" t="s">
        <v>961</v>
      </c>
      <c r="J48">
        <v>2</v>
      </c>
      <c r="K48" t="s">
        <v>962</v>
      </c>
      <c r="L48">
        <v>3</v>
      </c>
      <c r="M48" t="s">
        <v>942</v>
      </c>
      <c r="N48">
        <v>5</v>
      </c>
      <c r="O48">
        <v>56.6</v>
      </c>
      <c r="P48">
        <v>1</v>
      </c>
      <c r="Q48" t="s">
        <v>724</v>
      </c>
      <c r="R48">
        <v>2</v>
      </c>
      <c r="S48" t="s">
        <v>963</v>
      </c>
      <c r="T48">
        <v>1</v>
      </c>
      <c r="U48" t="s">
        <v>853</v>
      </c>
      <c r="V48">
        <v>2</v>
      </c>
      <c r="W48" t="s">
        <v>855</v>
      </c>
      <c r="X48">
        <v>1</v>
      </c>
      <c r="Y48" t="s">
        <v>964</v>
      </c>
      <c r="Z48">
        <v>2</v>
      </c>
    </row>
    <row r="49" spans="1:26" x14ac:dyDescent="0.4">
      <c r="A49" t="s">
        <v>736</v>
      </c>
      <c r="B49" t="s">
        <v>628</v>
      </c>
      <c r="C49" t="s">
        <v>370</v>
      </c>
      <c r="D49">
        <v>2.4500000000000002</v>
      </c>
      <c r="E49" t="s">
        <v>965</v>
      </c>
      <c r="F49">
        <v>2</v>
      </c>
      <c r="G49" t="s">
        <v>966</v>
      </c>
      <c r="H49">
        <v>1</v>
      </c>
      <c r="I49" t="s">
        <v>967</v>
      </c>
      <c r="J49">
        <v>2</v>
      </c>
      <c r="K49" t="s">
        <v>693</v>
      </c>
      <c r="L49">
        <v>1</v>
      </c>
      <c r="M49" t="s">
        <v>653</v>
      </c>
      <c r="N49">
        <v>5</v>
      </c>
      <c r="O49">
        <v>71</v>
      </c>
      <c r="P49">
        <v>5</v>
      </c>
      <c r="Q49" t="s">
        <v>820</v>
      </c>
      <c r="R49">
        <v>2</v>
      </c>
      <c r="S49" t="s">
        <v>620</v>
      </c>
      <c r="T49">
        <v>2</v>
      </c>
      <c r="U49" t="s">
        <v>712</v>
      </c>
      <c r="V49">
        <v>3</v>
      </c>
      <c r="W49" t="s">
        <v>968</v>
      </c>
      <c r="X49">
        <v>2</v>
      </c>
      <c r="Y49" t="s">
        <v>696</v>
      </c>
      <c r="Z49">
        <v>1</v>
      </c>
    </row>
    <row r="50" spans="1:26" x14ac:dyDescent="0.4">
      <c r="A50" t="s">
        <v>746</v>
      </c>
      <c r="B50" t="s">
        <v>638</v>
      </c>
      <c r="C50" t="s">
        <v>150</v>
      </c>
      <c r="D50">
        <v>3.22</v>
      </c>
      <c r="E50" t="s">
        <v>969</v>
      </c>
      <c r="F50">
        <v>4</v>
      </c>
      <c r="G50" t="s">
        <v>970</v>
      </c>
      <c r="H50">
        <v>4</v>
      </c>
      <c r="I50" t="s">
        <v>971</v>
      </c>
      <c r="J50">
        <v>2</v>
      </c>
      <c r="K50" t="s">
        <v>972</v>
      </c>
      <c r="L50">
        <v>4</v>
      </c>
      <c r="M50" t="s">
        <v>973</v>
      </c>
      <c r="N50">
        <v>5</v>
      </c>
      <c r="O50">
        <v>52.9</v>
      </c>
      <c r="P50">
        <v>1</v>
      </c>
      <c r="Q50" t="s">
        <v>800</v>
      </c>
      <c r="R50">
        <v>1</v>
      </c>
      <c r="S50" t="s">
        <v>803</v>
      </c>
      <c r="T50">
        <v>3</v>
      </c>
      <c r="U50" t="s">
        <v>974</v>
      </c>
      <c r="V50">
        <v>3</v>
      </c>
      <c r="W50" t="s">
        <v>975</v>
      </c>
      <c r="X50">
        <v>5</v>
      </c>
      <c r="Y50" t="s">
        <v>603</v>
      </c>
      <c r="Z50">
        <v>1</v>
      </c>
    </row>
    <row r="51" spans="1:26" x14ac:dyDescent="0.4">
      <c r="A51" t="s">
        <v>757</v>
      </c>
      <c r="B51" t="s">
        <v>649</v>
      </c>
      <c r="C51" t="s">
        <v>225</v>
      </c>
      <c r="D51">
        <v>3.01</v>
      </c>
      <c r="E51" t="s">
        <v>976</v>
      </c>
      <c r="F51">
        <v>2</v>
      </c>
      <c r="G51" t="s">
        <v>929</v>
      </c>
      <c r="H51">
        <v>1</v>
      </c>
      <c r="I51" t="s">
        <v>977</v>
      </c>
      <c r="J51">
        <v>2</v>
      </c>
      <c r="K51" t="s">
        <v>978</v>
      </c>
      <c r="L51">
        <v>5</v>
      </c>
      <c r="M51" t="s">
        <v>979</v>
      </c>
      <c r="N51">
        <v>5</v>
      </c>
      <c r="O51">
        <v>55</v>
      </c>
      <c r="P51">
        <v>1</v>
      </c>
      <c r="Q51" t="s">
        <v>974</v>
      </c>
      <c r="R51">
        <v>3</v>
      </c>
      <c r="S51" t="s">
        <v>926</v>
      </c>
      <c r="T51">
        <v>2</v>
      </c>
      <c r="U51" t="s">
        <v>873</v>
      </c>
      <c r="V51">
        <v>3</v>
      </c>
      <c r="W51" t="s">
        <v>980</v>
      </c>
      <c r="X51">
        <v>3</v>
      </c>
      <c r="Y51" t="s">
        <v>579</v>
      </c>
      <c r="Z51">
        <v>4</v>
      </c>
    </row>
    <row r="52" spans="1:26" x14ac:dyDescent="0.4">
      <c r="A52" t="s">
        <v>765</v>
      </c>
      <c r="B52" t="s">
        <v>659</v>
      </c>
      <c r="C52" t="s">
        <v>177</v>
      </c>
      <c r="D52">
        <v>3.14</v>
      </c>
      <c r="E52" t="s">
        <v>981</v>
      </c>
      <c r="F52">
        <v>5</v>
      </c>
      <c r="G52" t="s">
        <v>982</v>
      </c>
      <c r="H52">
        <v>1</v>
      </c>
      <c r="I52" t="s">
        <v>983</v>
      </c>
      <c r="J52">
        <v>3</v>
      </c>
      <c r="K52" t="s">
        <v>984</v>
      </c>
      <c r="L52">
        <v>5</v>
      </c>
      <c r="M52" t="s">
        <v>856</v>
      </c>
      <c r="N52">
        <v>5</v>
      </c>
      <c r="O52">
        <v>68.099999999999994</v>
      </c>
      <c r="P52">
        <v>4</v>
      </c>
      <c r="Q52" t="s">
        <v>985</v>
      </c>
      <c r="R52">
        <v>3</v>
      </c>
      <c r="S52" t="s">
        <v>986</v>
      </c>
      <c r="T52">
        <v>1</v>
      </c>
      <c r="U52" t="s">
        <v>856</v>
      </c>
      <c r="V52">
        <v>2</v>
      </c>
      <c r="W52" t="s">
        <v>792</v>
      </c>
      <c r="X52">
        <v>2</v>
      </c>
      <c r="Y52" t="s">
        <v>987</v>
      </c>
      <c r="Z52">
        <v>1</v>
      </c>
    </row>
    <row r="53" spans="1:26" x14ac:dyDescent="0.4">
      <c r="A53" t="s">
        <v>775</v>
      </c>
      <c r="B53" t="s">
        <v>669</v>
      </c>
      <c r="C53" t="s">
        <v>413</v>
      </c>
      <c r="D53">
        <v>2.11</v>
      </c>
      <c r="E53" t="s">
        <v>988</v>
      </c>
      <c r="F53">
        <v>5</v>
      </c>
      <c r="G53" t="s">
        <v>744</v>
      </c>
      <c r="H53">
        <v>1</v>
      </c>
      <c r="I53" t="s">
        <v>989</v>
      </c>
      <c r="J53">
        <v>1</v>
      </c>
      <c r="K53" t="s">
        <v>612</v>
      </c>
      <c r="L53">
        <v>2</v>
      </c>
      <c r="M53" t="s">
        <v>990</v>
      </c>
      <c r="N53">
        <v>2</v>
      </c>
      <c r="O53">
        <v>59.1</v>
      </c>
      <c r="P53">
        <v>2</v>
      </c>
      <c r="Q53" t="s">
        <v>991</v>
      </c>
      <c r="R53">
        <v>2</v>
      </c>
      <c r="S53" t="s">
        <v>584</v>
      </c>
      <c r="T53">
        <v>5</v>
      </c>
      <c r="U53" t="s">
        <v>992</v>
      </c>
      <c r="V53">
        <v>2</v>
      </c>
      <c r="W53" t="s">
        <v>993</v>
      </c>
      <c r="X53">
        <v>2</v>
      </c>
      <c r="Y53" t="s">
        <v>994</v>
      </c>
      <c r="Z53">
        <v>1</v>
      </c>
    </row>
    <row r="54" spans="1:26" x14ac:dyDescent="0.4">
      <c r="A54" t="s">
        <v>785</v>
      </c>
      <c r="B54" t="s">
        <v>679</v>
      </c>
      <c r="C54" t="s">
        <v>59</v>
      </c>
      <c r="D54">
        <v>3.6</v>
      </c>
      <c r="E54" t="s">
        <v>995</v>
      </c>
      <c r="F54">
        <v>5</v>
      </c>
      <c r="G54" t="s">
        <v>996</v>
      </c>
      <c r="H54">
        <v>5</v>
      </c>
      <c r="I54" t="s">
        <v>702</v>
      </c>
      <c r="J54">
        <v>2</v>
      </c>
      <c r="K54" t="s">
        <v>997</v>
      </c>
      <c r="L54">
        <v>5</v>
      </c>
      <c r="M54" t="s">
        <v>998</v>
      </c>
      <c r="N54">
        <v>5</v>
      </c>
      <c r="O54">
        <v>55.4</v>
      </c>
      <c r="P54">
        <v>1</v>
      </c>
      <c r="Q54" t="s">
        <v>990</v>
      </c>
      <c r="R54">
        <v>2</v>
      </c>
      <c r="S54" t="s">
        <v>623</v>
      </c>
      <c r="T54">
        <v>2</v>
      </c>
      <c r="U54" t="s">
        <v>999</v>
      </c>
      <c r="V54">
        <v>2</v>
      </c>
      <c r="W54" t="s">
        <v>874</v>
      </c>
      <c r="X54">
        <v>5</v>
      </c>
      <c r="Y54" t="s">
        <v>681</v>
      </c>
      <c r="Z54">
        <v>2</v>
      </c>
    </row>
    <row r="55" spans="1:26" x14ac:dyDescent="0.4">
      <c r="A55" t="s">
        <v>796</v>
      </c>
      <c r="B55" t="s">
        <v>688</v>
      </c>
      <c r="C55" t="s">
        <v>63</v>
      </c>
      <c r="D55">
        <v>3.55</v>
      </c>
      <c r="E55" t="s">
        <v>1000</v>
      </c>
      <c r="F55">
        <v>4</v>
      </c>
      <c r="G55" t="s">
        <v>562</v>
      </c>
      <c r="H55">
        <v>4</v>
      </c>
      <c r="I55" t="s">
        <v>563</v>
      </c>
      <c r="J55">
        <v>4</v>
      </c>
      <c r="K55" t="s">
        <v>624</v>
      </c>
      <c r="L55">
        <v>5</v>
      </c>
      <c r="M55" t="s">
        <v>890</v>
      </c>
      <c r="N55">
        <v>5</v>
      </c>
      <c r="O55">
        <v>72.5</v>
      </c>
      <c r="P55">
        <v>5</v>
      </c>
      <c r="Q55" t="s">
        <v>1001</v>
      </c>
      <c r="R55">
        <v>3</v>
      </c>
      <c r="S55" t="s">
        <v>1002</v>
      </c>
      <c r="T55">
        <v>2</v>
      </c>
      <c r="U55" t="s">
        <v>1003</v>
      </c>
      <c r="V55">
        <v>2</v>
      </c>
      <c r="W55" t="s">
        <v>685</v>
      </c>
      <c r="X55">
        <v>1</v>
      </c>
      <c r="Y55" t="s">
        <v>1004</v>
      </c>
      <c r="Z55">
        <v>1</v>
      </c>
    </row>
    <row r="56" spans="1:26" x14ac:dyDescent="0.4">
      <c r="A56" t="s">
        <v>804</v>
      </c>
      <c r="B56" t="s">
        <v>699</v>
      </c>
      <c r="C56" t="s">
        <v>273</v>
      </c>
      <c r="D56">
        <v>2.86</v>
      </c>
      <c r="E56" t="s">
        <v>1005</v>
      </c>
      <c r="F56">
        <v>1</v>
      </c>
      <c r="G56" t="s">
        <v>913</v>
      </c>
      <c r="H56">
        <v>1</v>
      </c>
      <c r="I56" t="s">
        <v>1006</v>
      </c>
      <c r="J56">
        <v>3</v>
      </c>
      <c r="K56" t="s">
        <v>801</v>
      </c>
      <c r="L56">
        <v>5</v>
      </c>
      <c r="M56" t="s">
        <v>586</v>
      </c>
      <c r="N56">
        <v>5</v>
      </c>
      <c r="O56">
        <v>63.3</v>
      </c>
      <c r="P56">
        <v>3</v>
      </c>
      <c r="Q56" t="s">
        <v>566</v>
      </c>
      <c r="R56">
        <v>3</v>
      </c>
      <c r="S56" t="s">
        <v>916</v>
      </c>
      <c r="T56">
        <v>2</v>
      </c>
      <c r="U56" t="s">
        <v>952</v>
      </c>
      <c r="V56">
        <v>2</v>
      </c>
      <c r="W56" t="s">
        <v>964</v>
      </c>
      <c r="X56">
        <v>2</v>
      </c>
      <c r="Y56" t="s">
        <v>907</v>
      </c>
      <c r="Z56">
        <v>2</v>
      </c>
    </row>
    <row r="57" spans="1:26" x14ac:dyDescent="0.4">
      <c r="A57" t="s">
        <v>814</v>
      </c>
      <c r="B57" t="s">
        <v>707</v>
      </c>
      <c r="C57" t="s">
        <v>291</v>
      </c>
      <c r="D57">
        <v>2.81</v>
      </c>
      <c r="E57" t="s">
        <v>1007</v>
      </c>
      <c r="F57">
        <v>3</v>
      </c>
      <c r="G57" t="s">
        <v>924</v>
      </c>
      <c r="H57">
        <v>4</v>
      </c>
      <c r="I57" t="s">
        <v>1008</v>
      </c>
      <c r="J57">
        <v>4</v>
      </c>
      <c r="K57" t="s">
        <v>904</v>
      </c>
      <c r="L57">
        <v>5</v>
      </c>
      <c r="M57" t="s">
        <v>1009</v>
      </c>
      <c r="N57">
        <v>2</v>
      </c>
      <c r="O57">
        <v>58.9</v>
      </c>
      <c r="P57">
        <v>2</v>
      </c>
      <c r="Q57" t="s">
        <v>555</v>
      </c>
      <c r="R57">
        <v>3</v>
      </c>
      <c r="S57" t="s">
        <v>685</v>
      </c>
      <c r="T57">
        <v>2</v>
      </c>
      <c r="U57" t="s">
        <v>895</v>
      </c>
      <c r="V57">
        <v>2</v>
      </c>
      <c r="W57" t="s">
        <v>872</v>
      </c>
      <c r="X57">
        <v>2</v>
      </c>
      <c r="Y57" t="s">
        <v>1010</v>
      </c>
      <c r="Z57">
        <v>1</v>
      </c>
    </row>
    <row r="58" spans="1:26" x14ac:dyDescent="0.4">
      <c r="A58" t="s">
        <v>822</v>
      </c>
      <c r="B58" t="s">
        <v>717</v>
      </c>
      <c r="C58" t="s">
        <v>386</v>
      </c>
      <c r="D58">
        <v>2.36</v>
      </c>
      <c r="E58" t="s">
        <v>619</v>
      </c>
      <c r="F58">
        <v>1</v>
      </c>
      <c r="G58" t="s">
        <v>608</v>
      </c>
      <c r="H58">
        <v>2</v>
      </c>
      <c r="I58" t="s">
        <v>1011</v>
      </c>
      <c r="J58">
        <v>1</v>
      </c>
      <c r="K58" t="s">
        <v>1012</v>
      </c>
      <c r="L58">
        <v>5</v>
      </c>
      <c r="M58" t="s">
        <v>1013</v>
      </c>
      <c r="N58">
        <v>1</v>
      </c>
      <c r="O58">
        <v>75.599999999999994</v>
      </c>
      <c r="P58">
        <v>5</v>
      </c>
      <c r="Q58" t="s">
        <v>1014</v>
      </c>
      <c r="R58">
        <v>2</v>
      </c>
      <c r="S58" t="s">
        <v>616</v>
      </c>
      <c r="T58">
        <v>3</v>
      </c>
      <c r="U58" t="s">
        <v>1015</v>
      </c>
      <c r="V58">
        <v>1</v>
      </c>
      <c r="W58" t="s">
        <v>633</v>
      </c>
      <c r="X58">
        <v>2</v>
      </c>
      <c r="Y58" t="s">
        <v>1016</v>
      </c>
      <c r="Z58">
        <v>1</v>
      </c>
    </row>
    <row r="59" spans="1:26" x14ac:dyDescent="0.4">
      <c r="A59" t="s">
        <v>831</v>
      </c>
      <c r="B59" t="s">
        <v>729</v>
      </c>
      <c r="C59" t="s">
        <v>213</v>
      </c>
      <c r="D59">
        <v>3.03</v>
      </c>
      <c r="E59" t="s">
        <v>1017</v>
      </c>
      <c r="F59">
        <v>3</v>
      </c>
      <c r="G59" t="s">
        <v>1018</v>
      </c>
      <c r="H59">
        <v>1</v>
      </c>
      <c r="I59" t="s">
        <v>631</v>
      </c>
      <c r="J59">
        <v>3</v>
      </c>
      <c r="K59" t="s">
        <v>1019</v>
      </c>
      <c r="L59">
        <v>5</v>
      </c>
      <c r="M59" t="s">
        <v>838</v>
      </c>
      <c r="N59">
        <v>5</v>
      </c>
      <c r="O59">
        <v>61.9</v>
      </c>
      <c r="P59">
        <v>3</v>
      </c>
      <c r="Q59" t="s">
        <v>962</v>
      </c>
      <c r="R59">
        <v>2</v>
      </c>
      <c r="S59" t="s">
        <v>878</v>
      </c>
      <c r="T59">
        <v>2</v>
      </c>
      <c r="U59" t="s">
        <v>940</v>
      </c>
      <c r="V59">
        <v>3</v>
      </c>
      <c r="W59" t="s">
        <v>1012</v>
      </c>
      <c r="X59">
        <v>2</v>
      </c>
      <c r="Y59" t="s">
        <v>803</v>
      </c>
      <c r="Z59">
        <v>2</v>
      </c>
    </row>
    <row r="60" spans="1:26" x14ac:dyDescent="0.4">
      <c r="A60" t="s">
        <v>547</v>
      </c>
      <c r="B60" t="s">
        <v>737</v>
      </c>
      <c r="C60" t="s">
        <v>371</v>
      </c>
      <c r="D60">
        <v>2.4500000000000002</v>
      </c>
      <c r="E60" t="s">
        <v>1020</v>
      </c>
      <c r="F60">
        <v>4</v>
      </c>
      <c r="G60" t="s">
        <v>791</v>
      </c>
      <c r="H60">
        <v>5</v>
      </c>
      <c r="I60" t="s">
        <v>1021</v>
      </c>
      <c r="J60">
        <v>2</v>
      </c>
      <c r="K60" t="s">
        <v>742</v>
      </c>
      <c r="L60">
        <v>1</v>
      </c>
      <c r="M60" t="s">
        <v>906</v>
      </c>
      <c r="N60">
        <v>1</v>
      </c>
      <c r="O60">
        <v>62.8</v>
      </c>
      <c r="P60">
        <v>3</v>
      </c>
      <c r="Q60" t="s">
        <v>665</v>
      </c>
      <c r="R60">
        <v>3</v>
      </c>
      <c r="S60" t="s">
        <v>942</v>
      </c>
      <c r="T60">
        <v>3</v>
      </c>
      <c r="U60" t="s">
        <v>1022</v>
      </c>
      <c r="V60">
        <v>2</v>
      </c>
      <c r="W60" t="s">
        <v>1023</v>
      </c>
      <c r="X60">
        <v>2</v>
      </c>
      <c r="Y60" t="s">
        <v>1024</v>
      </c>
      <c r="Z60">
        <v>2</v>
      </c>
    </row>
    <row r="61" spans="1:26" x14ac:dyDescent="0.4">
      <c r="A61" t="s">
        <v>559</v>
      </c>
      <c r="B61" t="s">
        <v>747</v>
      </c>
      <c r="C61" t="s">
        <v>185</v>
      </c>
      <c r="D61">
        <v>3.1</v>
      </c>
      <c r="E61" t="s">
        <v>1025</v>
      </c>
      <c r="F61">
        <v>2</v>
      </c>
      <c r="G61" t="s">
        <v>941</v>
      </c>
      <c r="H61">
        <v>3</v>
      </c>
      <c r="I61" t="s">
        <v>1026</v>
      </c>
      <c r="J61">
        <v>5</v>
      </c>
      <c r="K61" t="s">
        <v>794</v>
      </c>
      <c r="L61">
        <v>4</v>
      </c>
      <c r="M61" t="s">
        <v>1027</v>
      </c>
      <c r="N61">
        <v>4</v>
      </c>
      <c r="O61">
        <v>72</v>
      </c>
      <c r="P61">
        <v>5</v>
      </c>
      <c r="Q61" t="s">
        <v>940</v>
      </c>
      <c r="R61">
        <v>3</v>
      </c>
      <c r="S61" t="s">
        <v>1024</v>
      </c>
      <c r="T61">
        <v>3</v>
      </c>
      <c r="U61" t="s">
        <v>713</v>
      </c>
      <c r="V61">
        <v>2</v>
      </c>
      <c r="W61" t="s">
        <v>1004</v>
      </c>
      <c r="X61">
        <v>1</v>
      </c>
      <c r="Y61" t="s">
        <v>1028</v>
      </c>
      <c r="Z61">
        <v>1</v>
      </c>
    </row>
    <row r="62" spans="1:26" x14ac:dyDescent="0.4">
      <c r="A62" t="s">
        <v>569</v>
      </c>
      <c r="B62" t="s">
        <v>758</v>
      </c>
      <c r="C62" t="s">
        <v>39</v>
      </c>
      <c r="D62">
        <v>3.74</v>
      </c>
      <c r="E62" t="s">
        <v>1029</v>
      </c>
      <c r="F62">
        <v>5</v>
      </c>
      <c r="G62" t="s">
        <v>705</v>
      </c>
      <c r="H62">
        <v>4</v>
      </c>
      <c r="I62" t="s">
        <v>1030</v>
      </c>
      <c r="J62">
        <v>3</v>
      </c>
      <c r="K62" t="s">
        <v>791</v>
      </c>
      <c r="L62">
        <v>5</v>
      </c>
      <c r="M62" t="s">
        <v>1031</v>
      </c>
      <c r="N62">
        <v>5</v>
      </c>
      <c r="O62">
        <v>62.5</v>
      </c>
      <c r="P62">
        <v>3</v>
      </c>
      <c r="Q62" t="s">
        <v>734</v>
      </c>
      <c r="R62">
        <v>2</v>
      </c>
      <c r="S62" t="s">
        <v>1032</v>
      </c>
      <c r="T62">
        <v>2</v>
      </c>
      <c r="U62" t="s">
        <v>732</v>
      </c>
      <c r="V62">
        <v>3</v>
      </c>
      <c r="W62" t="s">
        <v>1033</v>
      </c>
      <c r="X62">
        <v>3</v>
      </c>
      <c r="Y62" t="s">
        <v>634</v>
      </c>
      <c r="Z62">
        <v>3</v>
      </c>
    </row>
    <row r="63" spans="1:26" x14ac:dyDescent="0.4">
      <c r="A63" t="s">
        <v>581</v>
      </c>
      <c r="B63" t="s">
        <v>766</v>
      </c>
      <c r="C63" t="s">
        <v>244</v>
      </c>
      <c r="D63">
        <v>2.94</v>
      </c>
      <c r="E63" t="s">
        <v>1034</v>
      </c>
      <c r="F63">
        <v>4</v>
      </c>
      <c r="G63" t="s">
        <v>827</v>
      </c>
      <c r="H63">
        <v>3</v>
      </c>
      <c r="I63" t="s">
        <v>1035</v>
      </c>
      <c r="J63">
        <v>5</v>
      </c>
      <c r="K63" t="s">
        <v>829</v>
      </c>
      <c r="L63">
        <v>5</v>
      </c>
      <c r="M63" t="s">
        <v>554</v>
      </c>
      <c r="N63">
        <v>5</v>
      </c>
      <c r="O63">
        <v>54.1</v>
      </c>
      <c r="P63">
        <v>1</v>
      </c>
      <c r="Q63" t="s">
        <v>1036</v>
      </c>
      <c r="R63">
        <v>2</v>
      </c>
      <c r="S63" t="s">
        <v>1037</v>
      </c>
      <c r="T63">
        <v>2</v>
      </c>
      <c r="U63" t="s">
        <v>1038</v>
      </c>
      <c r="V63">
        <v>1</v>
      </c>
      <c r="W63" t="s">
        <v>846</v>
      </c>
      <c r="X63">
        <v>1</v>
      </c>
      <c r="Y63" t="s">
        <v>1039</v>
      </c>
      <c r="Z63">
        <v>1</v>
      </c>
    </row>
    <row r="64" spans="1:26" x14ac:dyDescent="0.4">
      <c r="A64" t="s">
        <v>593</v>
      </c>
      <c r="B64" t="s">
        <v>776</v>
      </c>
      <c r="C64" t="s">
        <v>377</v>
      </c>
      <c r="D64">
        <v>2.4300000000000002</v>
      </c>
      <c r="E64" t="s">
        <v>1040</v>
      </c>
      <c r="F64">
        <v>5</v>
      </c>
      <c r="G64" t="s">
        <v>1041</v>
      </c>
      <c r="H64">
        <v>1</v>
      </c>
      <c r="I64" t="s">
        <v>1042</v>
      </c>
      <c r="J64">
        <v>4</v>
      </c>
      <c r="K64" t="s">
        <v>714</v>
      </c>
      <c r="L64">
        <v>5</v>
      </c>
      <c r="M64" t="s">
        <v>575</v>
      </c>
      <c r="N64">
        <v>1</v>
      </c>
      <c r="O64">
        <v>57.9</v>
      </c>
      <c r="P64">
        <v>2</v>
      </c>
      <c r="Q64" t="s">
        <v>1043</v>
      </c>
      <c r="R64">
        <v>3</v>
      </c>
      <c r="S64" t="s">
        <v>800</v>
      </c>
      <c r="T64">
        <v>1</v>
      </c>
      <c r="U64" t="s">
        <v>1044</v>
      </c>
      <c r="V64">
        <v>2</v>
      </c>
      <c r="W64" t="s">
        <v>1045</v>
      </c>
      <c r="X64">
        <v>1</v>
      </c>
      <c r="Y64" t="s">
        <v>1046</v>
      </c>
      <c r="Z64">
        <v>2</v>
      </c>
    </row>
    <row r="65" spans="1:26" x14ac:dyDescent="0.4">
      <c r="A65" t="s">
        <v>605</v>
      </c>
      <c r="B65" t="s">
        <v>786</v>
      </c>
      <c r="C65" t="s">
        <v>67</v>
      </c>
      <c r="D65">
        <v>3.54</v>
      </c>
      <c r="E65" t="s">
        <v>1047</v>
      </c>
      <c r="F65">
        <v>2</v>
      </c>
      <c r="G65" t="s">
        <v>552</v>
      </c>
      <c r="H65">
        <v>3</v>
      </c>
      <c r="I65" t="s">
        <v>1048</v>
      </c>
      <c r="J65">
        <v>5</v>
      </c>
      <c r="K65" t="s">
        <v>1031</v>
      </c>
      <c r="L65">
        <v>5</v>
      </c>
      <c r="M65" t="s">
        <v>985</v>
      </c>
      <c r="N65">
        <v>5</v>
      </c>
      <c r="O65">
        <v>61.7</v>
      </c>
      <c r="P65">
        <v>3</v>
      </c>
      <c r="Q65" t="s">
        <v>891</v>
      </c>
      <c r="R65">
        <v>4</v>
      </c>
      <c r="S65" t="s">
        <v>996</v>
      </c>
      <c r="T65">
        <v>4</v>
      </c>
      <c r="U65" t="s">
        <v>913</v>
      </c>
      <c r="V65">
        <v>2</v>
      </c>
      <c r="W65" t="s">
        <v>634</v>
      </c>
      <c r="X65">
        <v>3</v>
      </c>
      <c r="Y65" t="s">
        <v>743</v>
      </c>
      <c r="Z65">
        <v>2</v>
      </c>
    </row>
    <row r="66" spans="1:26" x14ac:dyDescent="0.4">
      <c r="A66" t="s">
        <v>617</v>
      </c>
      <c r="B66" t="s">
        <v>797</v>
      </c>
      <c r="C66" t="s">
        <v>373</v>
      </c>
      <c r="D66">
        <v>2.44</v>
      </c>
      <c r="E66" t="s">
        <v>1049</v>
      </c>
      <c r="F66">
        <v>2</v>
      </c>
      <c r="G66" t="s">
        <v>1050</v>
      </c>
      <c r="H66">
        <v>1</v>
      </c>
      <c r="I66" t="s">
        <v>1051</v>
      </c>
      <c r="J66">
        <v>2</v>
      </c>
      <c r="K66" t="s">
        <v>643</v>
      </c>
      <c r="L66">
        <v>2</v>
      </c>
      <c r="M66" t="s">
        <v>1052</v>
      </c>
      <c r="N66">
        <v>4</v>
      </c>
      <c r="O66">
        <v>66.2</v>
      </c>
      <c r="P66">
        <v>4</v>
      </c>
      <c r="Q66" t="s">
        <v>770</v>
      </c>
      <c r="R66">
        <v>2</v>
      </c>
      <c r="S66" t="s">
        <v>1053</v>
      </c>
      <c r="T66">
        <v>3</v>
      </c>
      <c r="U66" t="s">
        <v>991</v>
      </c>
      <c r="V66">
        <v>2</v>
      </c>
      <c r="W66" t="s">
        <v>960</v>
      </c>
      <c r="X66">
        <v>1</v>
      </c>
      <c r="Y66" t="s">
        <v>1054</v>
      </c>
      <c r="Z66">
        <v>3</v>
      </c>
    </row>
    <row r="67" spans="1:26" x14ac:dyDescent="0.4">
      <c r="A67" t="s">
        <v>627</v>
      </c>
      <c r="B67" t="s">
        <v>805</v>
      </c>
      <c r="C67" t="s">
        <v>0</v>
      </c>
      <c r="D67">
        <v>4.2</v>
      </c>
      <c r="E67" t="s">
        <v>1055</v>
      </c>
      <c r="F67">
        <v>5</v>
      </c>
      <c r="G67" t="s">
        <v>555</v>
      </c>
      <c r="H67">
        <v>3</v>
      </c>
      <c r="I67" t="s">
        <v>1056</v>
      </c>
      <c r="J67">
        <v>5</v>
      </c>
      <c r="K67" t="s">
        <v>876</v>
      </c>
      <c r="L67">
        <v>5</v>
      </c>
      <c r="M67" t="s">
        <v>741</v>
      </c>
      <c r="N67">
        <v>5</v>
      </c>
      <c r="O67">
        <v>76.900000000000006</v>
      </c>
      <c r="P67">
        <v>5</v>
      </c>
      <c r="Q67" t="s">
        <v>1057</v>
      </c>
      <c r="R67">
        <v>1</v>
      </c>
      <c r="S67" t="s">
        <v>1058</v>
      </c>
      <c r="T67">
        <v>4</v>
      </c>
      <c r="U67" t="s">
        <v>1059</v>
      </c>
      <c r="V67">
        <v>3</v>
      </c>
      <c r="W67" t="s">
        <v>1060</v>
      </c>
      <c r="X67">
        <v>4</v>
      </c>
      <c r="Y67" t="s">
        <v>1061</v>
      </c>
      <c r="Z67">
        <v>4</v>
      </c>
    </row>
    <row r="68" spans="1:26" x14ac:dyDescent="0.4">
      <c r="A68" t="s">
        <v>637</v>
      </c>
      <c r="B68" t="s">
        <v>815</v>
      </c>
      <c r="C68" t="s">
        <v>290</v>
      </c>
      <c r="D68">
        <v>2.82</v>
      </c>
      <c r="E68" t="s">
        <v>1062</v>
      </c>
      <c r="F68">
        <v>4</v>
      </c>
      <c r="G68" t="s">
        <v>1063</v>
      </c>
      <c r="H68">
        <v>1</v>
      </c>
      <c r="I68" t="s">
        <v>1064</v>
      </c>
      <c r="J68">
        <v>4</v>
      </c>
      <c r="K68" t="s">
        <v>601</v>
      </c>
      <c r="L68">
        <v>2</v>
      </c>
      <c r="M68" t="s">
        <v>991</v>
      </c>
      <c r="N68">
        <v>3</v>
      </c>
      <c r="O68">
        <v>75.099999999999994</v>
      </c>
      <c r="P68">
        <v>5</v>
      </c>
      <c r="Q68" t="s">
        <v>640</v>
      </c>
      <c r="R68">
        <v>4</v>
      </c>
      <c r="S68" t="s">
        <v>1065</v>
      </c>
      <c r="T68">
        <v>2</v>
      </c>
      <c r="U68" t="s">
        <v>875</v>
      </c>
      <c r="V68">
        <v>2</v>
      </c>
      <c r="W68" t="s">
        <v>899</v>
      </c>
      <c r="X68">
        <v>3</v>
      </c>
      <c r="Y68" t="s">
        <v>636</v>
      </c>
      <c r="Z68">
        <v>2</v>
      </c>
    </row>
    <row r="69" spans="1:26" x14ac:dyDescent="0.4">
      <c r="A69" t="s">
        <v>648</v>
      </c>
      <c r="B69" t="s">
        <v>823</v>
      </c>
      <c r="C69" t="s">
        <v>154</v>
      </c>
      <c r="D69">
        <v>3.21</v>
      </c>
      <c r="E69" t="s">
        <v>1066</v>
      </c>
      <c r="F69">
        <v>5</v>
      </c>
      <c r="G69" t="s">
        <v>598</v>
      </c>
      <c r="H69">
        <v>2</v>
      </c>
      <c r="I69" t="s">
        <v>881</v>
      </c>
      <c r="J69">
        <v>3</v>
      </c>
      <c r="K69" t="s">
        <v>574</v>
      </c>
      <c r="L69">
        <v>5</v>
      </c>
      <c r="M69" t="s">
        <v>745</v>
      </c>
      <c r="N69">
        <v>4</v>
      </c>
      <c r="O69">
        <v>53.1</v>
      </c>
      <c r="P69">
        <v>1</v>
      </c>
      <c r="Q69" t="s">
        <v>818</v>
      </c>
      <c r="R69">
        <v>2</v>
      </c>
      <c r="S69" t="s">
        <v>1067</v>
      </c>
      <c r="T69">
        <v>3</v>
      </c>
      <c r="U69" t="s">
        <v>553</v>
      </c>
      <c r="V69">
        <v>3</v>
      </c>
      <c r="W69" t="s">
        <v>745</v>
      </c>
      <c r="X69">
        <v>1</v>
      </c>
      <c r="Y69" t="s">
        <v>1068</v>
      </c>
      <c r="Z69">
        <v>5</v>
      </c>
    </row>
    <row r="70" spans="1:26" x14ac:dyDescent="0.4">
      <c r="A70" t="s">
        <v>658</v>
      </c>
      <c r="B70" t="s">
        <v>832</v>
      </c>
      <c r="C70" t="s">
        <v>374</v>
      </c>
      <c r="D70">
        <v>2.44</v>
      </c>
      <c r="E70" t="s">
        <v>1069</v>
      </c>
      <c r="F70">
        <v>1</v>
      </c>
      <c r="G70" t="s">
        <v>734</v>
      </c>
      <c r="H70">
        <v>1</v>
      </c>
      <c r="I70" t="s">
        <v>720</v>
      </c>
      <c r="J70">
        <v>5</v>
      </c>
      <c r="K70" t="s">
        <v>1070</v>
      </c>
      <c r="L70">
        <v>3</v>
      </c>
      <c r="M70" t="s">
        <v>739</v>
      </c>
      <c r="N70">
        <v>5</v>
      </c>
      <c r="O70">
        <v>56.6</v>
      </c>
      <c r="P70">
        <v>1</v>
      </c>
      <c r="Q70" t="s">
        <v>550</v>
      </c>
      <c r="R70">
        <v>4</v>
      </c>
      <c r="S70" t="s">
        <v>676</v>
      </c>
      <c r="T70">
        <v>2</v>
      </c>
      <c r="U70" t="s">
        <v>773</v>
      </c>
      <c r="V70">
        <v>2</v>
      </c>
      <c r="W70" t="s">
        <v>660</v>
      </c>
      <c r="X70">
        <v>1</v>
      </c>
      <c r="Y70" t="s">
        <v>992</v>
      </c>
      <c r="Z70">
        <v>2</v>
      </c>
    </row>
    <row r="71" spans="1:26" x14ac:dyDescent="0.4">
      <c r="A71" t="s">
        <v>668</v>
      </c>
      <c r="B71" t="s">
        <v>840</v>
      </c>
      <c r="C71" t="s">
        <v>352</v>
      </c>
      <c r="D71">
        <v>2.57</v>
      </c>
      <c r="E71" t="s">
        <v>1071</v>
      </c>
      <c r="F71">
        <v>1</v>
      </c>
      <c r="G71" t="s">
        <v>780</v>
      </c>
      <c r="H71">
        <v>5</v>
      </c>
      <c r="I71" t="s">
        <v>609</v>
      </c>
      <c r="J71">
        <v>1</v>
      </c>
      <c r="K71" t="s">
        <v>1072</v>
      </c>
      <c r="L71">
        <v>5</v>
      </c>
      <c r="M71" t="s">
        <v>1073</v>
      </c>
      <c r="N71">
        <v>1</v>
      </c>
      <c r="O71">
        <v>58</v>
      </c>
      <c r="P71">
        <v>2</v>
      </c>
      <c r="Q71" t="s">
        <v>1074</v>
      </c>
      <c r="R71">
        <v>5</v>
      </c>
      <c r="S71" t="s">
        <v>1075</v>
      </c>
      <c r="T71">
        <v>3</v>
      </c>
      <c r="U71" t="s">
        <v>577</v>
      </c>
      <c r="V71">
        <v>3</v>
      </c>
      <c r="W71" t="s">
        <v>1076</v>
      </c>
      <c r="X71">
        <v>1</v>
      </c>
      <c r="Y71" t="s">
        <v>1077</v>
      </c>
      <c r="Z71">
        <v>1</v>
      </c>
    </row>
    <row r="72" spans="1:26" x14ac:dyDescent="0.4">
      <c r="A72" t="s">
        <v>678</v>
      </c>
      <c r="B72" t="s">
        <v>849</v>
      </c>
      <c r="C72" t="s">
        <v>21</v>
      </c>
      <c r="D72">
        <v>3.83</v>
      </c>
      <c r="E72" t="s">
        <v>1078</v>
      </c>
      <c r="F72">
        <v>5</v>
      </c>
      <c r="G72" t="s">
        <v>742</v>
      </c>
      <c r="H72">
        <v>1</v>
      </c>
      <c r="I72" t="s">
        <v>933</v>
      </c>
      <c r="J72">
        <v>1</v>
      </c>
      <c r="K72" t="s">
        <v>856</v>
      </c>
      <c r="L72">
        <v>5</v>
      </c>
      <c r="M72" t="s">
        <v>590</v>
      </c>
      <c r="N72">
        <v>5</v>
      </c>
      <c r="O72">
        <v>70</v>
      </c>
      <c r="P72">
        <v>5</v>
      </c>
      <c r="Q72" t="s">
        <v>745</v>
      </c>
      <c r="R72">
        <v>2</v>
      </c>
      <c r="S72" t="s">
        <v>838</v>
      </c>
      <c r="T72">
        <v>5</v>
      </c>
      <c r="U72" t="s">
        <v>936</v>
      </c>
      <c r="V72">
        <v>5</v>
      </c>
      <c r="W72" t="s">
        <v>904</v>
      </c>
      <c r="X72">
        <v>5</v>
      </c>
      <c r="Y72" t="s">
        <v>1079</v>
      </c>
      <c r="Z72">
        <v>2</v>
      </c>
    </row>
    <row r="73" spans="1:26" x14ac:dyDescent="0.4">
      <c r="A73" t="s">
        <v>687</v>
      </c>
      <c r="B73" t="s">
        <v>858</v>
      </c>
      <c r="C73" t="s">
        <v>102</v>
      </c>
      <c r="D73">
        <v>3.38</v>
      </c>
      <c r="E73" t="s">
        <v>976</v>
      </c>
      <c r="F73">
        <v>2</v>
      </c>
      <c r="G73" t="s">
        <v>1060</v>
      </c>
      <c r="H73">
        <v>4</v>
      </c>
      <c r="I73" t="s">
        <v>1080</v>
      </c>
      <c r="J73">
        <v>2</v>
      </c>
      <c r="K73" t="s">
        <v>745</v>
      </c>
      <c r="L73">
        <v>4</v>
      </c>
      <c r="M73" t="s">
        <v>917</v>
      </c>
      <c r="N73">
        <v>5</v>
      </c>
      <c r="O73">
        <v>71.3</v>
      </c>
      <c r="P73">
        <v>5</v>
      </c>
      <c r="Q73" t="s">
        <v>1081</v>
      </c>
      <c r="R73">
        <v>2</v>
      </c>
      <c r="S73" t="s">
        <v>828</v>
      </c>
      <c r="T73">
        <v>3</v>
      </c>
      <c r="U73" t="s">
        <v>741</v>
      </c>
      <c r="V73">
        <v>3</v>
      </c>
      <c r="W73" t="s">
        <v>1082</v>
      </c>
      <c r="X73">
        <v>2</v>
      </c>
      <c r="Y73" t="s">
        <v>726</v>
      </c>
      <c r="Z73">
        <v>2</v>
      </c>
    </row>
    <row r="74" spans="1:26" x14ac:dyDescent="0.4">
      <c r="A74" t="s">
        <v>698</v>
      </c>
      <c r="B74" t="s">
        <v>865</v>
      </c>
      <c r="C74" t="s">
        <v>305</v>
      </c>
      <c r="D74">
        <v>2.74</v>
      </c>
      <c r="E74" t="s">
        <v>1071</v>
      </c>
      <c r="F74">
        <v>1</v>
      </c>
      <c r="G74" t="s">
        <v>973</v>
      </c>
      <c r="H74">
        <v>4</v>
      </c>
      <c r="I74" t="s">
        <v>1035</v>
      </c>
      <c r="J74">
        <v>5</v>
      </c>
      <c r="K74" t="s">
        <v>1083</v>
      </c>
      <c r="L74">
        <v>3</v>
      </c>
      <c r="M74" t="s">
        <v>863</v>
      </c>
      <c r="N74">
        <v>1</v>
      </c>
      <c r="O74">
        <v>67.3</v>
      </c>
      <c r="P74">
        <v>4</v>
      </c>
      <c r="Q74" t="s">
        <v>810</v>
      </c>
      <c r="R74">
        <v>3</v>
      </c>
      <c r="S74" t="s">
        <v>1084</v>
      </c>
      <c r="T74">
        <v>1</v>
      </c>
      <c r="U74" t="s">
        <v>764</v>
      </c>
      <c r="V74">
        <v>2</v>
      </c>
      <c r="W74" t="s">
        <v>940</v>
      </c>
      <c r="X74">
        <v>4</v>
      </c>
      <c r="Y74" t="s">
        <v>984</v>
      </c>
      <c r="Z74">
        <v>2</v>
      </c>
    </row>
    <row r="75" spans="1:26" x14ac:dyDescent="0.4">
      <c r="A75" t="s">
        <v>706</v>
      </c>
      <c r="B75" t="s">
        <v>870</v>
      </c>
      <c r="C75" t="s">
        <v>306</v>
      </c>
      <c r="D75">
        <v>2.74</v>
      </c>
      <c r="E75" t="s">
        <v>1085</v>
      </c>
      <c r="F75">
        <v>2</v>
      </c>
      <c r="G75" t="s">
        <v>1086</v>
      </c>
      <c r="H75">
        <v>1</v>
      </c>
      <c r="I75" t="s">
        <v>1087</v>
      </c>
      <c r="J75">
        <v>1</v>
      </c>
      <c r="K75" t="s">
        <v>704</v>
      </c>
      <c r="L75">
        <v>5</v>
      </c>
      <c r="M75" t="s">
        <v>1088</v>
      </c>
      <c r="N75">
        <v>5</v>
      </c>
      <c r="O75">
        <v>53.3</v>
      </c>
      <c r="P75">
        <v>1</v>
      </c>
      <c r="Q75" t="s">
        <v>732</v>
      </c>
      <c r="R75">
        <v>3</v>
      </c>
      <c r="S75" t="s">
        <v>576</v>
      </c>
      <c r="T75">
        <v>2</v>
      </c>
      <c r="U75" t="s">
        <v>1089</v>
      </c>
      <c r="V75">
        <v>3</v>
      </c>
      <c r="W75" t="s">
        <v>940</v>
      </c>
      <c r="X75">
        <v>4</v>
      </c>
      <c r="Y75" t="s">
        <v>1090</v>
      </c>
      <c r="Z75">
        <v>1</v>
      </c>
    </row>
    <row r="76" spans="1:26" x14ac:dyDescent="0.4">
      <c r="A76" t="s">
        <v>716</v>
      </c>
      <c r="B76" t="s">
        <v>879</v>
      </c>
      <c r="C76" t="s">
        <v>41</v>
      </c>
      <c r="D76">
        <v>3.72</v>
      </c>
      <c r="E76" t="s">
        <v>1091</v>
      </c>
      <c r="F76">
        <v>5</v>
      </c>
      <c r="G76" t="s">
        <v>554</v>
      </c>
      <c r="H76">
        <v>4</v>
      </c>
      <c r="I76" t="s">
        <v>1092</v>
      </c>
      <c r="J76">
        <v>4</v>
      </c>
      <c r="K76" t="s">
        <v>895</v>
      </c>
      <c r="L76">
        <v>4</v>
      </c>
      <c r="M76" t="s">
        <v>998</v>
      </c>
      <c r="N76">
        <v>5</v>
      </c>
      <c r="O76">
        <v>63.9</v>
      </c>
      <c r="P76">
        <v>3</v>
      </c>
      <c r="Q76" t="s">
        <v>1001</v>
      </c>
      <c r="R76">
        <v>3</v>
      </c>
      <c r="S76" t="s">
        <v>781</v>
      </c>
      <c r="T76">
        <v>2</v>
      </c>
      <c r="U76" t="s">
        <v>857</v>
      </c>
      <c r="V76">
        <v>3</v>
      </c>
      <c r="W76" t="s">
        <v>1081</v>
      </c>
      <c r="X76">
        <v>2</v>
      </c>
      <c r="Y76" t="s">
        <v>1093</v>
      </c>
      <c r="Z76">
        <v>4</v>
      </c>
    </row>
    <row r="77" spans="1:26" x14ac:dyDescent="0.4">
      <c r="A77" t="s">
        <v>728</v>
      </c>
      <c r="B77" t="s">
        <v>887</v>
      </c>
      <c r="C77" t="s">
        <v>158</v>
      </c>
      <c r="D77">
        <v>3.2</v>
      </c>
      <c r="E77" t="s">
        <v>1094</v>
      </c>
      <c r="F77">
        <v>5</v>
      </c>
      <c r="G77" t="s">
        <v>975</v>
      </c>
      <c r="H77">
        <v>5</v>
      </c>
      <c r="I77" t="s">
        <v>1095</v>
      </c>
      <c r="J77">
        <v>3</v>
      </c>
      <c r="K77" t="s">
        <v>990</v>
      </c>
      <c r="L77">
        <v>2</v>
      </c>
      <c r="M77" t="s">
        <v>1096</v>
      </c>
      <c r="N77">
        <v>5</v>
      </c>
      <c r="O77">
        <v>60.3</v>
      </c>
      <c r="P77">
        <v>2</v>
      </c>
      <c r="Q77" t="s">
        <v>1070</v>
      </c>
      <c r="R77">
        <v>2</v>
      </c>
      <c r="S77" t="s">
        <v>1097</v>
      </c>
      <c r="T77">
        <v>1</v>
      </c>
      <c r="U77" t="s">
        <v>590</v>
      </c>
      <c r="V77">
        <v>3</v>
      </c>
      <c r="W77" t="s">
        <v>626</v>
      </c>
      <c r="X77">
        <v>1</v>
      </c>
      <c r="Y77" t="s">
        <v>1093</v>
      </c>
      <c r="Z77">
        <v>4</v>
      </c>
    </row>
    <row r="78" spans="1:26" x14ac:dyDescent="0.4">
      <c r="A78" t="s">
        <v>736</v>
      </c>
      <c r="B78" t="s">
        <v>896</v>
      </c>
      <c r="C78" t="s">
        <v>332</v>
      </c>
      <c r="D78">
        <v>2.65</v>
      </c>
      <c r="E78" t="s">
        <v>1098</v>
      </c>
      <c r="F78">
        <v>2</v>
      </c>
      <c r="G78" t="s">
        <v>1084</v>
      </c>
      <c r="H78">
        <v>1</v>
      </c>
      <c r="I78" t="s">
        <v>889</v>
      </c>
      <c r="J78">
        <v>5</v>
      </c>
      <c r="K78" t="s">
        <v>855</v>
      </c>
      <c r="L78">
        <v>4</v>
      </c>
      <c r="M78" t="s">
        <v>599</v>
      </c>
      <c r="N78">
        <v>1</v>
      </c>
      <c r="O78">
        <v>58.3</v>
      </c>
      <c r="P78">
        <v>2</v>
      </c>
      <c r="Q78" t="s">
        <v>666</v>
      </c>
      <c r="R78">
        <v>3</v>
      </c>
      <c r="S78" t="s">
        <v>1099</v>
      </c>
      <c r="T78">
        <v>4</v>
      </c>
      <c r="U78" t="s">
        <v>701</v>
      </c>
      <c r="V78">
        <v>4</v>
      </c>
      <c r="W78" t="s">
        <v>857</v>
      </c>
      <c r="X78">
        <v>4</v>
      </c>
      <c r="Y78" t="s">
        <v>610</v>
      </c>
      <c r="Z78">
        <v>2</v>
      </c>
    </row>
    <row r="79" spans="1:26" x14ac:dyDescent="0.4">
      <c r="A79" t="s">
        <v>746</v>
      </c>
      <c r="B79" t="s">
        <v>901</v>
      </c>
      <c r="C79" t="s">
        <v>318</v>
      </c>
      <c r="D79">
        <v>2.7</v>
      </c>
      <c r="E79" t="s">
        <v>1100</v>
      </c>
      <c r="F79">
        <v>5</v>
      </c>
      <c r="G79" t="s">
        <v>1090</v>
      </c>
      <c r="H79">
        <v>1</v>
      </c>
      <c r="I79" t="s">
        <v>1101</v>
      </c>
      <c r="J79">
        <v>2</v>
      </c>
      <c r="K79" t="s">
        <v>771</v>
      </c>
      <c r="L79">
        <v>1</v>
      </c>
      <c r="M79" t="s">
        <v>1102</v>
      </c>
      <c r="N79">
        <v>5</v>
      </c>
      <c r="O79">
        <v>72.3</v>
      </c>
      <c r="P79">
        <v>5</v>
      </c>
      <c r="Q79" t="s">
        <v>1103</v>
      </c>
      <c r="R79">
        <v>3</v>
      </c>
      <c r="S79" t="s">
        <v>1104</v>
      </c>
      <c r="T79">
        <v>1</v>
      </c>
      <c r="U79" t="s">
        <v>974</v>
      </c>
      <c r="V79">
        <v>3</v>
      </c>
      <c r="W79" t="s">
        <v>1036</v>
      </c>
      <c r="X79">
        <v>1</v>
      </c>
      <c r="Y79" t="s">
        <v>568</v>
      </c>
      <c r="Z79">
        <v>2</v>
      </c>
    </row>
    <row r="80" spans="1:26" x14ac:dyDescent="0.4">
      <c r="A80" t="s">
        <v>757</v>
      </c>
      <c r="B80" t="s">
        <v>909</v>
      </c>
      <c r="C80" t="s">
        <v>42</v>
      </c>
      <c r="D80">
        <v>3.72</v>
      </c>
      <c r="E80" t="s">
        <v>1105</v>
      </c>
      <c r="F80">
        <v>2</v>
      </c>
      <c r="G80" t="s">
        <v>998</v>
      </c>
      <c r="H80">
        <v>4</v>
      </c>
      <c r="I80" t="s">
        <v>825</v>
      </c>
      <c r="J80">
        <v>5</v>
      </c>
      <c r="K80" t="s">
        <v>1106</v>
      </c>
      <c r="L80">
        <v>5</v>
      </c>
      <c r="M80" t="s">
        <v>1023</v>
      </c>
      <c r="N80">
        <v>5</v>
      </c>
      <c r="O80">
        <v>63.7</v>
      </c>
      <c r="P80">
        <v>3</v>
      </c>
      <c r="Q80" t="s">
        <v>1074</v>
      </c>
      <c r="R80">
        <v>5</v>
      </c>
      <c r="S80" t="s">
        <v>1107</v>
      </c>
      <c r="T80">
        <v>4</v>
      </c>
      <c r="U80" t="s">
        <v>1108</v>
      </c>
      <c r="V80">
        <v>2</v>
      </c>
      <c r="W80" t="s">
        <v>1014</v>
      </c>
      <c r="X80">
        <v>2</v>
      </c>
      <c r="Y80" t="s">
        <v>980</v>
      </c>
      <c r="Z80">
        <v>3</v>
      </c>
    </row>
    <row r="81" spans="1:26" x14ac:dyDescent="0.4">
      <c r="A81" t="s">
        <v>765</v>
      </c>
      <c r="B81" t="s">
        <v>918</v>
      </c>
      <c r="C81" t="s">
        <v>400</v>
      </c>
      <c r="D81">
        <v>2.2599999999999998</v>
      </c>
      <c r="E81" t="s">
        <v>1109</v>
      </c>
      <c r="F81">
        <v>5</v>
      </c>
      <c r="G81" t="s">
        <v>572</v>
      </c>
      <c r="H81">
        <v>1</v>
      </c>
      <c r="I81" t="s">
        <v>1110</v>
      </c>
      <c r="J81">
        <v>2</v>
      </c>
      <c r="K81" t="s">
        <v>742</v>
      </c>
      <c r="L81">
        <v>1</v>
      </c>
      <c r="M81" t="s">
        <v>1027</v>
      </c>
      <c r="N81">
        <v>4</v>
      </c>
      <c r="O81">
        <v>59.4</v>
      </c>
      <c r="P81">
        <v>2</v>
      </c>
      <c r="Q81" t="s">
        <v>843</v>
      </c>
      <c r="R81">
        <v>2</v>
      </c>
      <c r="S81" t="s">
        <v>672</v>
      </c>
      <c r="T81">
        <v>2</v>
      </c>
      <c r="U81" t="s">
        <v>1111</v>
      </c>
      <c r="V81">
        <v>2</v>
      </c>
      <c r="W81" t="s">
        <v>1096</v>
      </c>
      <c r="X81">
        <v>2</v>
      </c>
      <c r="Y81" t="s">
        <v>1112</v>
      </c>
      <c r="Z81">
        <v>2</v>
      </c>
    </row>
    <row r="82" spans="1:26" x14ac:dyDescent="0.4">
      <c r="A82" t="s">
        <v>775</v>
      </c>
      <c r="B82" t="s">
        <v>548</v>
      </c>
      <c r="C82" t="s">
        <v>380</v>
      </c>
      <c r="D82">
        <v>2.42</v>
      </c>
      <c r="E82" t="s">
        <v>1113</v>
      </c>
      <c r="F82">
        <v>5</v>
      </c>
      <c r="G82" t="s">
        <v>935</v>
      </c>
      <c r="H82">
        <v>1</v>
      </c>
      <c r="I82" t="s">
        <v>1114</v>
      </c>
      <c r="J82">
        <v>4</v>
      </c>
      <c r="K82" t="s">
        <v>577</v>
      </c>
      <c r="L82">
        <v>5</v>
      </c>
      <c r="M82" t="s">
        <v>589</v>
      </c>
      <c r="N82">
        <v>1</v>
      </c>
      <c r="O82">
        <v>54.1</v>
      </c>
      <c r="P82">
        <v>1</v>
      </c>
      <c r="Q82" t="s">
        <v>920</v>
      </c>
      <c r="R82">
        <v>2</v>
      </c>
      <c r="S82" t="s">
        <v>968</v>
      </c>
      <c r="T82">
        <v>2</v>
      </c>
      <c r="U82" t="s">
        <v>612</v>
      </c>
      <c r="V82">
        <v>2</v>
      </c>
      <c r="W82" t="s">
        <v>1052</v>
      </c>
      <c r="X82">
        <v>1</v>
      </c>
      <c r="Y82" t="s">
        <v>953</v>
      </c>
      <c r="Z82">
        <v>3</v>
      </c>
    </row>
    <row r="83" spans="1:26" x14ac:dyDescent="0.4">
      <c r="A83" t="s">
        <v>785</v>
      </c>
      <c r="B83" t="s">
        <v>560</v>
      </c>
      <c r="C83" t="s">
        <v>323</v>
      </c>
      <c r="D83">
        <v>2.69</v>
      </c>
      <c r="E83" t="s">
        <v>1115</v>
      </c>
      <c r="F83">
        <v>5</v>
      </c>
      <c r="G83" t="s">
        <v>819</v>
      </c>
      <c r="H83">
        <v>1</v>
      </c>
      <c r="I83" t="s">
        <v>1116</v>
      </c>
      <c r="J83">
        <v>2</v>
      </c>
      <c r="K83" t="s">
        <v>591</v>
      </c>
      <c r="L83">
        <v>1</v>
      </c>
      <c r="M83" t="s">
        <v>1043</v>
      </c>
      <c r="N83">
        <v>5</v>
      </c>
      <c r="O83">
        <v>57.5</v>
      </c>
      <c r="P83">
        <v>2</v>
      </c>
      <c r="Q83" t="s">
        <v>1063</v>
      </c>
      <c r="R83">
        <v>2</v>
      </c>
      <c r="S83" t="s">
        <v>727</v>
      </c>
      <c r="T83">
        <v>2</v>
      </c>
      <c r="U83" t="s">
        <v>936</v>
      </c>
      <c r="V83">
        <v>5</v>
      </c>
      <c r="W83" t="s">
        <v>898</v>
      </c>
      <c r="X83">
        <v>1</v>
      </c>
      <c r="Y83" t="s">
        <v>1093</v>
      </c>
      <c r="Z83">
        <v>4</v>
      </c>
    </row>
    <row r="84" spans="1:26" x14ac:dyDescent="0.4">
      <c r="A84" t="s">
        <v>796</v>
      </c>
      <c r="B84" t="s">
        <v>570</v>
      </c>
      <c r="C84" t="s">
        <v>200</v>
      </c>
      <c r="D84">
        <v>3.06</v>
      </c>
      <c r="E84" t="s">
        <v>1117</v>
      </c>
      <c r="F84">
        <v>2</v>
      </c>
      <c r="G84" t="s">
        <v>705</v>
      </c>
      <c r="H84">
        <v>4</v>
      </c>
      <c r="I84" t="s">
        <v>1118</v>
      </c>
      <c r="J84">
        <v>3</v>
      </c>
      <c r="K84" t="s">
        <v>705</v>
      </c>
      <c r="L84">
        <v>5</v>
      </c>
      <c r="M84" t="s">
        <v>603</v>
      </c>
      <c r="N84">
        <v>1</v>
      </c>
      <c r="O84">
        <v>70</v>
      </c>
      <c r="P84">
        <v>5</v>
      </c>
      <c r="Q84" t="s">
        <v>725</v>
      </c>
      <c r="R84">
        <v>4</v>
      </c>
      <c r="S84" t="s">
        <v>1119</v>
      </c>
      <c r="T84">
        <v>3</v>
      </c>
      <c r="U84" t="s">
        <v>572</v>
      </c>
      <c r="V84">
        <v>2</v>
      </c>
      <c r="W84" t="s">
        <v>598</v>
      </c>
      <c r="X84">
        <v>2</v>
      </c>
      <c r="Y84" t="s">
        <v>872</v>
      </c>
      <c r="Z84">
        <v>2</v>
      </c>
    </row>
    <row r="85" spans="1:26" x14ac:dyDescent="0.4">
      <c r="A85" t="s">
        <v>804</v>
      </c>
      <c r="B85" t="s">
        <v>582</v>
      </c>
      <c r="C85" t="s">
        <v>385</v>
      </c>
      <c r="D85">
        <v>2.39</v>
      </c>
      <c r="E85" t="s">
        <v>1120</v>
      </c>
      <c r="F85">
        <v>4</v>
      </c>
      <c r="G85" t="s">
        <v>792</v>
      </c>
      <c r="H85">
        <v>1</v>
      </c>
      <c r="I85" t="s">
        <v>866</v>
      </c>
      <c r="J85">
        <v>1</v>
      </c>
      <c r="K85" t="s">
        <v>677</v>
      </c>
      <c r="L85">
        <v>2</v>
      </c>
      <c r="M85" t="s">
        <v>1046</v>
      </c>
      <c r="N85">
        <v>5</v>
      </c>
      <c r="O85">
        <v>58.3</v>
      </c>
      <c r="P85">
        <v>2</v>
      </c>
      <c r="Q85" t="s">
        <v>1004</v>
      </c>
      <c r="R85">
        <v>1</v>
      </c>
      <c r="S85" t="s">
        <v>882</v>
      </c>
      <c r="T85">
        <v>3</v>
      </c>
      <c r="U85" t="s">
        <v>935</v>
      </c>
      <c r="V85">
        <v>2</v>
      </c>
      <c r="W85" t="s">
        <v>1121</v>
      </c>
      <c r="X85">
        <v>3</v>
      </c>
      <c r="Y85" t="s">
        <v>990</v>
      </c>
      <c r="Z85">
        <v>1</v>
      </c>
    </row>
    <row r="86" spans="1:26" x14ac:dyDescent="0.4">
      <c r="A86" t="s">
        <v>814</v>
      </c>
      <c r="B86" t="s">
        <v>594</v>
      </c>
      <c r="C86" t="s">
        <v>146</v>
      </c>
      <c r="D86">
        <v>3.23</v>
      </c>
      <c r="E86" t="s">
        <v>1122</v>
      </c>
      <c r="F86">
        <v>2</v>
      </c>
      <c r="G86" t="s">
        <v>864</v>
      </c>
      <c r="H86">
        <v>4</v>
      </c>
      <c r="I86" t="s">
        <v>928</v>
      </c>
      <c r="J86">
        <v>4</v>
      </c>
      <c r="K86" t="s">
        <v>1123</v>
      </c>
      <c r="L86">
        <v>4</v>
      </c>
      <c r="M86" t="s">
        <v>1050</v>
      </c>
      <c r="N86">
        <v>3</v>
      </c>
      <c r="O86">
        <v>71.7</v>
      </c>
      <c r="P86">
        <v>5</v>
      </c>
      <c r="Q86" t="s">
        <v>914</v>
      </c>
      <c r="R86">
        <v>1</v>
      </c>
      <c r="S86" t="s">
        <v>812</v>
      </c>
      <c r="T86">
        <v>2</v>
      </c>
      <c r="U86" t="s">
        <v>745</v>
      </c>
      <c r="V86">
        <v>2</v>
      </c>
      <c r="W86" t="s">
        <v>1061</v>
      </c>
      <c r="X86">
        <v>5</v>
      </c>
      <c r="Y86" t="s">
        <v>863</v>
      </c>
      <c r="Z86">
        <v>1</v>
      </c>
    </row>
    <row r="87" spans="1:26" x14ac:dyDescent="0.4">
      <c r="A87" t="s">
        <v>822</v>
      </c>
      <c r="B87" t="s">
        <v>606</v>
      </c>
      <c r="C87" t="s">
        <v>355</v>
      </c>
      <c r="D87">
        <v>2.56</v>
      </c>
      <c r="E87" t="s">
        <v>1124</v>
      </c>
      <c r="F87">
        <v>4</v>
      </c>
      <c r="G87" t="s">
        <v>836</v>
      </c>
      <c r="H87">
        <v>2</v>
      </c>
      <c r="I87" t="s">
        <v>1125</v>
      </c>
      <c r="J87">
        <v>2</v>
      </c>
      <c r="K87" t="s">
        <v>1112</v>
      </c>
      <c r="L87">
        <v>5</v>
      </c>
      <c r="M87" t="s">
        <v>1126</v>
      </c>
      <c r="N87">
        <v>1</v>
      </c>
      <c r="O87">
        <v>66</v>
      </c>
      <c r="P87">
        <v>4</v>
      </c>
      <c r="Q87" t="s">
        <v>1059</v>
      </c>
      <c r="R87">
        <v>3</v>
      </c>
      <c r="S87" t="s">
        <v>587</v>
      </c>
      <c r="T87">
        <v>1</v>
      </c>
      <c r="U87" t="s">
        <v>1127</v>
      </c>
      <c r="V87">
        <v>2</v>
      </c>
      <c r="W87" t="s">
        <v>968</v>
      </c>
      <c r="X87">
        <v>2</v>
      </c>
      <c r="Y87" t="s">
        <v>818</v>
      </c>
      <c r="Z87">
        <v>1</v>
      </c>
    </row>
    <row r="88" spans="1:26" x14ac:dyDescent="0.4">
      <c r="A88" t="s">
        <v>831</v>
      </c>
      <c r="B88" t="s">
        <v>618</v>
      </c>
      <c r="C88" t="s">
        <v>334</v>
      </c>
      <c r="D88">
        <v>2.63</v>
      </c>
      <c r="E88" t="s">
        <v>841</v>
      </c>
      <c r="F88">
        <v>4</v>
      </c>
      <c r="G88" t="s">
        <v>1036</v>
      </c>
      <c r="H88">
        <v>1</v>
      </c>
      <c r="I88" t="s">
        <v>1128</v>
      </c>
      <c r="J88">
        <v>1</v>
      </c>
      <c r="K88" t="s">
        <v>1053</v>
      </c>
      <c r="L88">
        <v>5</v>
      </c>
      <c r="M88" t="s">
        <v>653</v>
      </c>
      <c r="N88">
        <v>5</v>
      </c>
      <c r="O88">
        <v>60.3</v>
      </c>
      <c r="P88">
        <v>2</v>
      </c>
      <c r="Q88" t="s">
        <v>809</v>
      </c>
      <c r="R88">
        <v>2</v>
      </c>
      <c r="S88" t="s">
        <v>770</v>
      </c>
      <c r="T88">
        <v>2</v>
      </c>
      <c r="U88" t="s">
        <v>926</v>
      </c>
      <c r="V88">
        <v>2</v>
      </c>
      <c r="W88" t="s">
        <v>994</v>
      </c>
      <c r="X88">
        <v>1</v>
      </c>
      <c r="Y88" t="s">
        <v>987</v>
      </c>
      <c r="Z88">
        <v>1</v>
      </c>
    </row>
    <row r="89" spans="1:26" x14ac:dyDescent="0.4">
      <c r="A89" t="s">
        <v>547</v>
      </c>
      <c r="B89" t="s">
        <v>628</v>
      </c>
      <c r="C89" t="s">
        <v>241</v>
      </c>
      <c r="D89">
        <v>2.95</v>
      </c>
      <c r="E89" t="s">
        <v>1129</v>
      </c>
      <c r="F89">
        <v>5</v>
      </c>
      <c r="G89" t="s">
        <v>635</v>
      </c>
      <c r="H89">
        <v>1</v>
      </c>
      <c r="I89" t="s">
        <v>761</v>
      </c>
      <c r="J89">
        <v>1</v>
      </c>
      <c r="K89" t="s">
        <v>1072</v>
      </c>
      <c r="L89">
        <v>5</v>
      </c>
      <c r="M89" t="s">
        <v>711</v>
      </c>
      <c r="N89">
        <v>1</v>
      </c>
      <c r="O89">
        <v>69.599999999999994</v>
      </c>
      <c r="P89">
        <v>5</v>
      </c>
      <c r="Q89" t="s">
        <v>855</v>
      </c>
      <c r="R89">
        <v>2</v>
      </c>
      <c r="S89" t="s">
        <v>820</v>
      </c>
      <c r="T89">
        <v>2</v>
      </c>
      <c r="U89" t="s">
        <v>611</v>
      </c>
      <c r="V89">
        <v>2</v>
      </c>
      <c r="W89" t="s">
        <v>829</v>
      </c>
      <c r="X89">
        <v>4</v>
      </c>
      <c r="Y89" t="s">
        <v>810</v>
      </c>
      <c r="Z89">
        <v>3</v>
      </c>
    </row>
    <row r="90" spans="1:26" x14ac:dyDescent="0.4">
      <c r="A90" t="s">
        <v>559</v>
      </c>
      <c r="B90" t="s">
        <v>638</v>
      </c>
      <c r="C90" t="s">
        <v>263</v>
      </c>
      <c r="D90">
        <v>2.89</v>
      </c>
      <c r="E90" t="s">
        <v>1130</v>
      </c>
      <c r="F90">
        <v>4</v>
      </c>
      <c r="G90" t="s">
        <v>862</v>
      </c>
      <c r="H90">
        <v>3</v>
      </c>
      <c r="I90" t="s">
        <v>1131</v>
      </c>
      <c r="J90">
        <v>4</v>
      </c>
      <c r="K90" t="s">
        <v>846</v>
      </c>
      <c r="L90">
        <v>4</v>
      </c>
      <c r="M90" t="s">
        <v>945</v>
      </c>
      <c r="N90">
        <v>5</v>
      </c>
      <c r="O90">
        <v>52.3</v>
      </c>
      <c r="P90">
        <v>1</v>
      </c>
      <c r="Q90" t="s">
        <v>611</v>
      </c>
      <c r="R90">
        <v>2</v>
      </c>
      <c r="S90" t="s">
        <v>947</v>
      </c>
      <c r="T90">
        <v>2</v>
      </c>
      <c r="U90" t="s">
        <v>616</v>
      </c>
      <c r="V90">
        <v>2</v>
      </c>
      <c r="W90" t="s">
        <v>968</v>
      </c>
      <c r="X90">
        <v>2</v>
      </c>
      <c r="Y90" t="s">
        <v>599</v>
      </c>
      <c r="Z90">
        <v>1</v>
      </c>
    </row>
    <row r="91" spans="1:26" x14ac:dyDescent="0.4">
      <c r="A91" t="s">
        <v>569</v>
      </c>
      <c r="B91" t="s">
        <v>649</v>
      </c>
      <c r="C91" t="s">
        <v>209</v>
      </c>
      <c r="D91">
        <v>3.04</v>
      </c>
      <c r="E91" t="s">
        <v>1132</v>
      </c>
      <c r="F91">
        <v>2</v>
      </c>
      <c r="G91" t="s">
        <v>812</v>
      </c>
      <c r="H91">
        <v>1</v>
      </c>
      <c r="I91" t="s">
        <v>1133</v>
      </c>
      <c r="J91">
        <v>4</v>
      </c>
      <c r="K91" t="s">
        <v>666</v>
      </c>
      <c r="L91">
        <v>5</v>
      </c>
      <c r="M91" t="s">
        <v>1054</v>
      </c>
      <c r="N91">
        <v>5</v>
      </c>
      <c r="O91">
        <v>68.599999999999994</v>
      </c>
      <c r="P91">
        <v>4</v>
      </c>
      <c r="Q91" t="s">
        <v>567</v>
      </c>
      <c r="R91">
        <v>1</v>
      </c>
      <c r="S91" t="s">
        <v>1134</v>
      </c>
      <c r="T91">
        <v>4</v>
      </c>
      <c r="U91" t="s">
        <v>1135</v>
      </c>
      <c r="V91">
        <v>4</v>
      </c>
      <c r="W91" t="s">
        <v>958</v>
      </c>
      <c r="X91">
        <v>1</v>
      </c>
      <c r="Y91" t="s">
        <v>1002</v>
      </c>
      <c r="Z91">
        <v>1</v>
      </c>
    </row>
    <row r="92" spans="1:26" x14ac:dyDescent="0.4">
      <c r="A92" t="s">
        <v>581</v>
      </c>
      <c r="B92" t="s">
        <v>659</v>
      </c>
      <c r="C92" t="s">
        <v>319</v>
      </c>
      <c r="D92">
        <v>2.7</v>
      </c>
      <c r="E92" t="s">
        <v>1136</v>
      </c>
      <c r="F92">
        <v>2</v>
      </c>
      <c r="G92" t="s">
        <v>754</v>
      </c>
      <c r="H92">
        <v>1</v>
      </c>
      <c r="I92" t="s">
        <v>948</v>
      </c>
      <c r="J92">
        <v>3</v>
      </c>
      <c r="K92" t="s">
        <v>993</v>
      </c>
      <c r="L92">
        <v>5</v>
      </c>
      <c r="M92" t="s">
        <v>1038</v>
      </c>
      <c r="N92">
        <v>1</v>
      </c>
      <c r="O92">
        <v>63.6</v>
      </c>
      <c r="P92">
        <v>3</v>
      </c>
      <c r="Q92" t="s">
        <v>883</v>
      </c>
      <c r="R92">
        <v>2</v>
      </c>
      <c r="S92" t="s">
        <v>592</v>
      </c>
      <c r="T92">
        <v>2</v>
      </c>
      <c r="U92" t="s">
        <v>854</v>
      </c>
      <c r="V92">
        <v>2</v>
      </c>
      <c r="W92" t="s">
        <v>1137</v>
      </c>
      <c r="X92">
        <v>5</v>
      </c>
      <c r="Y92" t="s">
        <v>1106</v>
      </c>
      <c r="Z92">
        <v>3</v>
      </c>
    </row>
    <row r="93" spans="1:26" x14ac:dyDescent="0.4">
      <c r="A93" t="s">
        <v>593</v>
      </c>
      <c r="B93" t="s">
        <v>669</v>
      </c>
      <c r="C93" t="s">
        <v>147</v>
      </c>
      <c r="D93">
        <v>3.23</v>
      </c>
      <c r="E93" t="s">
        <v>1138</v>
      </c>
      <c r="F93">
        <v>2</v>
      </c>
      <c r="G93" t="s">
        <v>1139</v>
      </c>
      <c r="H93">
        <v>1</v>
      </c>
      <c r="I93" t="s">
        <v>682</v>
      </c>
      <c r="J93">
        <v>5</v>
      </c>
      <c r="K93" t="s">
        <v>774</v>
      </c>
      <c r="L93">
        <v>5</v>
      </c>
      <c r="M93" t="s">
        <v>953</v>
      </c>
      <c r="N93">
        <v>5</v>
      </c>
      <c r="O93">
        <v>65.2</v>
      </c>
      <c r="P93">
        <v>4</v>
      </c>
      <c r="Q93" t="s">
        <v>1033</v>
      </c>
      <c r="R93">
        <v>3</v>
      </c>
      <c r="S93" t="s">
        <v>705</v>
      </c>
      <c r="T93">
        <v>3</v>
      </c>
      <c r="U93" t="s">
        <v>1086</v>
      </c>
      <c r="V93">
        <v>2</v>
      </c>
      <c r="W93" t="s">
        <v>1140</v>
      </c>
      <c r="X93">
        <v>1</v>
      </c>
      <c r="Y93" t="s">
        <v>862</v>
      </c>
      <c r="Z93">
        <v>3</v>
      </c>
    </row>
    <row r="94" spans="1:26" x14ac:dyDescent="0.4">
      <c r="A94" t="s">
        <v>605</v>
      </c>
      <c r="B94" t="s">
        <v>679</v>
      </c>
      <c r="C94" t="s">
        <v>61</v>
      </c>
      <c r="D94">
        <v>3.57</v>
      </c>
      <c r="E94" t="s">
        <v>1141</v>
      </c>
      <c r="F94">
        <v>1</v>
      </c>
      <c r="G94" t="s">
        <v>630</v>
      </c>
      <c r="H94">
        <v>5</v>
      </c>
      <c r="I94" t="s">
        <v>1125</v>
      </c>
      <c r="J94">
        <v>2</v>
      </c>
      <c r="K94" t="s">
        <v>1032</v>
      </c>
      <c r="L94">
        <v>2</v>
      </c>
      <c r="M94" t="s">
        <v>579</v>
      </c>
      <c r="N94">
        <v>5</v>
      </c>
      <c r="O94">
        <v>57.1</v>
      </c>
      <c r="P94">
        <v>2</v>
      </c>
      <c r="Q94" t="s">
        <v>721</v>
      </c>
      <c r="R94">
        <v>5</v>
      </c>
      <c r="S94" t="s">
        <v>1142</v>
      </c>
      <c r="T94">
        <v>5</v>
      </c>
      <c r="U94" t="s">
        <v>610</v>
      </c>
      <c r="V94">
        <v>2</v>
      </c>
      <c r="W94" t="s">
        <v>692</v>
      </c>
      <c r="X94">
        <v>5</v>
      </c>
      <c r="Y94" t="s">
        <v>1143</v>
      </c>
      <c r="Z94">
        <v>5</v>
      </c>
    </row>
    <row r="95" spans="1:26" x14ac:dyDescent="0.4">
      <c r="A95" t="s">
        <v>617</v>
      </c>
      <c r="B95" t="s">
        <v>688</v>
      </c>
      <c r="C95" t="s">
        <v>282</v>
      </c>
      <c r="D95">
        <v>2.84</v>
      </c>
      <c r="E95" t="s">
        <v>700</v>
      </c>
      <c r="F95">
        <v>4</v>
      </c>
      <c r="G95" t="s">
        <v>715</v>
      </c>
      <c r="H95">
        <v>1</v>
      </c>
      <c r="I95" t="s">
        <v>1144</v>
      </c>
      <c r="J95">
        <v>5</v>
      </c>
      <c r="K95" t="s">
        <v>1145</v>
      </c>
      <c r="L95">
        <v>4</v>
      </c>
      <c r="M95" t="s">
        <v>834</v>
      </c>
      <c r="N95">
        <v>2</v>
      </c>
      <c r="O95">
        <v>66.900000000000006</v>
      </c>
      <c r="P95">
        <v>4</v>
      </c>
      <c r="Q95" t="s">
        <v>1146</v>
      </c>
      <c r="R95">
        <v>3</v>
      </c>
      <c r="S95" t="s">
        <v>829</v>
      </c>
      <c r="T95">
        <v>3</v>
      </c>
      <c r="U95" t="s">
        <v>1084</v>
      </c>
      <c r="V95">
        <v>1</v>
      </c>
      <c r="W95" t="s">
        <v>690</v>
      </c>
      <c r="X95">
        <v>4</v>
      </c>
      <c r="Y95" t="s">
        <v>667</v>
      </c>
      <c r="Z95">
        <v>1</v>
      </c>
    </row>
    <row r="96" spans="1:26" x14ac:dyDescent="0.4">
      <c r="A96" t="s">
        <v>627</v>
      </c>
      <c r="B96" t="s">
        <v>699</v>
      </c>
      <c r="C96" t="s">
        <v>401</v>
      </c>
      <c r="D96">
        <v>2.2400000000000002</v>
      </c>
      <c r="E96" t="s">
        <v>1147</v>
      </c>
      <c r="F96">
        <v>5</v>
      </c>
      <c r="G96" t="s">
        <v>1148</v>
      </c>
      <c r="H96">
        <v>1</v>
      </c>
      <c r="I96" t="s">
        <v>1149</v>
      </c>
      <c r="J96">
        <v>2</v>
      </c>
      <c r="K96" t="s">
        <v>1127</v>
      </c>
      <c r="L96">
        <v>2</v>
      </c>
      <c r="M96" t="s">
        <v>781</v>
      </c>
      <c r="N96">
        <v>3</v>
      </c>
      <c r="O96">
        <v>53.7</v>
      </c>
      <c r="P96">
        <v>1</v>
      </c>
      <c r="Q96" t="s">
        <v>732</v>
      </c>
      <c r="R96">
        <v>3</v>
      </c>
      <c r="S96" t="s">
        <v>914</v>
      </c>
      <c r="T96">
        <v>1</v>
      </c>
      <c r="U96" t="s">
        <v>890</v>
      </c>
      <c r="V96">
        <v>2</v>
      </c>
      <c r="W96" t="s">
        <v>751</v>
      </c>
      <c r="X96">
        <v>3</v>
      </c>
      <c r="Y96" t="s">
        <v>610</v>
      </c>
      <c r="Z96">
        <v>2</v>
      </c>
    </row>
    <row r="97" spans="1:26" x14ac:dyDescent="0.4">
      <c r="A97" t="s">
        <v>637</v>
      </c>
      <c r="B97" t="s">
        <v>707</v>
      </c>
      <c r="C97" t="s">
        <v>229</v>
      </c>
      <c r="D97">
        <v>2.98</v>
      </c>
      <c r="E97" t="s">
        <v>1150</v>
      </c>
      <c r="F97">
        <v>5</v>
      </c>
      <c r="G97" t="s">
        <v>769</v>
      </c>
      <c r="H97">
        <v>1</v>
      </c>
      <c r="I97" t="s">
        <v>1151</v>
      </c>
      <c r="J97">
        <v>4</v>
      </c>
      <c r="K97" t="s">
        <v>819</v>
      </c>
      <c r="L97">
        <v>1</v>
      </c>
      <c r="M97" t="s">
        <v>616</v>
      </c>
      <c r="N97">
        <v>5</v>
      </c>
      <c r="O97">
        <v>67.5</v>
      </c>
      <c r="P97">
        <v>4</v>
      </c>
      <c r="Q97" t="s">
        <v>632</v>
      </c>
      <c r="R97">
        <v>2</v>
      </c>
      <c r="S97" t="s">
        <v>951</v>
      </c>
      <c r="T97">
        <v>4</v>
      </c>
      <c r="U97" t="s">
        <v>917</v>
      </c>
      <c r="V97">
        <v>3</v>
      </c>
      <c r="W97" t="s">
        <v>1152</v>
      </c>
      <c r="X97">
        <v>4</v>
      </c>
      <c r="Y97" t="s">
        <v>1041</v>
      </c>
      <c r="Z97">
        <v>1</v>
      </c>
    </row>
    <row r="98" spans="1:26" x14ac:dyDescent="0.4">
      <c r="A98" t="s">
        <v>648</v>
      </c>
      <c r="B98" t="s">
        <v>717</v>
      </c>
      <c r="C98" t="s">
        <v>292</v>
      </c>
      <c r="D98">
        <v>2.81</v>
      </c>
      <c r="E98" t="s">
        <v>1153</v>
      </c>
      <c r="F98">
        <v>4</v>
      </c>
      <c r="G98" t="s">
        <v>1154</v>
      </c>
      <c r="H98">
        <v>1</v>
      </c>
      <c r="I98" t="s">
        <v>1155</v>
      </c>
      <c r="J98">
        <v>4</v>
      </c>
      <c r="K98" t="s">
        <v>564</v>
      </c>
      <c r="L98">
        <v>3</v>
      </c>
      <c r="M98" t="s">
        <v>1156</v>
      </c>
      <c r="N98">
        <v>5</v>
      </c>
      <c r="O98">
        <v>66.099999999999994</v>
      </c>
      <c r="P98">
        <v>4</v>
      </c>
      <c r="Q98" t="s">
        <v>1084</v>
      </c>
      <c r="R98">
        <v>1</v>
      </c>
      <c r="S98" t="s">
        <v>664</v>
      </c>
      <c r="T98">
        <v>3</v>
      </c>
      <c r="U98" t="s">
        <v>645</v>
      </c>
      <c r="V98">
        <v>3</v>
      </c>
      <c r="W98" t="s">
        <v>868</v>
      </c>
      <c r="X98">
        <v>1</v>
      </c>
      <c r="Y98" t="s">
        <v>1157</v>
      </c>
      <c r="Z98">
        <v>1</v>
      </c>
    </row>
    <row r="99" spans="1:26" x14ac:dyDescent="0.4">
      <c r="A99" t="s">
        <v>658</v>
      </c>
      <c r="B99" t="s">
        <v>729</v>
      </c>
      <c r="C99" t="s">
        <v>95</v>
      </c>
      <c r="D99">
        <v>3.44</v>
      </c>
      <c r="E99" t="s">
        <v>1158</v>
      </c>
      <c r="F99">
        <v>4</v>
      </c>
      <c r="G99" t="s">
        <v>622</v>
      </c>
      <c r="H99">
        <v>1</v>
      </c>
      <c r="I99" t="s">
        <v>652</v>
      </c>
      <c r="J99">
        <v>3</v>
      </c>
      <c r="K99" t="s">
        <v>719</v>
      </c>
      <c r="L99">
        <v>5</v>
      </c>
      <c r="M99" t="s">
        <v>1068</v>
      </c>
      <c r="N99">
        <v>5</v>
      </c>
      <c r="O99">
        <v>67.400000000000006</v>
      </c>
      <c r="P99">
        <v>4</v>
      </c>
      <c r="Q99" t="s">
        <v>868</v>
      </c>
      <c r="R99">
        <v>2</v>
      </c>
      <c r="S99" t="s">
        <v>926</v>
      </c>
      <c r="T99">
        <v>2</v>
      </c>
      <c r="U99" t="s">
        <v>1003</v>
      </c>
      <c r="V99">
        <v>2</v>
      </c>
      <c r="W99" t="s">
        <v>942</v>
      </c>
      <c r="X99">
        <v>4</v>
      </c>
      <c r="Y99" t="s">
        <v>782</v>
      </c>
      <c r="Z99">
        <v>3</v>
      </c>
    </row>
    <row r="100" spans="1:26" x14ac:dyDescent="0.4">
      <c r="A100" t="s">
        <v>668</v>
      </c>
      <c r="B100" t="s">
        <v>737</v>
      </c>
      <c r="C100" t="s">
        <v>127</v>
      </c>
      <c r="D100">
        <v>3.29</v>
      </c>
      <c r="E100" t="s">
        <v>1159</v>
      </c>
      <c r="F100">
        <v>1</v>
      </c>
      <c r="G100" t="s">
        <v>592</v>
      </c>
      <c r="H100">
        <v>1</v>
      </c>
      <c r="I100" t="s">
        <v>1160</v>
      </c>
      <c r="J100">
        <v>1</v>
      </c>
      <c r="K100" t="s">
        <v>626</v>
      </c>
      <c r="L100">
        <v>4</v>
      </c>
      <c r="M100" t="s">
        <v>993</v>
      </c>
      <c r="N100">
        <v>5</v>
      </c>
      <c r="O100">
        <v>70.5</v>
      </c>
      <c r="P100">
        <v>5</v>
      </c>
      <c r="Q100" t="s">
        <v>1079</v>
      </c>
      <c r="R100">
        <v>3</v>
      </c>
      <c r="S100" t="s">
        <v>1010</v>
      </c>
      <c r="T100">
        <v>2</v>
      </c>
      <c r="U100" t="s">
        <v>1161</v>
      </c>
      <c r="V100">
        <v>2</v>
      </c>
      <c r="W100" t="s">
        <v>655</v>
      </c>
      <c r="X100">
        <v>5</v>
      </c>
      <c r="Y100" t="s">
        <v>864</v>
      </c>
      <c r="Z100">
        <v>4</v>
      </c>
    </row>
    <row r="101" spans="1:26" x14ac:dyDescent="0.4">
      <c r="A101" t="s">
        <v>678</v>
      </c>
      <c r="B101" t="s">
        <v>747</v>
      </c>
      <c r="C101" t="s">
        <v>133</v>
      </c>
      <c r="D101">
        <v>3.27</v>
      </c>
      <c r="E101" t="s">
        <v>1162</v>
      </c>
      <c r="F101">
        <v>5</v>
      </c>
      <c r="G101" t="s">
        <v>686</v>
      </c>
      <c r="H101">
        <v>4</v>
      </c>
      <c r="I101" t="s">
        <v>1163</v>
      </c>
      <c r="J101">
        <v>4</v>
      </c>
      <c r="K101" t="s">
        <v>929</v>
      </c>
      <c r="L101">
        <v>4</v>
      </c>
      <c r="M101" t="s">
        <v>1164</v>
      </c>
      <c r="N101">
        <v>5</v>
      </c>
      <c r="O101">
        <v>64.7</v>
      </c>
      <c r="P101">
        <v>4</v>
      </c>
      <c r="Q101" t="s">
        <v>812</v>
      </c>
      <c r="R101">
        <v>2</v>
      </c>
      <c r="S101" t="s">
        <v>920</v>
      </c>
      <c r="T101">
        <v>2</v>
      </c>
      <c r="U101" t="s">
        <v>1084</v>
      </c>
      <c r="V101">
        <v>1</v>
      </c>
      <c r="W101" t="s">
        <v>914</v>
      </c>
      <c r="X101">
        <v>1</v>
      </c>
      <c r="Y101" t="s">
        <v>623</v>
      </c>
      <c r="Z101">
        <v>1</v>
      </c>
    </row>
    <row r="102" spans="1:26" x14ac:dyDescent="0.4">
      <c r="A102" t="s">
        <v>687</v>
      </c>
      <c r="B102" t="s">
        <v>758</v>
      </c>
      <c r="C102" t="s">
        <v>409</v>
      </c>
      <c r="D102">
        <v>2.16</v>
      </c>
      <c r="E102" t="s">
        <v>1165</v>
      </c>
      <c r="F102">
        <v>3</v>
      </c>
      <c r="G102" t="s">
        <v>709</v>
      </c>
      <c r="H102">
        <v>2</v>
      </c>
      <c r="I102" t="s">
        <v>842</v>
      </c>
      <c r="J102">
        <v>4</v>
      </c>
      <c r="K102" t="s">
        <v>575</v>
      </c>
      <c r="L102">
        <v>2</v>
      </c>
      <c r="M102" t="s">
        <v>958</v>
      </c>
      <c r="N102">
        <v>1</v>
      </c>
      <c r="O102">
        <v>66.5</v>
      </c>
      <c r="P102">
        <v>4</v>
      </c>
      <c r="Q102" t="s">
        <v>675</v>
      </c>
      <c r="R102">
        <v>2</v>
      </c>
      <c r="S102" t="s">
        <v>622</v>
      </c>
      <c r="T102">
        <v>1</v>
      </c>
      <c r="U102" t="s">
        <v>655</v>
      </c>
      <c r="V102">
        <v>4</v>
      </c>
      <c r="W102" t="s">
        <v>693</v>
      </c>
      <c r="X102">
        <v>1</v>
      </c>
      <c r="Y102" t="s">
        <v>603</v>
      </c>
      <c r="Z102">
        <v>1</v>
      </c>
    </row>
    <row r="103" spans="1:26" x14ac:dyDescent="0.4">
      <c r="A103" t="s">
        <v>698</v>
      </c>
      <c r="B103" t="s">
        <v>766</v>
      </c>
      <c r="C103" t="s">
        <v>302</v>
      </c>
      <c r="D103">
        <v>2.75</v>
      </c>
      <c r="E103" t="s">
        <v>1166</v>
      </c>
      <c r="F103">
        <v>2</v>
      </c>
      <c r="G103" t="s">
        <v>1097</v>
      </c>
      <c r="H103">
        <v>1</v>
      </c>
      <c r="I103" t="s">
        <v>1167</v>
      </c>
      <c r="J103">
        <v>4</v>
      </c>
      <c r="K103" t="s">
        <v>741</v>
      </c>
      <c r="L103">
        <v>5</v>
      </c>
      <c r="M103" t="s">
        <v>966</v>
      </c>
      <c r="N103">
        <v>1</v>
      </c>
      <c r="O103">
        <v>77.8</v>
      </c>
      <c r="P103">
        <v>5</v>
      </c>
      <c r="Q103" t="s">
        <v>869</v>
      </c>
      <c r="R103">
        <v>3</v>
      </c>
      <c r="S103" t="s">
        <v>1168</v>
      </c>
      <c r="T103">
        <v>2</v>
      </c>
      <c r="U103" t="s">
        <v>1168</v>
      </c>
      <c r="V103">
        <v>2</v>
      </c>
      <c r="W103" t="s">
        <v>615</v>
      </c>
      <c r="X103">
        <v>3</v>
      </c>
      <c r="Y103" t="s">
        <v>916</v>
      </c>
      <c r="Z103">
        <v>2</v>
      </c>
    </row>
    <row r="104" spans="1:26" x14ac:dyDescent="0.4">
      <c r="A104" t="s">
        <v>706</v>
      </c>
      <c r="B104" t="s">
        <v>776</v>
      </c>
      <c r="C104" t="s">
        <v>353</v>
      </c>
      <c r="D104">
        <v>2.57</v>
      </c>
      <c r="E104" t="s">
        <v>1105</v>
      </c>
      <c r="F104">
        <v>2</v>
      </c>
      <c r="G104" t="s">
        <v>672</v>
      </c>
      <c r="H104">
        <v>2</v>
      </c>
      <c r="I104" t="s">
        <v>1169</v>
      </c>
      <c r="J104">
        <v>4</v>
      </c>
      <c r="K104" t="s">
        <v>600</v>
      </c>
      <c r="L104">
        <v>1</v>
      </c>
      <c r="M104" t="s">
        <v>941</v>
      </c>
      <c r="N104">
        <v>5</v>
      </c>
      <c r="O104">
        <v>63.3</v>
      </c>
      <c r="P104">
        <v>3</v>
      </c>
      <c r="Q104" t="s">
        <v>1170</v>
      </c>
      <c r="R104">
        <v>3</v>
      </c>
      <c r="S104" t="s">
        <v>1022</v>
      </c>
      <c r="T104">
        <v>2</v>
      </c>
      <c r="U104" t="s">
        <v>642</v>
      </c>
      <c r="V104">
        <v>2</v>
      </c>
      <c r="W104" t="s">
        <v>957</v>
      </c>
      <c r="X104">
        <v>1</v>
      </c>
      <c r="Y104" t="s">
        <v>900</v>
      </c>
      <c r="Z104">
        <v>3</v>
      </c>
    </row>
    <row r="105" spans="1:26" x14ac:dyDescent="0.4">
      <c r="A105" t="s">
        <v>716</v>
      </c>
      <c r="B105" t="s">
        <v>786</v>
      </c>
      <c r="C105" t="s">
        <v>183</v>
      </c>
      <c r="D105">
        <v>3.11</v>
      </c>
      <c r="E105" t="s">
        <v>1171</v>
      </c>
      <c r="F105">
        <v>4</v>
      </c>
      <c r="G105" t="s">
        <v>695</v>
      </c>
      <c r="H105">
        <v>5</v>
      </c>
      <c r="I105" t="s">
        <v>1172</v>
      </c>
      <c r="J105">
        <v>2</v>
      </c>
      <c r="K105" t="s">
        <v>770</v>
      </c>
      <c r="L105">
        <v>5</v>
      </c>
      <c r="M105" t="s">
        <v>930</v>
      </c>
      <c r="N105">
        <v>2</v>
      </c>
      <c r="O105">
        <v>54.1</v>
      </c>
      <c r="P105">
        <v>1</v>
      </c>
      <c r="Q105" t="s">
        <v>683</v>
      </c>
      <c r="R105">
        <v>5</v>
      </c>
      <c r="S105" t="s">
        <v>1059</v>
      </c>
      <c r="T105">
        <v>3</v>
      </c>
      <c r="U105" t="s">
        <v>1173</v>
      </c>
      <c r="V105">
        <v>2</v>
      </c>
      <c r="W105" t="s">
        <v>1174</v>
      </c>
      <c r="X105">
        <v>4</v>
      </c>
      <c r="Y105" t="s">
        <v>834</v>
      </c>
      <c r="Z105">
        <v>1</v>
      </c>
    </row>
    <row r="106" spans="1:26" x14ac:dyDescent="0.4">
      <c r="A106" t="s">
        <v>728</v>
      </c>
      <c r="B106" t="s">
        <v>797</v>
      </c>
      <c r="C106" t="s">
        <v>71</v>
      </c>
      <c r="D106">
        <v>3.53</v>
      </c>
      <c r="E106" t="s">
        <v>1175</v>
      </c>
      <c r="F106">
        <v>4</v>
      </c>
      <c r="G106" t="s">
        <v>645</v>
      </c>
      <c r="H106">
        <v>3</v>
      </c>
      <c r="I106" t="s">
        <v>1176</v>
      </c>
      <c r="J106">
        <v>2</v>
      </c>
      <c r="K106" t="s">
        <v>681</v>
      </c>
      <c r="L106">
        <v>5</v>
      </c>
      <c r="M106" t="s">
        <v>829</v>
      </c>
      <c r="N106">
        <v>5</v>
      </c>
      <c r="O106">
        <v>69.3</v>
      </c>
      <c r="P106">
        <v>5</v>
      </c>
      <c r="Q106" t="s">
        <v>623</v>
      </c>
      <c r="R106">
        <v>2</v>
      </c>
      <c r="S106" t="s">
        <v>727</v>
      </c>
      <c r="T106">
        <v>2</v>
      </c>
      <c r="U106" t="s">
        <v>1177</v>
      </c>
      <c r="V106">
        <v>2</v>
      </c>
      <c r="W106" t="s">
        <v>791</v>
      </c>
      <c r="X106">
        <v>4</v>
      </c>
      <c r="Y106" t="s">
        <v>925</v>
      </c>
      <c r="Z106">
        <v>1</v>
      </c>
    </row>
    <row r="107" spans="1:26" x14ac:dyDescent="0.4">
      <c r="A107" t="s">
        <v>736</v>
      </c>
      <c r="B107" t="s">
        <v>805</v>
      </c>
      <c r="C107" t="s">
        <v>356</v>
      </c>
      <c r="D107">
        <v>2.56</v>
      </c>
      <c r="E107" t="s">
        <v>1178</v>
      </c>
      <c r="F107">
        <v>3</v>
      </c>
      <c r="G107" t="s">
        <v>950</v>
      </c>
      <c r="H107">
        <v>1</v>
      </c>
      <c r="I107" t="s">
        <v>1160</v>
      </c>
      <c r="J107">
        <v>1</v>
      </c>
      <c r="K107" t="s">
        <v>1022</v>
      </c>
      <c r="L107">
        <v>5</v>
      </c>
      <c r="M107" t="s">
        <v>1099</v>
      </c>
      <c r="N107">
        <v>5</v>
      </c>
      <c r="O107">
        <v>57.5</v>
      </c>
      <c r="P107">
        <v>2</v>
      </c>
      <c r="Q107" t="s">
        <v>898</v>
      </c>
      <c r="R107">
        <v>1</v>
      </c>
      <c r="S107" t="s">
        <v>964</v>
      </c>
      <c r="T107">
        <v>2</v>
      </c>
      <c r="U107" t="s">
        <v>942</v>
      </c>
      <c r="V107">
        <v>3</v>
      </c>
      <c r="W107" t="s">
        <v>1111</v>
      </c>
      <c r="X107">
        <v>1</v>
      </c>
      <c r="Y107" t="s">
        <v>811</v>
      </c>
      <c r="Z107">
        <v>1</v>
      </c>
    </row>
    <row r="108" spans="1:26" x14ac:dyDescent="0.4">
      <c r="A108" t="s">
        <v>746</v>
      </c>
      <c r="B108" t="s">
        <v>815</v>
      </c>
      <c r="C108" t="s">
        <v>320</v>
      </c>
      <c r="D108">
        <v>2.7</v>
      </c>
      <c r="E108" t="s">
        <v>1179</v>
      </c>
      <c r="F108">
        <v>5</v>
      </c>
      <c r="G108" t="s">
        <v>1023</v>
      </c>
      <c r="H108">
        <v>1</v>
      </c>
      <c r="I108" t="s">
        <v>1180</v>
      </c>
      <c r="J108">
        <v>4</v>
      </c>
      <c r="K108" t="s">
        <v>693</v>
      </c>
      <c r="L108">
        <v>1</v>
      </c>
      <c r="M108" t="s">
        <v>873</v>
      </c>
      <c r="N108">
        <v>5</v>
      </c>
      <c r="O108">
        <v>57.9</v>
      </c>
      <c r="P108">
        <v>2</v>
      </c>
      <c r="Q108" t="s">
        <v>1063</v>
      </c>
      <c r="R108">
        <v>2</v>
      </c>
      <c r="S108" t="s">
        <v>1181</v>
      </c>
      <c r="T108">
        <v>2</v>
      </c>
      <c r="U108" t="s">
        <v>1154</v>
      </c>
      <c r="V108">
        <v>2</v>
      </c>
      <c r="W108" t="s">
        <v>939</v>
      </c>
      <c r="X108">
        <v>4</v>
      </c>
      <c r="Y108" t="s">
        <v>726</v>
      </c>
      <c r="Z108">
        <v>2</v>
      </c>
    </row>
    <row r="109" spans="1:26" x14ac:dyDescent="0.4">
      <c r="A109" t="s">
        <v>757</v>
      </c>
      <c r="B109" t="s">
        <v>823</v>
      </c>
      <c r="C109" t="s">
        <v>162</v>
      </c>
      <c r="D109">
        <v>3.19</v>
      </c>
      <c r="E109" t="s">
        <v>1182</v>
      </c>
      <c r="F109">
        <v>2</v>
      </c>
      <c r="G109" t="s">
        <v>1099</v>
      </c>
      <c r="H109">
        <v>5</v>
      </c>
      <c r="I109" t="s">
        <v>1183</v>
      </c>
      <c r="J109">
        <v>2</v>
      </c>
      <c r="K109" t="s">
        <v>991</v>
      </c>
      <c r="L109">
        <v>4</v>
      </c>
      <c r="M109" t="s">
        <v>1146</v>
      </c>
      <c r="N109">
        <v>5</v>
      </c>
      <c r="O109">
        <v>66.400000000000006</v>
      </c>
      <c r="P109">
        <v>4</v>
      </c>
      <c r="Q109" t="s">
        <v>692</v>
      </c>
      <c r="R109">
        <v>5</v>
      </c>
      <c r="S109" t="s">
        <v>567</v>
      </c>
      <c r="T109">
        <v>1</v>
      </c>
      <c r="U109" t="s">
        <v>574</v>
      </c>
      <c r="V109">
        <v>2</v>
      </c>
      <c r="W109" t="s">
        <v>1184</v>
      </c>
      <c r="X109">
        <v>1</v>
      </c>
      <c r="Y109" t="s">
        <v>620</v>
      </c>
      <c r="Z109">
        <v>1</v>
      </c>
    </row>
    <row r="110" spans="1:26" x14ac:dyDescent="0.4">
      <c r="A110" t="s">
        <v>765</v>
      </c>
      <c r="B110" t="s">
        <v>832</v>
      </c>
      <c r="C110" t="s">
        <v>219</v>
      </c>
      <c r="D110">
        <v>3.02</v>
      </c>
      <c r="E110" t="s">
        <v>1185</v>
      </c>
      <c r="F110">
        <v>3</v>
      </c>
      <c r="G110" t="s">
        <v>1186</v>
      </c>
      <c r="H110">
        <v>1</v>
      </c>
      <c r="I110" t="s">
        <v>1187</v>
      </c>
      <c r="J110">
        <v>4</v>
      </c>
      <c r="K110" t="s">
        <v>667</v>
      </c>
      <c r="L110">
        <v>2</v>
      </c>
      <c r="M110" t="s">
        <v>1019</v>
      </c>
      <c r="N110">
        <v>5</v>
      </c>
      <c r="O110">
        <v>71.3</v>
      </c>
      <c r="P110">
        <v>5</v>
      </c>
      <c r="Q110" t="s">
        <v>780</v>
      </c>
      <c r="R110">
        <v>4</v>
      </c>
      <c r="S110" t="s">
        <v>1188</v>
      </c>
      <c r="T110">
        <v>4</v>
      </c>
      <c r="U110" t="s">
        <v>813</v>
      </c>
      <c r="V110">
        <v>2</v>
      </c>
      <c r="W110" t="s">
        <v>810</v>
      </c>
      <c r="X110">
        <v>3</v>
      </c>
      <c r="Y110" t="s">
        <v>962</v>
      </c>
      <c r="Z110">
        <v>1</v>
      </c>
    </row>
    <row r="111" spans="1:26" x14ac:dyDescent="0.4">
      <c r="A111" t="s">
        <v>775</v>
      </c>
      <c r="B111" t="s">
        <v>840</v>
      </c>
      <c r="C111" t="s">
        <v>403</v>
      </c>
      <c r="D111">
        <v>2.2000000000000002</v>
      </c>
      <c r="E111" t="s">
        <v>1189</v>
      </c>
      <c r="F111">
        <v>2</v>
      </c>
      <c r="G111" t="s">
        <v>947</v>
      </c>
      <c r="H111">
        <v>1</v>
      </c>
      <c r="I111" t="s">
        <v>928</v>
      </c>
      <c r="J111">
        <v>4</v>
      </c>
      <c r="K111" t="s">
        <v>818</v>
      </c>
      <c r="L111">
        <v>3</v>
      </c>
      <c r="M111" t="s">
        <v>935</v>
      </c>
      <c r="N111">
        <v>1</v>
      </c>
      <c r="O111">
        <v>77.5</v>
      </c>
      <c r="P111">
        <v>5</v>
      </c>
      <c r="Q111" t="s">
        <v>1013</v>
      </c>
      <c r="R111">
        <v>2</v>
      </c>
      <c r="S111" t="s">
        <v>1190</v>
      </c>
      <c r="T111">
        <v>2</v>
      </c>
      <c r="U111" t="s">
        <v>934</v>
      </c>
      <c r="V111">
        <v>3</v>
      </c>
      <c r="W111" t="s">
        <v>1139</v>
      </c>
      <c r="X111">
        <v>1</v>
      </c>
      <c r="Y111" t="s">
        <v>612</v>
      </c>
      <c r="Z111">
        <v>1</v>
      </c>
    </row>
    <row r="112" spans="1:26" x14ac:dyDescent="0.4">
      <c r="A112" t="s">
        <v>785</v>
      </c>
      <c r="B112" t="s">
        <v>849</v>
      </c>
      <c r="C112" t="s">
        <v>204</v>
      </c>
      <c r="D112">
        <v>3.05</v>
      </c>
      <c r="E112" t="s">
        <v>937</v>
      </c>
      <c r="F112">
        <v>5</v>
      </c>
      <c r="G112" t="s">
        <v>906</v>
      </c>
      <c r="H112">
        <v>1</v>
      </c>
      <c r="I112" t="s">
        <v>731</v>
      </c>
      <c r="J112">
        <v>3</v>
      </c>
      <c r="K112" t="s">
        <v>890</v>
      </c>
      <c r="L112">
        <v>5</v>
      </c>
      <c r="M112" t="s">
        <v>818</v>
      </c>
      <c r="N112">
        <v>3</v>
      </c>
      <c r="O112">
        <v>60.7</v>
      </c>
      <c r="P112">
        <v>2</v>
      </c>
      <c r="Q112" t="s">
        <v>662</v>
      </c>
      <c r="R112">
        <v>2</v>
      </c>
      <c r="S112" t="s">
        <v>724</v>
      </c>
      <c r="T112">
        <v>2</v>
      </c>
      <c r="U112" t="s">
        <v>958</v>
      </c>
      <c r="V112">
        <v>1</v>
      </c>
      <c r="W112" t="s">
        <v>719</v>
      </c>
      <c r="X112">
        <v>5</v>
      </c>
      <c r="Y112" t="s">
        <v>839</v>
      </c>
      <c r="Z112">
        <v>3</v>
      </c>
    </row>
    <row r="113" spans="1:26" x14ac:dyDescent="0.4">
      <c r="A113" t="s">
        <v>796</v>
      </c>
      <c r="B113" t="s">
        <v>858</v>
      </c>
      <c r="C113" t="s">
        <v>166</v>
      </c>
      <c r="D113">
        <v>3.17</v>
      </c>
      <c r="E113" t="s">
        <v>1191</v>
      </c>
      <c r="F113">
        <v>2</v>
      </c>
      <c r="G113" t="s">
        <v>951</v>
      </c>
      <c r="H113">
        <v>5</v>
      </c>
      <c r="I113" t="s">
        <v>866</v>
      </c>
      <c r="J113">
        <v>1</v>
      </c>
      <c r="K113" t="s">
        <v>623</v>
      </c>
      <c r="L113">
        <v>2</v>
      </c>
      <c r="M113" t="s">
        <v>890</v>
      </c>
      <c r="N113">
        <v>5</v>
      </c>
      <c r="O113">
        <v>65.7</v>
      </c>
      <c r="P113">
        <v>4</v>
      </c>
      <c r="Q113" t="s">
        <v>970</v>
      </c>
      <c r="R113">
        <v>4</v>
      </c>
      <c r="S113" t="s">
        <v>935</v>
      </c>
      <c r="T113">
        <v>2</v>
      </c>
      <c r="U113" t="s">
        <v>1097</v>
      </c>
      <c r="V113">
        <v>1</v>
      </c>
      <c r="W113" t="s">
        <v>1001</v>
      </c>
      <c r="X113">
        <v>3</v>
      </c>
      <c r="Y113" t="s">
        <v>857</v>
      </c>
      <c r="Z113">
        <v>3</v>
      </c>
    </row>
    <row r="114" spans="1:26" x14ac:dyDescent="0.4">
      <c r="A114" t="s">
        <v>804</v>
      </c>
      <c r="B114" t="s">
        <v>865</v>
      </c>
      <c r="C114" t="s">
        <v>214</v>
      </c>
      <c r="D114">
        <v>3.03</v>
      </c>
      <c r="E114" t="s">
        <v>1078</v>
      </c>
      <c r="F114">
        <v>5</v>
      </c>
      <c r="G114" t="s">
        <v>801</v>
      </c>
      <c r="H114">
        <v>1</v>
      </c>
      <c r="I114" t="s">
        <v>881</v>
      </c>
      <c r="J114">
        <v>3</v>
      </c>
      <c r="K114" t="s">
        <v>1127</v>
      </c>
      <c r="L114">
        <v>2</v>
      </c>
      <c r="M114" t="s">
        <v>1031</v>
      </c>
      <c r="N114">
        <v>5</v>
      </c>
      <c r="O114">
        <v>67.400000000000006</v>
      </c>
      <c r="P114">
        <v>4</v>
      </c>
      <c r="Q114" t="s">
        <v>1192</v>
      </c>
      <c r="R114">
        <v>4</v>
      </c>
      <c r="S114" t="s">
        <v>1184</v>
      </c>
      <c r="T114">
        <v>2</v>
      </c>
      <c r="U114" t="s">
        <v>892</v>
      </c>
      <c r="V114">
        <v>2</v>
      </c>
      <c r="W114" t="s">
        <v>711</v>
      </c>
      <c r="X114">
        <v>1</v>
      </c>
      <c r="Y114" t="s">
        <v>1099</v>
      </c>
      <c r="Z114">
        <v>4</v>
      </c>
    </row>
    <row r="115" spans="1:26" x14ac:dyDescent="0.4">
      <c r="A115" t="s">
        <v>814</v>
      </c>
      <c r="B115" t="s">
        <v>870</v>
      </c>
      <c r="C115" t="s">
        <v>324</v>
      </c>
      <c r="D115">
        <v>2.69</v>
      </c>
      <c r="E115" t="s">
        <v>1193</v>
      </c>
      <c r="F115">
        <v>2</v>
      </c>
      <c r="G115" t="s">
        <v>1194</v>
      </c>
      <c r="H115">
        <v>2</v>
      </c>
      <c r="I115" t="s">
        <v>1195</v>
      </c>
      <c r="J115">
        <v>4</v>
      </c>
      <c r="K115" t="s">
        <v>771</v>
      </c>
      <c r="L115">
        <v>1</v>
      </c>
      <c r="M115" t="s">
        <v>1196</v>
      </c>
      <c r="N115">
        <v>5</v>
      </c>
      <c r="O115">
        <v>77.2</v>
      </c>
      <c r="P115">
        <v>5</v>
      </c>
      <c r="Q115" t="s">
        <v>916</v>
      </c>
      <c r="R115">
        <v>3</v>
      </c>
      <c r="S115" t="s">
        <v>978</v>
      </c>
      <c r="T115">
        <v>2</v>
      </c>
      <c r="U115" t="s">
        <v>1197</v>
      </c>
      <c r="V115">
        <v>2</v>
      </c>
      <c r="W115" t="s">
        <v>863</v>
      </c>
      <c r="X115">
        <v>1</v>
      </c>
      <c r="Y115" t="s">
        <v>1082</v>
      </c>
      <c r="Z115">
        <v>2</v>
      </c>
    </row>
    <row r="116" spans="1:26" x14ac:dyDescent="0.4">
      <c r="A116" t="s">
        <v>822</v>
      </c>
      <c r="B116" t="s">
        <v>879</v>
      </c>
      <c r="C116" t="s">
        <v>329</v>
      </c>
      <c r="D116">
        <v>2.68</v>
      </c>
      <c r="E116" t="s">
        <v>1198</v>
      </c>
      <c r="F116">
        <v>5</v>
      </c>
      <c r="G116" t="s">
        <v>1194</v>
      </c>
      <c r="H116">
        <v>2</v>
      </c>
      <c r="I116" t="s">
        <v>573</v>
      </c>
      <c r="J116">
        <v>1</v>
      </c>
      <c r="K116" t="s">
        <v>975</v>
      </c>
      <c r="L116">
        <v>5</v>
      </c>
      <c r="M116" t="s">
        <v>837</v>
      </c>
      <c r="N116">
        <v>1</v>
      </c>
      <c r="O116">
        <v>68.3</v>
      </c>
      <c r="P116">
        <v>4</v>
      </c>
      <c r="Q116" t="s">
        <v>1059</v>
      </c>
      <c r="R116">
        <v>3</v>
      </c>
      <c r="S116" t="s">
        <v>754</v>
      </c>
      <c r="T116">
        <v>2</v>
      </c>
      <c r="U116" t="s">
        <v>931</v>
      </c>
      <c r="V116">
        <v>1</v>
      </c>
      <c r="W116" t="s">
        <v>1009</v>
      </c>
      <c r="X116">
        <v>1</v>
      </c>
      <c r="Y116" t="s">
        <v>1199</v>
      </c>
      <c r="Z116">
        <v>3</v>
      </c>
    </row>
    <row r="117" spans="1:26" x14ac:dyDescent="0.4">
      <c r="A117" t="s">
        <v>831</v>
      </c>
      <c r="B117" t="s">
        <v>887</v>
      </c>
      <c r="C117" t="s">
        <v>395</v>
      </c>
      <c r="D117">
        <v>2.29</v>
      </c>
      <c r="E117" t="s">
        <v>1007</v>
      </c>
      <c r="F117">
        <v>3</v>
      </c>
      <c r="G117" t="s">
        <v>857</v>
      </c>
      <c r="H117">
        <v>4</v>
      </c>
      <c r="I117" t="s">
        <v>852</v>
      </c>
      <c r="J117">
        <v>1</v>
      </c>
      <c r="K117" t="s">
        <v>603</v>
      </c>
      <c r="L117">
        <v>1</v>
      </c>
      <c r="M117" t="s">
        <v>956</v>
      </c>
      <c r="N117">
        <v>2</v>
      </c>
      <c r="O117">
        <v>58.3</v>
      </c>
      <c r="P117">
        <v>2</v>
      </c>
      <c r="Q117" t="s">
        <v>905</v>
      </c>
      <c r="R117">
        <v>2</v>
      </c>
      <c r="S117" t="s">
        <v>1188</v>
      </c>
      <c r="T117">
        <v>4</v>
      </c>
      <c r="U117" t="s">
        <v>579</v>
      </c>
      <c r="V117">
        <v>3</v>
      </c>
      <c r="W117" t="s">
        <v>1200</v>
      </c>
      <c r="X117">
        <v>1</v>
      </c>
      <c r="Y117" t="s">
        <v>999</v>
      </c>
      <c r="Z117">
        <v>3</v>
      </c>
    </row>
    <row r="118" spans="1:26" x14ac:dyDescent="0.4">
      <c r="A118" t="s">
        <v>547</v>
      </c>
      <c r="B118" t="s">
        <v>896</v>
      </c>
      <c r="C118" t="s">
        <v>220</v>
      </c>
      <c r="D118">
        <v>3.02</v>
      </c>
      <c r="E118" t="s">
        <v>1201</v>
      </c>
      <c r="F118">
        <v>5</v>
      </c>
      <c r="G118" t="s">
        <v>1202</v>
      </c>
      <c r="H118">
        <v>3</v>
      </c>
      <c r="I118" t="s">
        <v>1203</v>
      </c>
      <c r="J118">
        <v>2</v>
      </c>
      <c r="K118" t="s">
        <v>830</v>
      </c>
      <c r="L118">
        <v>5</v>
      </c>
      <c r="M118" t="s">
        <v>1002</v>
      </c>
      <c r="N118">
        <v>2</v>
      </c>
      <c r="O118">
        <v>63.2</v>
      </c>
      <c r="P118">
        <v>3</v>
      </c>
      <c r="Q118" t="s">
        <v>1204</v>
      </c>
      <c r="R118">
        <v>3</v>
      </c>
      <c r="S118" t="s">
        <v>838</v>
      </c>
      <c r="T118">
        <v>5</v>
      </c>
      <c r="U118" t="s">
        <v>692</v>
      </c>
      <c r="V118">
        <v>4</v>
      </c>
      <c r="W118" t="s">
        <v>1205</v>
      </c>
      <c r="X118">
        <v>1</v>
      </c>
      <c r="Y118" t="s">
        <v>1206</v>
      </c>
      <c r="Z118">
        <v>1</v>
      </c>
    </row>
    <row r="119" spans="1:26" x14ac:dyDescent="0.4">
      <c r="A119" t="s">
        <v>559</v>
      </c>
      <c r="B119" t="s">
        <v>901</v>
      </c>
      <c r="C119" t="s">
        <v>68</v>
      </c>
      <c r="D119">
        <v>3.54</v>
      </c>
      <c r="E119" t="s">
        <v>708</v>
      </c>
      <c r="F119">
        <v>5</v>
      </c>
      <c r="G119" t="s">
        <v>1002</v>
      </c>
      <c r="H119">
        <v>1</v>
      </c>
      <c r="I119" t="s">
        <v>731</v>
      </c>
      <c r="J119">
        <v>3</v>
      </c>
      <c r="K119" t="s">
        <v>1202</v>
      </c>
      <c r="L119">
        <v>5</v>
      </c>
      <c r="M119" t="s">
        <v>853</v>
      </c>
      <c r="N119">
        <v>5</v>
      </c>
      <c r="O119">
        <v>58.2</v>
      </c>
      <c r="P119">
        <v>2</v>
      </c>
      <c r="Q119" t="s">
        <v>830</v>
      </c>
      <c r="R119">
        <v>5</v>
      </c>
      <c r="S119" t="s">
        <v>811</v>
      </c>
      <c r="T119">
        <v>2</v>
      </c>
      <c r="U119" t="s">
        <v>972</v>
      </c>
      <c r="V119">
        <v>2</v>
      </c>
      <c r="W119" t="s">
        <v>721</v>
      </c>
      <c r="X119">
        <v>5</v>
      </c>
      <c r="Y119" t="s">
        <v>1059</v>
      </c>
      <c r="Z119">
        <v>3</v>
      </c>
    </row>
    <row r="120" spans="1:26" x14ac:dyDescent="0.4">
      <c r="A120" t="s">
        <v>569</v>
      </c>
      <c r="B120" t="s">
        <v>909</v>
      </c>
      <c r="C120" t="s">
        <v>109</v>
      </c>
      <c r="D120">
        <v>3.35</v>
      </c>
      <c r="E120" t="s">
        <v>1207</v>
      </c>
      <c r="F120">
        <v>3</v>
      </c>
      <c r="G120" t="s">
        <v>1121</v>
      </c>
      <c r="H120">
        <v>3</v>
      </c>
      <c r="I120" t="s">
        <v>1064</v>
      </c>
      <c r="J120">
        <v>4</v>
      </c>
      <c r="K120" t="s">
        <v>1208</v>
      </c>
      <c r="L120">
        <v>5</v>
      </c>
      <c r="M120" t="s">
        <v>882</v>
      </c>
      <c r="N120">
        <v>5</v>
      </c>
      <c r="O120">
        <v>58.9</v>
      </c>
      <c r="P120">
        <v>2</v>
      </c>
      <c r="Q120" t="s">
        <v>562</v>
      </c>
      <c r="R120">
        <v>4</v>
      </c>
      <c r="S120" t="s">
        <v>791</v>
      </c>
      <c r="T120">
        <v>4</v>
      </c>
      <c r="U120" t="s">
        <v>1083</v>
      </c>
      <c r="V120">
        <v>2</v>
      </c>
      <c r="W120" t="s">
        <v>1209</v>
      </c>
      <c r="X120">
        <v>3</v>
      </c>
      <c r="Y120" t="s">
        <v>1044</v>
      </c>
      <c r="Z120">
        <v>1</v>
      </c>
    </row>
    <row r="121" spans="1:26" x14ac:dyDescent="0.4">
      <c r="A121" t="s">
        <v>581</v>
      </c>
      <c r="B121" t="s">
        <v>918</v>
      </c>
      <c r="C121" t="s">
        <v>74</v>
      </c>
      <c r="D121">
        <v>3.52</v>
      </c>
      <c r="E121" t="s">
        <v>969</v>
      </c>
      <c r="F121">
        <v>4</v>
      </c>
      <c r="G121" t="s">
        <v>596</v>
      </c>
      <c r="H121">
        <v>4</v>
      </c>
      <c r="I121" t="s">
        <v>1210</v>
      </c>
      <c r="J121">
        <v>4</v>
      </c>
      <c r="K121" t="s">
        <v>753</v>
      </c>
      <c r="L121">
        <v>3</v>
      </c>
      <c r="M121" t="s">
        <v>973</v>
      </c>
      <c r="N121">
        <v>5</v>
      </c>
      <c r="O121">
        <v>76.8</v>
      </c>
      <c r="P121">
        <v>5</v>
      </c>
      <c r="Q121" t="s">
        <v>1186</v>
      </c>
      <c r="R121">
        <v>2</v>
      </c>
      <c r="S121" t="s">
        <v>1107</v>
      </c>
      <c r="T121">
        <v>4</v>
      </c>
      <c r="U121" t="s">
        <v>1082</v>
      </c>
      <c r="V121">
        <v>2</v>
      </c>
      <c r="W121" t="s">
        <v>843</v>
      </c>
      <c r="X121">
        <v>1</v>
      </c>
      <c r="Y121" t="s">
        <v>751</v>
      </c>
      <c r="Z121">
        <v>3</v>
      </c>
    </row>
    <row r="122" spans="1:26" x14ac:dyDescent="0.4">
      <c r="A122" t="s">
        <v>593</v>
      </c>
      <c r="B122" t="s">
        <v>548</v>
      </c>
      <c r="C122" t="s">
        <v>49</v>
      </c>
      <c r="D122">
        <v>3.69</v>
      </c>
      <c r="E122" t="s">
        <v>927</v>
      </c>
      <c r="F122">
        <v>5</v>
      </c>
      <c r="G122" t="s">
        <v>953</v>
      </c>
      <c r="H122">
        <v>3</v>
      </c>
      <c r="I122" t="s">
        <v>1211</v>
      </c>
      <c r="J122">
        <v>4</v>
      </c>
      <c r="K122" t="s">
        <v>997</v>
      </c>
      <c r="L122">
        <v>5</v>
      </c>
      <c r="M122" t="s">
        <v>1060</v>
      </c>
      <c r="N122">
        <v>5</v>
      </c>
      <c r="O122">
        <v>73</v>
      </c>
      <c r="P122">
        <v>5</v>
      </c>
      <c r="Q122" t="s">
        <v>751</v>
      </c>
      <c r="R122">
        <v>3</v>
      </c>
      <c r="S122" t="s">
        <v>1212</v>
      </c>
      <c r="T122">
        <v>2</v>
      </c>
      <c r="U122" t="s">
        <v>886</v>
      </c>
      <c r="V122">
        <v>2</v>
      </c>
      <c r="W122" t="s">
        <v>1103</v>
      </c>
      <c r="X122">
        <v>3</v>
      </c>
      <c r="Y122" t="s">
        <v>749</v>
      </c>
      <c r="Z122">
        <v>1</v>
      </c>
    </row>
    <row r="123" spans="1:26" x14ac:dyDescent="0.4">
      <c r="A123" t="s">
        <v>605</v>
      </c>
      <c r="B123" t="s">
        <v>560</v>
      </c>
      <c r="C123" t="s">
        <v>3</v>
      </c>
      <c r="D123">
        <v>4.03</v>
      </c>
      <c r="E123" t="s">
        <v>1213</v>
      </c>
      <c r="F123">
        <v>5</v>
      </c>
      <c r="G123" t="s">
        <v>953</v>
      </c>
      <c r="H123">
        <v>3</v>
      </c>
      <c r="I123" t="s">
        <v>750</v>
      </c>
      <c r="J123">
        <v>3</v>
      </c>
      <c r="K123" t="s">
        <v>1214</v>
      </c>
      <c r="L123">
        <v>5</v>
      </c>
      <c r="M123" t="s">
        <v>1215</v>
      </c>
      <c r="N123">
        <v>5</v>
      </c>
      <c r="O123">
        <v>71.900000000000006</v>
      </c>
      <c r="P123">
        <v>5</v>
      </c>
      <c r="Q123" t="s">
        <v>916</v>
      </c>
      <c r="R123">
        <v>3</v>
      </c>
      <c r="S123" t="s">
        <v>644</v>
      </c>
      <c r="T123">
        <v>4</v>
      </c>
      <c r="U123" t="s">
        <v>726</v>
      </c>
      <c r="V123">
        <v>2</v>
      </c>
      <c r="W123" t="s">
        <v>664</v>
      </c>
      <c r="X123">
        <v>3</v>
      </c>
      <c r="Y123" t="s">
        <v>739</v>
      </c>
      <c r="Z123">
        <v>4</v>
      </c>
    </row>
    <row r="124" spans="1:26" x14ac:dyDescent="0.4">
      <c r="A124" t="s">
        <v>617</v>
      </c>
      <c r="B124" t="s">
        <v>570</v>
      </c>
      <c r="C124" t="s">
        <v>151</v>
      </c>
      <c r="D124">
        <v>3.22</v>
      </c>
      <c r="E124" t="s">
        <v>1216</v>
      </c>
      <c r="F124">
        <v>4</v>
      </c>
      <c r="G124" t="s">
        <v>990</v>
      </c>
      <c r="H124">
        <v>1</v>
      </c>
      <c r="I124" t="s">
        <v>1217</v>
      </c>
      <c r="J124">
        <v>2</v>
      </c>
      <c r="K124" t="s">
        <v>654</v>
      </c>
      <c r="L124">
        <v>5</v>
      </c>
      <c r="M124" t="s">
        <v>719</v>
      </c>
      <c r="N124">
        <v>5</v>
      </c>
      <c r="O124">
        <v>57.7</v>
      </c>
      <c r="P124">
        <v>2</v>
      </c>
      <c r="Q124" t="s">
        <v>1218</v>
      </c>
      <c r="R124">
        <v>3</v>
      </c>
      <c r="S124" t="s">
        <v>1192</v>
      </c>
      <c r="T124">
        <v>4</v>
      </c>
      <c r="U124" t="s">
        <v>843</v>
      </c>
      <c r="V124">
        <v>2</v>
      </c>
      <c r="W124" t="s">
        <v>1202</v>
      </c>
      <c r="X124">
        <v>3</v>
      </c>
      <c r="Y124" t="s">
        <v>552</v>
      </c>
      <c r="Z124">
        <v>3</v>
      </c>
    </row>
    <row r="125" spans="1:26" x14ac:dyDescent="0.4">
      <c r="A125" t="s">
        <v>627</v>
      </c>
      <c r="B125" t="s">
        <v>582</v>
      </c>
      <c r="C125" t="s">
        <v>338</v>
      </c>
      <c r="D125">
        <v>2.62</v>
      </c>
      <c r="E125" t="s">
        <v>1219</v>
      </c>
      <c r="F125">
        <v>2</v>
      </c>
      <c r="G125" t="s">
        <v>656</v>
      </c>
      <c r="H125">
        <v>1</v>
      </c>
      <c r="I125" t="s">
        <v>1220</v>
      </c>
      <c r="J125">
        <v>4</v>
      </c>
      <c r="K125" t="s">
        <v>690</v>
      </c>
      <c r="L125">
        <v>5</v>
      </c>
      <c r="M125" t="s">
        <v>795</v>
      </c>
      <c r="N125">
        <v>1</v>
      </c>
      <c r="O125">
        <v>77.5</v>
      </c>
      <c r="P125">
        <v>5</v>
      </c>
      <c r="Q125" t="s">
        <v>874</v>
      </c>
      <c r="R125">
        <v>5</v>
      </c>
      <c r="S125" t="s">
        <v>810</v>
      </c>
      <c r="T125">
        <v>3</v>
      </c>
      <c r="U125" t="s">
        <v>572</v>
      </c>
      <c r="V125">
        <v>2</v>
      </c>
      <c r="W125" t="s">
        <v>601</v>
      </c>
      <c r="X125">
        <v>1</v>
      </c>
      <c r="Y125" t="s">
        <v>557</v>
      </c>
      <c r="Z125">
        <v>1</v>
      </c>
    </row>
    <row r="126" spans="1:26" x14ac:dyDescent="0.4">
      <c r="A126" t="s">
        <v>637</v>
      </c>
      <c r="B126" t="s">
        <v>594</v>
      </c>
      <c r="C126" t="s">
        <v>111</v>
      </c>
      <c r="D126">
        <v>3.34</v>
      </c>
      <c r="E126" t="s">
        <v>1221</v>
      </c>
      <c r="F126">
        <v>1</v>
      </c>
      <c r="G126" t="s">
        <v>1215</v>
      </c>
      <c r="H126">
        <v>1</v>
      </c>
      <c r="I126" t="s">
        <v>1222</v>
      </c>
      <c r="J126">
        <v>5</v>
      </c>
      <c r="K126" t="s">
        <v>940</v>
      </c>
      <c r="L126">
        <v>5</v>
      </c>
      <c r="M126" t="s">
        <v>1223</v>
      </c>
      <c r="N126">
        <v>5</v>
      </c>
      <c r="O126">
        <v>57.8</v>
      </c>
      <c r="P126">
        <v>2</v>
      </c>
      <c r="Q126" t="s">
        <v>1088</v>
      </c>
      <c r="R126">
        <v>2</v>
      </c>
      <c r="S126" t="s">
        <v>771</v>
      </c>
      <c r="T126">
        <v>1</v>
      </c>
      <c r="U126" t="s">
        <v>1173</v>
      </c>
      <c r="V126">
        <v>2</v>
      </c>
      <c r="W126" t="s">
        <v>1188</v>
      </c>
      <c r="X126">
        <v>5</v>
      </c>
      <c r="Y126" t="s">
        <v>683</v>
      </c>
      <c r="Z126">
        <v>5</v>
      </c>
    </row>
    <row r="127" spans="1:26" x14ac:dyDescent="0.4">
      <c r="A127" t="s">
        <v>648</v>
      </c>
      <c r="B127" t="s">
        <v>606</v>
      </c>
      <c r="C127" t="s">
        <v>215</v>
      </c>
      <c r="D127">
        <v>3.03</v>
      </c>
      <c r="E127" t="s">
        <v>1224</v>
      </c>
      <c r="F127">
        <v>4</v>
      </c>
      <c r="G127" t="s">
        <v>1076</v>
      </c>
      <c r="H127">
        <v>1</v>
      </c>
      <c r="I127" t="s">
        <v>1131</v>
      </c>
      <c r="J127">
        <v>4</v>
      </c>
      <c r="K127" t="s">
        <v>962</v>
      </c>
      <c r="L127">
        <v>3</v>
      </c>
      <c r="M127" t="s">
        <v>727</v>
      </c>
      <c r="N127">
        <v>5</v>
      </c>
      <c r="O127">
        <v>68.8</v>
      </c>
      <c r="P127">
        <v>4</v>
      </c>
      <c r="Q127" t="s">
        <v>1058</v>
      </c>
      <c r="R127">
        <v>4</v>
      </c>
      <c r="S127" t="s">
        <v>820</v>
      </c>
      <c r="T127">
        <v>2</v>
      </c>
      <c r="U127" t="s">
        <v>920</v>
      </c>
      <c r="V127">
        <v>2</v>
      </c>
      <c r="W127" t="s">
        <v>616</v>
      </c>
      <c r="X127">
        <v>3</v>
      </c>
      <c r="Y127" t="s">
        <v>1225</v>
      </c>
      <c r="Z127">
        <v>1</v>
      </c>
    </row>
    <row r="128" spans="1:26" x14ac:dyDescent="0.4">
      <c r="A128" t="s">
        <v>658</v>
      </c>
      <c r="B128" t="s">
        <v>618</v>
      </c>
      <c r="C128" t="s">
        <v>169</v>
      </c>
      <c r="D128">
        <v>3.16</v>
      </c>
      <c r="E128" t="s">
        <v>1226</v>
      </c>
      <c r="F128">
        <v>5</v>
      </c>
      <c r="G128" t="s">
        <v>780</v>
      </c>
      <c r="H128">
        <v>5</v>
      </c>
      <c r="I128" t="s">
        <v>1227</v>
      </c>
      <c r="J128">
        <v>1</v>
      </c>
      <c r="K128" t="s">
        <v>1228</v>
      </c>
      <c r="L128">
        <v>5</v>
      </c>
      <c r="M128" t="s">
        <v>987</v>
      </c>
      <c r="N128">
        <v>1</v>
      </c>
      <c r="O128">
        <v>75.3</v>
      </c>
      <c r="P128">
        <v>5</v>
      </c>
      <c r="Q128" t="s">
        <v>590</v>
      </c>
      <c r="R128">
        <v>4</v>
      </c>
      <c r="S128" t="s">
        <v>790</v>
      </c>
      <c r="T128">
        <v>4</v>
      </c>
      <c r="U128" t="s">
        <v>674</v>
      </c>
      <c r="V128">
        <v>2</v>
      </c>
      <c r="W128" t="s">
        <v>674</v>
      </c>
      <c r="X128">
        <v>1</v>
      </c>
      <c r="Y128" t="s">
        <v>820</v>
      </c>
      <c r="Z128">
        <v>1</v>
      </c>
    </row>
    <row r="129" spans="1:26" x14ac:dyDescent="0.4">
      <c r="A129" t="s">
        <v>668</v>
      </c>
      <c r="B129" t="s">
        <v>628</v>
      </c>
      <c r="C129" t="s">
        <v>26</v>
      </c>
      <c r="D129">
        <v>3.82</v>
      </c>
      <c r="E129" t="s">
        <v>1229</v>
      </c>
      <c r="F129">
        <v>5</v>
      </c>
      <c r="G129" t="s">
        <v>790</v>
      </c>
      <c r="H129">
        <v>5</v>
      </c>
      <c r="I129" t="s">
        <v>1230</v>
      </c>
      <c r="J129">
        <v>2</v>
      </c>
      <c r="K129" t="s">
        <v>690</v>
      </c>
      <c r="L129">
        <v>5</v>
      </c>
      <c r="M129" t="s">
        <v>920</v>
      </c>
      <c r="N129">
        <v>3</v>
      </c>
      <c r="O129">
        <v>70.3</v>
      </c>
      <c r="P129">
        <v>5</v>
      </c>
      <c r="Q129" t="s">
        <v>1134</v>
      </c>
      <c r="R129">
        <v>4</v>
      </c>
      <c r="S129" t="s">
        <v>696</v>
      </c>
      <c r="T129">
        <v>2</v>
      </c>
      <c r="U129" t="s">
        <v>1164</v>
      </c>
      <c r="V129">
        <v>3</v>
      </c>
      <c r="W129" t="s">
        <v>1061</v>
      </c>
      <c r="X129">
        <v>5</v>
      </c>
      <c r="Y129" t="s">
        <v>794</v>
      </c>
      <c r="Z129">
        <v>1</v>
      </c>
    </row>
    <row r="130" spans="1:26" x14ac:dyDescent="0.4">
      <c r="A130" t="s">
        <v>678</v>
      </c>
      <c r="B130" t="s">
        <v>638</v>
      </c>
      <c r="C130" t="s">
        <v>201</v>
      </c>
      <c r="D130">
        <v>3.06</v>
      </c>
      <c r="E130" t="s">
        <v>1231</v>
      </c>
      <c r="F130">
        <v>5</v>
      </c>
      <c r="G130" t="s">
        <v>645</v>
      </c>
      <c r="H130">
        <v>3</v>
      </c>
      <c r="I130" t="s">
        <v>943</v>
      </c>
      <c r="J130">
        <v>5</v>
      </c>
      <c r="K130" t="s">
        <v>857</v>
      </c>
      <c r="L130">
        <v>5</v>
      </c>
      <c r="M130" t="s">
        <v>711</v>
      </c>
      <c r="N130">
        <v>1</v>
      </c>
      <c r="O130">
        <v>71.099999999999994</v>
      </c>
      <c r="P130">
        <v>5</v>
      </c>
      <c r="Q130" t="s">
        <v>1154</v>
      </c>
      <c r="R130">
        <v>2</v>
      </c>
      <c r="S130" t="s">
        <v>1232</v>
      </c>
      <c r="T130">
        <v>1</v>
      </c>
      <c r="U130" t="s">
        <v>695</v>
      </c>
      <c r="V130">
        <v>3</v>
      </c>
      <c r="W130" t="s">
        <v>734</v>
      </c>
      <c r="X130">
        <v>2</v>
      </c>
      <c r="Y130" t="s">
        <v>654</v>
      </c>
      <c r="Z130">
        <v>1</v>
      </c>
    </row>
    <row r="131" spans="1:26" x14ac:dyDescent="0.4">
      <c r="A131" t="s">
        <v>687</v>
      </c>
      <c r="B131" t="s">
        <v>649</v>
      </c>
      <c r="C131" t="s">
        <v>335</v>
      </c>
      <c r="D131">
        <v>2.63</v>
      </c>
      <c r="E131" t="s">
        <v>1233</v>
      </c>
      <c r="F131">
        <v>2</v>
      </c>
      <c r="G131" t="s">
        <v>657</v>
      </c>
      <c r="H131">
        <v>1</v>
      </c>
      <c r="I131" t="s">
        <v>609</v>
      </c>
      <c r="J131">
        <v>1</v>
      </c>
      <c r="K131" t="s">
        <v>578</v>
      </c>
      <c r="L131">
        <v>5</v>
      </c>
      <c r="M131" t="s">
        <v>1234</v>
      </c>
      <c r="N131">
        <v>5</v>
      </c>
      <c r="O131">
        <v>58.2</v>
      </c>
      <c r="P131">
        <v>2</v>
      </c>
      <c r="Q131" t="s">
        <v>1206</v>
      </c>
      <c r="R131">
        <v>2</v>
      </c>
      <c r="S131" t="s">
        <v>947</v>
      </c>
      <c r="T131">
        <v>2</v>
      </c>
      <c r="U131" t="s">
        <v>615</v>
      </c>
      <c r="V131">
        <v>3</v>
      </c>
      <c r="W131" t="s">
        <v>623</v>
      </c>
      <c r="X131">
        <v>1</v>
      </c>
      <c r="Y131" t="s">
        <v>1215</v>
      </c>
      <c r="Z131">
        <v>2</v>
      </c>
    </row>
    <row r="132" spans="1:26" x14ac:dyDescent="0.4">
      <c r="A132" t="s">
        <v>698</v>
      </c>
      <c r="B132" t="s">
        <v>659</v>
      </c>
      <c r="C132" t="s">
        <v>92</v>
      </c>
      <c r="D132">
        <v>3.45</v>
      </c>
      <c r="E132" t="s">
        <v>1235</v>
      </c>
      <c r="F132">
        <v>5</v>
      </c>
      <c r="G132" t="s">
        <v>963</v>
      </c>
      <c r="H132">
        <v>1</v>
      </c>
      <c r="I132" t="s">
        <v>1128</v>
      </c>
      <c r="J132">
        <v>1</v>
      </c>
      <c r="K132" t="s">
        <v>1209</v>
      </c>
      <c r="L132">
        <v>5</v>
      </c>
      <c r="M132" t="s">
        <v>826</v>
      </c>
      <c r="N132">
        <v>5</v>
      </c>
      <c r="O132">
        <v>67.3</v>
      </c>
      <c r="P132">
        <v>4</v>
      </c>
      <c r="Q132" t="s">
        <v>851</v>
      </c>
      <c r="R132">
        <v>1</v>
      </c>
      <c r="S132" t="s">
        <v>913</v>
      </c>
      <c r="T132">
        <v>2</v>
      </c>
      <c r="U132" t="s">
        <v>853</v>
      </c>
      <c r="V132">
        <v>2</v>
      </c>
      <c r="W132" t="s">
        <v>1174</v>
      </c>
      <c r="X132">
        <v>4</v>
      </c>
      <c r="Y132" t="s">
        <v>975</v>
      </c>
      <c r="Z132">
        <v>4</v>
      </c>
    </row>
    <row r="133" spans="1:26" x14ac:dyDescent="0.4">
      <c r="A133" t="s">
        <v>706</v>
      </c>
      <c r="B133" t="s">
        <v>669</v>
      </c>
      <c r="C133" t="s">
        <v>247</v>
      </c>
      <c r="D133">
        <v>2.93</v>
      </c>
      <c r="E133" t="s">
        <v>1236</v>
      </c>
      <c r="F133">
        <v>2</v>
      </c>
      <c r="G133" t="s">
        <v>914</v>
      </c>
      <c r="H133">
        <v>1</v>
      </c>
      <c r="I133" t="s">
        <v>1237</v>
      </c>
      <c r="J133">
        <v>4</v>
      </c>
      <c r="K133" t="s">
        <v>1123</v>
      </c>
      <c r="L133">
        <v>4</v>
      </c>
      <c r="M133" t="s">
        <v>686</v>
      </c>
      <c r="N133">
        <v>5</v>
      </c>
      <c r="O133">
        <v>77.900000000000006</v>
      </c>
      <c r="P133">
        <v>5</v>
      </c>
      <c r="Q133" t="s">
        <v>568</v>
      </c>
      <c r="R133">
        <v>2</v>
      </c>
      <c r="S133" t="s">
        <v>1190</v>
      </c>
      <c r="T133">
        <v>2</v>
      </c>
      <c r="U133" t="s">
        <v>1083</v>
      </c>
      <c r="V133">
        <v>2</v>
      </c>
      <c r="W133" t="s">
        <v>964</v>
      </c>
      <c r="X133">
        <v>2</v>
      </c>
      <c r="Y133" t="s">
        <v>1238</v>
      </c>
      <c r="Z133">
        <v>1</v>
      </c>
    </row>
    <row r="134" spans="1:26" x14ac:dyDescent="0.4">
      <c r="A134" t="s">
        <v>716</v>
      </c>
      <c r="B134" t="s">
        <v>679</v>
      </c>
      <c r="C134" t="s">
        <v>128</v>
      </c>
      <c r="D134">
        <v>3.29</v>
      </c>
      <c r="E134" t="s">
        <v>1239</v>
      </c>
      <c r="F134">
        <v>5</v>
      </c>
      <c r="G134" t="s">
        <v>751</v>
      </c>
      <c r="H134">
        <v>3</v>
      </c>
      <c r="I134" t="s">
        <v>967</v>
      </c>
      <c r="J134">
        <v>2</v>
      </c>
      <c r="K134" t="s">
        <v>1197</v>
      </c>
      <c r="L134">
        <v>5</v>
      </c>
      <c r="M134" t="s">
        <v>872</v>
      </c>
      <c r="N134">
        <v>5</v>
      </c>
      <c r="O134">
        <v>76.3</v>
      </c>
      <c r="P134">
        <v>5</v>
      </c>
      <c r="Q134" t="s">
        <v>663</v>
      </c>
      <c r="R134">
        <v>1</v>
      </c>
      <c r="S134" t="s">
        <v>855</v>
      </c>
      <c r="T134">
        <v>2</v>
      </c>
      <c r="U134" t="s">
        <v>935</v>
      </c>
      <c r="V134">
        <v>2</v>
      </c>
      <c r="W134" t="s">
        <v>1083</v>
      </c>
      <c r="X134">
        <v>1</v>
      </c>
      <c r="Y134" t="s">
        <v>749</v>
      </c>
      <c r="Z134">
        <v>1</v>
      </c>
    </row>
    <row r="135" spans="1:26" x14ac:dyDescent="0.4">
      <c r="A135" t="s">
        <v>728</v>
      </c>
      <c r="B135" t="s">
        <v>688</v>
      </c>
      <c r="C135" t="s">
        <v>155</v>
      </c>
      <c r="D135">
        <v>3.21</v>
      </c>
      <c r="E135" t="s">
        <v>767</v>
      </c>
      <c r="F135">
        <v>3</v>
      </c>
      <c r="G135" t="s">
        <v>898</v>
      </c>
      <c r="H135">
        <v>1</v>
      </c>
      <c r="I135" t="s">
        <v>641</v>
      </c>
      <c r="J135">
        <v>2</v>
      </c>
      <c r="K135" t="s">
        <v>1014</v>
      </c>
      <c r="L135">
        <v>5</v>
      </c>
      <c r="M135" t="s">
        <v>553</v>
      </c>
      <c r="N135">
        <v>5</v>
      </c>
      <c r="O135">
        <v>57.8</v>
      </c>
      <c r="P135">
        <v>2</v>
      </c>
      <c r="Q135" t="s">
        <v>683</v>
      </c>
      <c r="R135">
        <v>5</v>
      </c>
      <c r="S135" t="s">
        <v>963</v>
      </c>
      <c r="T135">
        <v>1</v>
      </c>
      <c r="U135" t="s">
        <v>1104</v>
      </c>
      <c r="V135">
        <v>1</v>
      </c>
      <c r="W135" t="s">
        <v>640</v>
      </c>
      <c r="X135">
        <v>5</v>
      </c>
      <c r="Y135" t="s">
        <v>577</v>
      </c>
      <c r="Z135">
        <v>3</v>
      </c>
    </row>
    <row r="136" spans="1:26" x14ac:dyDescent="0.4">
      <c r="A136" t="s">
        <v>736</v>
      </c>
      <c r="B136" t="s">
        <v>699</v>
      </c>
      <c r="C136" t="s">
        <v>36</v>
      </c>
      <c r="D136">
        <v>3.77</v>
      </c>
      <c r="E136" t="s">
        <v>937</v>
      </c>
      <c r="F136">
        <v>5</v>
      </c>
      <c r="G136" t="s">
        <v>951</v>
      </c>
      <c r="H136">
        <v>5</v>
      </c>
      <c r="I136" t="s">
        <v>1240</v>
      </c>
      <c r="J136">
        <v>3</v>
      </c>
      <c r="K136" t="s">
        <v>1234</v>
      </c>
      <c r="L136">
        <v>5</v>
      </c>
      <c r="M136" t="s">
        <v>556</v>
      </c>
      <c r="N136">
        <v>5</v>
      </c>
      <c r="O136">
        <v>59</v>
      </c>
      <c r="P136">
        <v>2</v>
      </c>
      <c r="Q136" t="s">
        <v>1073</v>
      </c>
      <c r="R136">
        <v>1</v>
      </c>
      <c r="S136" t="s">
        <v>1134</v>
      </c>
      <c r="T136">
        <v>4</v>
      </c>
      <c r="U136" t="s">
        <v>565</v>
      </c>
      <c r="V136">
        <v>4</v>
      </c>
      <c r="W136" t="s">
        <v>574</v>
      </c>
      <c r="X136">
        <v>2</v>
      </c>
      <c r="Y136" t="s">
        <v>974</v>
      </c>
      <c r="Z136">
        <v>3</v>
      </c>
    </row>
    <row r="137" spans="1:26" x14ac:dyDescent="0.4">
      <c r="A137" t="s">
        <v>746</v>
      </c>
      <c r="B137" t="s">
        <v>707</v>
      </c>
      <c r="C137" t="s">
        <v>325</v>
      </c>
      <c r="D137">
        <v>2.69</v>
      </c>
      <c r="E137" t="s">
        <v>1241</v>
      </c>
      <c r="F137">
        <v>3</v>
      </c>
      <c r="G137" t="s">
        <v>749</v>
      </c>
      <c r="H137">
        <v>1</v>
      </c>
      <c r="I137" t="s">
        <v>1242</v>
      </c>
      <c r="J137">
        <v>2</v>
      </c>
      <c r="K137" t="s">
        <v>1070</v>
      </c>
      <c r="L137">
        <v>3</v>
      </c>
      <c r="M137" t="s">
        <v>1019</v>
      </c>
      <c r="N137">
        <v>5</v>
      </c>
      <c r="O137">
        <v>69.5</v>
      </c>
      <c r="P137">
        <v>5</v>
      </c>
      <c r="Q137" t="s">
        <v>877</v>
      </c>
      <c r="R137">
        <v>1</v>
      </c>
      <c r="S137" t="s">
        <v>827</v>
      </c>
      <c r="T137">
        <v>3</v>
      </c>
      <c r="U137" t="s">
        <v>898</v>
      </c>
      <c r="V137">
        <v>1</v>
      </c>
      <c r="W137" t="s">
        <v>1243</v>
      </c>
      <c r="X137">
        <v>2</v>
      </c>
      <c r="Y137" t="s">
        <v>1244</v>
      </c>
      <c r="Z137">
        <v>1</v>
      </c>
    </row>
    <row r="138" spans="1:26" x14ac:dyDescent="0.4">
      <c r="A138" t="s">
        <v>757</v>
      </c>
      <c r="B138" t="s">
        <v>717</v>
      </c>
      <c r="C138" t="s">
        <v>267</v>
      </c>
      <c r="D138">
        <v>2.88</v>
      </c>
      <c r="E138" t="s">
        <v>1245</v>
      </c>
      <c r="F138">
        <v>5</v>
      </c>
      <c r="G138" t="s">
        <v>567</v>
      </c>
      <c r="H138">
        <v>1</v>
      </c>
      <c r="I138" t="s">
        <v>1246</v>
      </c>
      <c r="J138">
        <v>2</v>
      </c>
      <c r="K138" t="s">
        <v>599</v>
      </c>
      <c r="L138">
        <v>1</v>
      </c>
      <c r="M138" t="s">
        <v>1247</v>
      </c>
      <c r="N138">
        <v>4</v>
      </c>
      <c r="O138">
        <v>69.099999999999994</v>
      </c>
      <c r="P138">
        <v>5</v>
      </c>
      <c r="Q138" t="s">
        <v>1068</v>
      </c>
      <c r="R138">
        <v>5</v>
      </c>
      <c r="S138" t="s">
        <v>749</v>
      </c>
      <c r="T138">
        <v>2</v>
      </c>
      <c r="U138" t="s">
        <v>780</v>
      </c>
      <c r="V138">
        <v>3</v>
      </c>
      <c r="W138" t="s">
        <v>780</v>
      </c>
      <c r="X138">
        <v>4</v>
      </c>
      <c r="Y138" t="s">
        <v>794</v>
      </c>
      <c r="Z138">
        <v>1</v>
      </c>
    </row>
    <row r="139" spans="1:26" x14ac:dyDescent="0.4">
      <c r="A139" t="s">
        <v>765</v>
      </c>
      <c r="B139" t="s">
        <v>729</v>
      </c>
      <c r="C139" t="s">
        <v>54</v>
      </c>
      <c r="D139">
        <v>3.62</v>
      </c>
      <c r="E139" t="s">
        <v>1248</v>
      </c>
      <c r="F139">
        <v>2</v>
      </c>
      <c r="G139" t="s">
        <v>584</v>
      </c>
      <c r="H139">
        <v>5</v>
      </c>
      <c r="I139" t="s">
        <v>1249</v>
      </c>
      <c r="J139">
        <v>5</v>
      </c>
      <c r="K139" t="s">
        <v>975</v>
      </c>
      <c r="L139">
        <v>5</v>
      </c>
      <c r="M139" t="s">
        <v>655</v>
      </c>
      <c r="N139">
        <v>5</v>
      </c>
      <c r="O139">
        <v>75.2</v>
      </c>
      <c r="P139">
        <v>5</v>
      </c>
      <c r="Q139" t="s">
        <v>1001</v>
      </c>
      <c r="R139">
        <v>3</v>
      </c>
      <c r="S139" t="s">
        <v>958</v>
      </c>
      <c r="T139">
        <v>1</v>
      </c>
      <c r="U139" t="s">
        <v>576</v>
      </c>
      <c r="V139">
        <v>2</v>
      </c>
      <c r="W139" t="s">
        <v>589</v>
      </c>
      <c r="X139">
        <v>1</v>
      </c>
      <c r="Y139" t="s">
        <v>968</v>
      </c>
      <c r="Z139">
        <v>2</v>
      </c>
    </row>
    <row r="140" spans="1:26" x14ac:dyDescent="0.4">
      <c r="A140" t="s">
        <v>775</v>
      </c>
      <c r="B140" t="s">
        <v>737</v>
      </c>
      <c r="C140" t="s">
        <v>129</v>
      </c>
      <c r="D140">
        <v>3.29</v>
      </c>
      <c r="E140" t="s">
        <v>1250</v>
      </c>
      <c r="F140">
        <v>5</v>
      </c>
      <c r="G140" t="s">
        <v>1251</v>
      </c>
      <c r="H140">
        <v>1</v>
      </c>
      <c r="I140" t="s">
        <v>1252</v>
      </c>
      <c r="J140">
        <v>1</v>
      </c>
      <c r="K140" t="s">
        <v>869</v>
      </c>
      <c r="L140">
        <v>5</v>
      </c>
      <c r="M140" t="s">
        <v>1177</v>
      </c>
      <c r="N140">
        <v>4</v>
      </c>
      <c r="O140">
        <v>77.099999999999994</v>
      </c>
      <c r="P140">
        <v>5</v>
      </c>
      <c r="Q140" t="s">
        <v>743</v>
      </c>
      <c r="R140">
        <v>3</v>
      </c>
      <c r="S140" t="s">
        <v>780</v>
      </c>
      <c r="T140">
        <v>4</v>
      </c>
      <c r="U140" t="s">
        <v>1253</v>
      </c>
      <c r="V140">
        <v>3</v>
      </c>
      <c r="W140" t="s">
        <v>803</v>
      </c>
      <c r="X140">
        <v>3</v>
      </c>
      <c r="Y140" t="s">
        <v>1083</v>
      </c>
      <c r="Z140">
        <v>1</v>
      </c>
    </row>
    <row r="141" spans="1:26" x14ac:dyDescent="0.4">
      <c r="A141" t="s">
        <v>785</v>
      </c>
      <c r="B141" t="s">
        <v>747</v>
      </c>
      <c r="C141" t="s">
        <v>216</v>
      </c>
      <c r="D141">
        <v>3.03</v>
      </c>
      <c r="E141" t="s">
        <v>1254</v>
      </c>
      <c r="F141">
        <v>1</v>
      </c>
      <c r="G141" t="s">
        <v>819</v>
      </c>
      <c r="H141">
        <v>1</v>
      </c>
      <c r="I141" t="s">
        <v>585</v>
      </c>
      <c r="J141">
        <v>1</v>
      </c>
      <c r="K141" t="s">
        <v>1204</v>
      </c>
      <c r="L141">
        <v>5</v>
      </c>
      <c r="M141" t="s">
        <v>1096</v>
      </c>
      <c r="N141">
        <v>5</v>
      </c>
      <c r="O141">
        <v>75.7</v>
      </c>
      <c r="P141">
        <v>5</v>
      </c>
      <c r="Q141" t="s">
        <v>1199</v>
      </c>
      <c r="R141">
        <v>3</v>
      </c>
      <c r="S141" t="s">
        <v>915</v>
      </c>
      <c r="T141">
        <v>2</v>
      </c>
      <c r="U141" t="s">
        <v>1089</v>
      </c>
      <c r="V141">
        <v>3</v>
      </c>
      <c r="W141" t="s">
        <v>614</v>
      </c>
      <c r="X141">
        <v>1</v>
      </c>
      <c r="Y141" t="s">
        <v>723</v>
      </c>
      <c r="Z141">
        <v>3</v>
      </c>
    </row>
    <row r="142" spans="1:26" x14ac:dyDescent="0.4">
      <c r="A142" t="s">
        <v>796</v>
      </c>
      <c r="B142" t="s">
        <v>758</v>
      </c>
      <c r="C142" t="s">
        <v>294</v>
      </c>
      <c r="D142">
        <v>2.78</v>
      </c>
      <c r="E142" t="s">
        <v>824</v>
      </c>
      <c r="F142">
        <v>2</v>
      </c>
      <c r="G142" t="s">
        <v>1255</v>
      </c>
      <c r="H142">
        <v>1</v>
      </c>
      <c r="I142" t="s">
        <v>817</v>
      </c>
      <c r="J142">
        <v>2</v>
      </c>
      <c r="K142" t="s">
        <v>1096</v>
      </c>
      <c r="L142">
        <v>5</v>
      </c>
      <c r="M142" t="s">
        <v>1256</v>
      </c>
      <c r="N142">
        <v>5</v>
      </c>
      <c r="O142">
        <v>61.4</v>
      </c>
      <c r="P142">
        <v>3</v>
      </c>
      <c r="Q142" t="s">
        <v>1257</v>
      </c>
      <c r="R142">
        <v>2</v>
      </c>
      <c r="S142" t="s">
        <v>686</v>
      </c>
      <c r="T142">
        <v>3</v>
      </c>
      <c r="U142" t="s">
        <v>782</v>
      </c>
      <c r="V142">
        <v>2</v>
      </c>
      <c r="W142" t="s">
        <v>944</v>
      </c>
      <c r="X142">
        <v>2</v>
      </c>
      <c r="Y142" t="s">
        <v>962</v>
      </c>
      <c r="Z142">
        <v>1</v>
      </c>
    </row>
    <row r="143" spans="1:26" x14ac:dyDescent="0.4">
      <c r="A143" t="s">
        <v>804</v>
      </c>
      <c r="B143" t="s">
        <v>766</v>
      </c>
      <c r="C143" t="s">
        <v>77</v>
      </c>
      <c r="D143">
        <v>3.51</v>
      </c>
      <c r="E143" t="s">
        <v>1258</v>
      </c>
      <c r="F143">
        <v>4</v>
      </c>
      <c r="G143" t="s">
        <v>640</v>
      </c>
      <c r="H143">
        <v>5</v>
      </c>
      <c r="I143" t="s">
        <v>573</v>
      </c>
      <c r="J143">
        <v>1</v>
      </c>
      <c r="K143" t="s">
        <v>795</v>
      </c>
      <c r="L143">
        <v>1</v>
      </c>
      <c r="M143" t="s">
        <v>576</v>
      </c>
      <c r="N143">
        <v>5</v>
      </c>
      <c r="O143">
        <v>67.400000000000006</v>
      </c>
      <c r="P143">
        <v>4</v>
      </c>
      <c r="Q143" t="s">
        <v>634</v>
      </c>
      <c r="R143">
        <v>3</v>
      </c>
      <c r="S143" t="s">
        <v>872</v>
      </c>
      <c r="T143">
        <v>2</v>
      </c>
      <c r="U143" t="s">
        <v>684</v>
      </c>
      <c r="V143">
        <v>4</v>
      </c>
      <c r="W143" t="s">
        <v>828</v>
      </c>
      <c r="X143">
        <v>4</v>
      </c>
      <c r="Y143" t="s">
        <v>802</v>
      </c>
      <c r="Z143">
        <v>4</v>
      </c>
    </row>
    <row r="144" spans="1:26" x14ac:dyDescent="0.4">
      <c r="A144" t="s">
        <v>814</v>
      </c>
      <c r="B144" t="s">
        <v>776</v>
      </c>
      <c r="C144" t="s">
        <v>152</v>
      </c>
      <c r="D144">
        <v>3.22</v>
      </c>
      <c r="E144" t="s">
        <v>1245</v>
      </c>
      <c r="F144">
        <v>5</v>
      </c>
      <c r="G144" t="s">
        <v>754</v>
      </c>
      <c r="H144">
        <v>1</v>
      </c>
      <c r="I144" t="s">
        <v>1259</v>
      </c>
      <c r="J144">
        <v>2</v>
      </c>
      <c r="K144" t="s">
        <v>925</v>
      </c>
      <c r="L144">
        <v>3</v>
      </c>
      <c r="M144" t="s">
        <v>998</v>
      </c>
      <c r="N144">
        <v>5</v>
      </c>
      <c r="O144">
        <v>72.2</v>
      </c>
      <c r="P144">
        <v>5</v>
      </c>
      <c r="Q144" t="s">
        <v>778</v>
      </c>
      <c r="R144">
        <v>2</v>
      </c>
      <c r="S144" t="s">
        <v>1097</v>
      </c>
      <c r="T144">
        <v>1</v>
      </c>
      <c r="U144" t="s">
        <v>596</v>
      </c>
      <c r="V144">
        <v>3</v>
      </c>
      <c r="W144" t="s">
        <v>673</v>
      </c>
      <c r="X144">
        <v>2</v>
      </c>
      <c r="Y144" t="s">
        <v>653</v>
      </c>
      <c r="Z144">
        <v>4</v>
      </c>
    </row>
    <row r="145" spans="1:26" x14ac:dyDescent="0.4">
      <c r="A145" t="s">
        <v>822</v>
      </c>
      <c r="B145" t="s">
        <v>786</v>
      </c>
      <c r="C145" t="s">
        <v>148</v>
      </c>
      <c r="D145">
        <v>3.23</v>
      </c>
      <c r="E145" t="s">
        <v>1260</v>
      </c>
      <c r="F145">
        <v>5</v>
      </c>
      <c r="G145" t="s">
        <v>645</v>
      </c>
      <c r="H145">
        <v>3</v>
      </c>
      <c r="I145" t="s">
        <v>1118</v>
      </c>
      <c r="J145">
        <v>3</v>
      </c>
      <c r="K145" t="s">
        <v>951</v>
      </c>
      <c r="L145">
        <v>5</v>
      </c>
      <c r="M145" t="s">
        <v>1261</v>
      </c>
      <c r="N145">
        <v>5</v>
      </c>
      <c r="O145">
        <v>66.2</v>
      </c>
      <c r="P145">
        <v>4</v>
      </c>
      <c r="Q145" t="s">
        <v>947</v>
      </c>
      <c r="R145">
        <v>2</v>
      </c>
      <c r="S145" t="s">
        <v>1032</v>
      </c>
      <c r="T145">
        <v>2</v>
      </c>
      <c r="U145" t="s">
        <v>986</v>
      </c>
      <c r="V145">
        <v>1</v>
      </c>
      <c r="W145" t="s">
        <v>1002</v>
      </c>
      <c r="X145">
        <v>1</v>
      </c>
      <c r="Y145" t="s">
        <v>884</v>
      </c>
      <c r="Z145">
        <v>1</v>
      </c>
    </row>
    <row r="146" spans="1:26" x14ac:dyDescent="0.4">
      <c r="A146" t="s">
        <v>831</v>
      </c>
      <c r="B146" t="s">
        <v>797</v>
      </c>
      <c r="C146" t="s">
        <v>122</v>
      </c>
      <c r="D146">
        <v>3.3</v>
      </c>
      <c r="E146" t="s">
        <v>1109</v>
      </c>
      <c r="F146">
        <v>5</v>
      </c>
      <c r="G146" t="s">
        <v>893</v>
      </c>
      <c r="H146">
        <v>1</v>
      </c>
      <c r="I146" t="s">
        <v>1262</v>
      </c>
      <c r="J146">
        <v>2</v>
      </c>
      <c r="K146" t="s">
        <v>874</v>
      </c>
      <c r="L146">
        <v>5</v>
      </c>
      <c r="M146" t="s">
        <v>576</v>
      </c>
      <c r="N146">
        <v>5</v>
      </c>
      <c r="O146">
        <v>74.900000000000006</v>
      </c>
      <c r="P146">
        <v>5</v>
      </c>
      <c r="Q146" t="s">
        <v>769</v>
      </c>
      <c r="R146">
        <v>2</v>
      </c>
      <c r="S146" t="s">
        <v>602</v>
      </c>
      <c r="T146">
        <v>4</v>
      </c>
      <c r="U146" t="s">
        <v>1024</v>
      </c>
      <c r="V146">
        <v>2</v>
      </c>
      <c r="W146" t="s">
        <v>693</v>
      </c>
      <c r="X146">
        <v>1</v>
      </c>
      <c r="Y146" t="s">
        <v>734</v>
      </c>
      <c r="Z146">
        <v>2</v>
      </c>
    </row>
    <row r="147" spans="1:26" x14ac:dyDescent="0.4">
      <c r="A147" t="s">
        <v>547</v>
      </c>
      <c r="B147" t="s">
        <v>805</v>
      </c>
      <c r="C147" t="s">
        <v>417</v>
      </c>
      <c r="D147">
        <v>2.0499999999999998</v>
      </c>
      <c r="E147" t="s">
        <v>1263</v>
      </c>
      <c r="F147">
        <v>3</v>
      </c>
      <c r="G147" t="s">
        <v>754</v>
      </c>
      <c r="H147">
        <v>1</v>
      </c>
      <c r="I147" t="s">
        <v>1264</v>
      </c>
      <c r="J147">
        <v>2</v>
      </c>
      <c r="K147" t="s">
        <v>878</v>
      </c>
      <c r="L147">
        <v>2</v>
      </c>
      <c r="M147" t="s">
        <v>677</v>
      </c>
      <c r="N147">
        <v>1</v>
      </c>
      <c r="O147">
        <v>76.900000000000006</v>
      </c>
      <c r="P147">
        <v>5</v>
      </c>
      <c r="Q147" t="s">
        <v>857</v>
      </c>
      <c r="R147">
        <v>3</v>
      </c>
      <c r="S147" t="s">
        <v>660</v>
      </c>
      <c r="T147">
        <v>2</v>
      </c>
      <c r="U147" t="s">
        <v>693</v>
      </c>
      <c r="V147">
        <v>1</v>
      </c>
      <c r="W147" t="s">
        <v>956</v>
      </c>
      <c r="X147">
        <v>1</v>
      </c>
      <c r="Y147" t="s">
        <v>773</v>
      </c>
      <c r="Z147">
        <v>2</v>
      </c>
    </row>
    <row r="148" spans="1:26" x14ac:dyDescent="0.4">
      <c r="A148" t="s">
        <v>559</v>
      </c>
      <c r="B148" t="s">
        <v>815</v>
      </c>
      <c r="C148" t="s">
        <v>274</v>
      </c>
      <c r="D148">
        <v>2.86</v>
      </c>
      <c r="E148" t="s">
        <v>1265</v>
      </c>
      <c r="F148">
        <v>5</v>
      </c>
      <c r="G148" t="s">
        <v>899</v>
      </c>
      <c r="H148">
        <v>3</v>
      </c>
      <c r="I148" t="s">
        <v>1227</v>
      </c>
      <c r="J148">
        <v>1</v>
      </c>
      <c r="K148" t="s">
        <v>622</v>
      </c>
      <c r="L148">
        <v>1</v>
      </c>
      <c r="M148" t="s">
        <v>1152</v>
      </c>
      <c r="N148">
        <v>5</v>
      </c>
      <c r="O148">
        <v>63.5</v>
      </c>
      <c r="P148">
        <v>3</v>
      </c>
      <c r="Q148" t="s">
        <v>1266</v>
      </c>
      <c r="R148">
        <v>4</v>
      </c>
      <c r="S148" t="s">
        <v>714</v>
      </c>
      <c r="T148">
        <v>4</v>
      </c>
      <c r="U148" t="s">
        <v>953</v>
      </c>
      <c r="V148">
        <v>3</v>
      </c>
      <c r="W148" t="s">
        <v>1238</v>
      </c>
      <c r="X148">
        <v>1</v>
      </c>
      <c r="Y148" t="s">
        <v>913</v>
      </c>
      <c r="Z148">
        <v>2</v>
      </c>
    </row>
    <row r="149" spans="1:26" x14ac:dyDescent="0.4">
      <c r="A149" t="s">
        <v>569</v>
      </c>
      <c r="B149" t="s">
        <v>823</v>
      </c>
      <c r="C149" t="s">
        <v>258</v>
      </c>
      <c r="D149">
        <v>2.9</v>
      </c>
      <c r="E149" t="s">
        <v>1267</v>
      </c>
      <c r="F149">
        <v>2</v>
      </c>
      <c r="G149" t="s">
        <v>1228</v>
      </c>
      <c r="H149">
        <v>2</v>
      </c>
      <c r="I149" t="s">
        <v>641</v>
      </c>
      <c r="J149">
        <v>2</v>
      </c>
      <c r="K149" t="s">
        <v>1215</v>
      </c>
      <c r="L149">
        <v>5</v>
      </c>
      <c r="M149" t="s">
        <v>1057</v>
      </c>
      <c r="N149">
        <v>1</v>
      </c>
      <c r="O149">
        <v>75.400000000000006</v>
      </c>
      <c r="P149">
        <v>5</v>
      </c>
      <c r="Q149" t="s">
        <v>847</v>
      </c>
      <c r="R149">
        <v>2</v>
      </c>
      <c r="S149" t="s">
        <v>752</v>
      </c>
      <c r="T149">
        <v>5</v>
      </c>
      <c r="U149" t="s">
        <v>970</v>
      </c>
      <c r="V149">
        <v>3</v>
      </c>
      <c r="W149" t="s">
        <v>562</v>
      </c>
      <c r="X149">
        <v>4</v>
      </c>
      <c r="Y149" t="s">
        <v>749</v>
      </c>
      <c r="Z149">
        <v>1</v>
      </c>
    </row>
    <row r="150" spans="1:26" x14ac:dyDescent="0.4">
      <c r="A150" t="s">
        <v>581</v>
      </c>
      <c r="B150" t="s">
        <v>832</v>
      </c>
      <c r="C150" t="s">
        <v>116</v>
      </c>
      <c r="D150">
        <v>3.31</v>
      </c>
      <c r="E150" t="s">
        <v>1268</v>
      </c>
      <c r="F150">
        <v>2</v>
      </c>
      <c r="G150" t="s">
        <v>1058</v>
      </c>
      <c r="H150">
        <v>5</v>
      </c>
      <c r="I150" t="s">
        <v>948</v>
      </c>
      <c r="J150">
        <v>3</v>
      </c>
      <c r="K150" t="s">
        <v>793</v>
      </c>
      <c r="L150">
        <v>3</v>
      </c>
      <c r="M150" t="s">
        <v>1194</v>
      </c>
      <c r="N150">
        <v>5</v>
      </c>
      <c r="O150">
        <v>64</v>
      </c>
      <c r="P150">
        <v>4</v>
      </c>
      <c r="Q150" t="s">
        <v>1054</v>
      </c>
      <c r="R150">
        <v>4</v>
      </c>
      <c r="S150" t="s">
        <v>1119</v>
      </c>
      <c r="T150">
        <v>3</v>
      </c>
      <c r="U150" t="s">
        <v>829</v>
      </c>
      <c r="V150">
        <v>3</v>
      </c>
      <c r="W150" t="s">
        <v>1197</v>
      </c>
      <c r="X150">
        <v>2</v>
      </c>
      <c r="Y150" t="s">
        <v>575</v>
      </c>
      <c r="Z150">
        <v>1</v>
      </c>
    </row>
    <row r="151" spans="1:26" x14ac:dyDescent="0.4">
      <c r="A151" t="s">
        <v>593</v>
      </c>
      <c r="B151" t="s">
        <v>840</v>
      </c>
      <c r="C151" t="s">
        <v>264</v>
      </c>
      <c r="D151">
        <v>2.89</v>
      </c>
      <c r="E151" t="s">
        <v>1017</v>
      </c>
      <c r="F151">
        <v>3</v>
      </c>
      <c r="G151" t="s">
        <v>812</v>
      </c>
      <c r="H151">
        <v>1</v>
      </c>
      <c r="I151" t="s">
        <v>1269</v>
      </c>
      <c r="J151">
        <v>2</v>
      </c>
      <c r="K151" t="s">
        <v>584</v>
      </c>
      <c r="L151">
        <v>5</v>
      </c>
      <c r="M151" t="s">
        <v>1196</v>
      </c>
      <c r="N151">
        <v>5</v>
      </c>
      <c r="O151">
        <v>64.599999999999994</v>
      </c>
      <c r="P151">
        <v>4</v>
      </c>
      <c r="Q151" t="s">
        <v>1084</v>
      </c>
      <c r="R151">
        <v>1</v>
      </c>
      <c r="S151" t="s">
        <v>1256</v>
      </c>
      <c r="T151">
        <v>3</v>
      </c>
      <c r="U151" t="s">
        <v>1134</v>
      </c>
      <c r="V151">
        <v>3</v>
      </c>
      <c r="W151" t="s">
        <v>794</v>
      </c>
      <c r="X151">
        <v>1</v>
      </c>
      <c r="Y151" t="s">
        <v>1232</v>
      </c>
      <c r="Z151">
        <v>1</v>
      </c>
    </row>
    <row r="152" spans="1:26" x14ac:dyDescent="0.4">
      <c r="A152" t="s">
        <v>605</v>
      </c>
      <c r="B152" t="s">
        <v>849</v>
      </c>
      <c r="C152" t="s">
        <v>245</v>
      </c>
      <c r="D152">
        <v>2.94</v>
      </c>
      <c r="E152" t="s">
        <v>1049</v>
      </c>
      <c r="F152">
        <v>2</v>
      </c>
      <c r="G152" t="s">
        <v>608</v>
      </c>
      <c r="H152">
        <v>2</v>
      </c>
      <c r="I152" t="s">
        <v>682</v>
      </c>
      <c r="J152">
        <v>5</v>
      </c>
      <c r="K152" t="s">
        <v>895</v>
      </c>
      <c r="L152">
        <v>4</v>
      </c>
      <c r="M152" t="s">
        <v>1013</v>
      </c>
      <c r="N152">
        <v>1</v>
      </c>
      <c r="O152">
        <v>70.5</v>
      </c>
      <c r="P152">
        <v>5</v>
      </c>
      <c r="Q152" t="s">
        <v>864</v>
      </c>
      <c r="R152">
        <v>4</v>
      </c>
      <c r="S152" t="s">
        <v>1199</v>
      </c>
      <c r="T152">
        <v>3</v>
      </c>
      <c r="U152" t="s">
        <v>580</v>
      </c>
      <c r="V152">
        <v>3</v>
      </c>
      <c r="W152" t="s">
        <v>704</v>
      </c>
      <c r="X152">
        <v>4</v>
      </c>
      <c r="Y152" t="s">
        <v>753</v>
      </c>
      <c r="Z152">
        <v>1</v>
      </c>
    </row>
    <row r="153" spans="1:26" x14ac:dyDescent="0.4">
      <c r="A153" t="s">
        <v>617</v>
      </c>
      <c r="B153" t="s">
        <v>858</v>
      </c>
      <c r="C153" t="s">
        <v>275</v>
      </c>
      <c r="D153">
        <v>2.86</v>
      </c>
      <c r="E153" t="s">
        <v>1270</v>
      </c>
      <c r="F153">
        <v>2</v>
      </c>
      <c r="G153" t="s">
        <v>633</v>
      </c>
      <c r="H153">
        <v>2</v>
      </c>
      <c r="I153" t="s">
        <v>1163</v>
      </c>
      <c r="J153">
        <v>4</v>
      </c>
      <c r="K153" t="s">
        <v>985</v>
      </c>
      <c r="L153">
        <v>5</v>
      </c>
      <c r="M153" t="s">
        <v>972</v>
      </c>
      <c r="N153">
        <v>3</v>
      </c>
      <c r="O153">
        <v>52.4</v>
      </c>
      <c r="P153">
        <v>1</v>
      </c>
      <c r="Q153" t="s">
        <v>587</v>
      </c>
      <c r="R153">
        <v>1</v>
      </c>
      <c r="S153" t="s">
        <v>811</v>
      </c>
      <c r="T153">
        <v>2</v>
      </c>
      <c r="U153" t="s">
        <v>791</v>
      </c>
      <c r="V153">
        <v>3</v>
      </c>
      <c r="W153" t="s">
        <v>857</v>
      </c>
      <c r="X153">
        <v>4</v>
      </c>
      <c r="Y153" t="s">
        <v>973</v>
      </c>
      <c r="Z153">
        <v>3</v>
      </c>
    </row>
    <row r="154" spans="1:26" x14ac:dyDescent="0.4">
      <c r="A154" t="s">
        <v>627</v>
      </c>
      <c r="B154" t="s">
        <v>865</v>
      </c>
      <c r="C154" t="s">
        <v>143</v>
      </c>
      <c r="D154">
        <v>3.24</v>
      </c>
      <c r="E154" t="s">
        <v>1271</v>
      </c>
      <c r="F154">
        <v>5</v>
      </c>
      <c r="G154" t="s">
        <v>807</v>
      </c>
      <c r="H154">
        <v>1</v>
      </c>
      <c r="I154" t="s">
        <v>1269</v>
      </c>
      <c r="J154">
        <v>2</v>
      </c>
      <c r="K154" t="s">
        <v>1068</v>
      </c>
      <c r="L154">
        <v>5</v>
      </c>
      <c r="M154" t="s">
        <v>801</v>
      </c>
      <c r="N154">
        <v>4</v>
      </c>
      <c r="O154">
        <v>73.099999999999994</v>
      </c>
      <c r="P154">
        <v>5</v>
      </c>
      <c r="Q154" t="s">
        <v>732</v>
      </c>
      <c r="R154">
        <v>3</v>
      </c>
      <c r="S154" t="s">
        <v>1202</v>
      </c>
      <c r="T154">
        <v>3</v>
      </c>
      <c r="U154" t="s">
        <v>984</v>
      </c>
      <c r="V154">
        <v>2</v>
      </c>
      <c r="W154" t="s">
        <v>1209</v>
      </c>
      <c r="X154">
        <v>3</v>
      </c>
      <c r="Y154" t="s">
        <v>935</v>
      </c>
      <c r="Z154">
        <v>1</v>
      </c>
    </row>
    <row r="155" spans="1:26" x14ac:dyDescent="0.4">
      <c r="A155" t="s">
        <v>637</v>
      </c>
      <c r="B155" t="s">
        <v>870</v>
      </c>
      <c r="C155" t="s">
        <v>140</v>
      </c>
      <c r="D155">
        <v>3.25</v>
      </c>
      <c r="E155" t="s">
        <v>1272</v>
      </c>
      <c r="F155">
        <v>3</v>
      </c>
      <c r="G155" t="s">
        <v>1273</v>
      </c>
      <c r="H155">
        <v>1</v>
      </c>
      <c r="I155" t="s">
        <v>860</v>
      </c>
      <c r="J155">
        <v>4</v>
      </c>
      <c r="K155" t="s">
        <v>1161</v>
      </c>
      <c r="L155">
        <v>5</v>
      </c>
      <c r="M155" t="s">
        <v>1186</v>
      </c>
      <c r="N155">
        <v>2</v>
      </c>
      <c r="O155">
        <v>66.5</v>
      </c>
      <c r="P155">
        <v>4</v>
      </c>
      <c r="Q155" t="s">
        <v>630</v>
      </c>
      <c r="R155">
        <v>4</v>
      </c>
      <c r="S155" t="s">
        <v>1019</v>
      </c>
      <c r="T155">
        <v>3</v>
      </c>
      <c r="U155" t="s">
        <v>788</v>
      </c>
      <c r="V155">
        <v>2</v>
      </c>
      <c r="W155" t="s">
        <v>1102</v>
      </c>
      <c r="X155">
        <v>4</v>
      </c>
      <c r="Y155" t="s">
        <v>830</v>
      </c>
      <c r="Z155">
        <v>4</v>
      </c>
    </row>
    <row r="156" spans="1:26" x14ac:dyDescent="0.4">
      <c r="A156" t="s">
        <v>648</v>
      </c>
      <c r="B156" t="s">
        <v>879</v>
      </c>
      <c r="C156" t="s">
        <v>339</v>
      </c>
      <c r="D156">
        <v>2.61</v>
      </c>
      <c r="E156" t="s">
        <v>1274</v>
      </c>
      <c r="F156">
        <v>4</v>
      </c>
      <c r="G156" t="s">
        <v>1146</v>
      </c>
      <c r="H156">
        <v>4</v>
      </c>
      <c r="I156" t="s">
        <v>1275</v>
      </c>
      <c r="J156">
        <v>5</v>
      </c>
      <c r="K156" t="s">
        <v>771</v>
      </c>
      <c r="L156">
        <v>1</v>
      </c>
      <c r="M156" t="s">
        <v>960</v>
      </c>
      <c r="N156">
        <v>2</v>
      </c>
      <c r="O156">
        <v>58.7</v>
      </c>
      <c r="P156">
        <v>2</v>
      </c>
      <c r="Q156" t="s">
        <v>667</v>
      </c>
      <c r="R156">
        <v>2</v>
      </c>
      <c r="S156" t="s">
        <v>1104</v>
      </c>
      <c r="T156">
        <v>1</v>
      </c>
      <c r="U156" t="s">
        <v>1188</v>
      </c>
      <c r="V156">
        <v>4</v>
      </c>
      <c r="W156" t="s">
        <v>726</v>
      </c>
      <c r="X156">
        <v>2</v>
      </c>
      <c r="Y156" t="s">
        <v>911</v>
      </c>
      <c r="Z156">
        <v>3</v>
      </c>
    </row>
    <row r="157" spans="1:26" x14ac:dyDescent="0.4">
      <c r="A157" t="s">
        <v>658</v>
      </c>
      <c r="B157" t="s">
        <v>887</v>
      </c>
      <c r="C157" t="s">
        <v>392</v>
      </c>
      <c r="D157">
        <v>2.31</v>
      </c>
      <c r="E157" t="s">
        <v>1276</v>
      </c>
      <c r="F157">
        <v>5</v>
      </c>
      <c r="G157" t="s">
        <v>1277</v>
      </c>
      <c r="H157">
        <v>1</v>
      </c>
      <c r="I157" t="s">
        <v>817</v>
      </c>
      <c r="J157">
        <v>2</v>
      </c>
      <c r="K157" t="s">
        <v>1126</v>
      </c>
      <c r="L157">
        <v>1</v>
      </c>
      <c r="M157" t="s">
        <v>769</v>
      </c>
      <c r="N157">
        <v>3</v>
      </c>
      <c r="O157">
        <v>77.599999999999994</v>
      </c>
      <c r="P157">
        <v>5</v>
      </c>
      <c r="Q157" t="s">
        <v>941</v>
      </c>
      <c r="R157">
        <v>3</v>
      </c>
      <c r="S157" t="s">
        <v>657</v>
      </c>
      <c r="T157">
        <v>2</v>
      </c>
      <c r="U157" t="s">
        <v>1206</v>
      </c>
      <c r="V157">
        <v>2</v>
      </c>
      <c r="W157" t="s">
        <v>1190</v>
      </c>
      <c r="X157">
        <v>1</v>
      </c>
      <c r="Y157" t="s">
        <v>1084</v>
      </c>
      <c r="Z157">
        <v>1</v>
      </c>
    </row>
    <row r="158" spans="1:26" x14ac:dyDescent="0.4">
      <c r="A158" t="s">
        <v>668</v>
      </c>
      <c r="B158" t="s">
        <v>896</v>
      </c>
      <c r="C158" t="s">
        <v>312</v>
      </c>
      <c r="D158">
        <v>2.72</v>
      </c>
      <c r="E158" t="s">
        <v>1278</v>
      </c>
      <c r="F158">
        <v>5</v>
      </c>
      <c r="G158" t="s">
        <v>784</v>
      </c>
      <c r="H158">
        <v>4</v>
      </c>
      <c r="I158" t="s">
        <v>1279</v>
      </c>
      <c r="J158">
        <v>4</v>
      </c>
      <c r="K158" t="s">
        <v>745</v>
      </c>
      <c r="L158">
        <v>4</v>
      </c>
      <c r="M158" t="s">
        <v>1280</v>
      </c>
      <c r="N158">
        <v>2</v>
      </c>
      <c r="O158">
        <v>56.4</v>
      </c>
      <c r="P158">
        <v>1</v>
      </c>
      <c r="Q158" t="s">
        <v>754</v>
      </c>
      <c r="R158">
        <v>2</v>
      </c>
      <c r="S158" t="s">
        <v>552</v>
      </c>
      <c r="T158">
        <v>3</v>
      </c>
      <c r="U158" t="s">
        <v>572</v>
      </c>
      <c r="V158">
        <v>2</v>
      </c>
      <c r="W158" t="s">
        <v>853</v>
      </c>
      <c r="X158">
        <v>2</v>
      </c>
      <c r="Y158" t="s">
        <v>769</v>
      </c>
      <c r="Z158">
        <v>1</v>
      </c>
    </row>
    <row r="159" spans="1:26" x14ac:dyDescent="0.4">
      <c r="A159" t="s">
        <v>678</v>
      </c>
      <c r="B159" t="s">
        <v>901</v>
      </c>
      <c r="C159" t="s">
        <v>394</v>
      </c>
      <c r="D159">
        <v>2.2999999999999998</v>
      </c>
      <c r="E159" t="s">
        <v>1281</v>
      </c>
      <c r="F159">
        <v>2</v>
      </c>
      <c r="G159" t="s">
        <v>916</v>
      </c>
      <c r="H159">
        <v>2</v>
      </c>
      <c r="I159" t="s">
        <v>1282</v>
      </c>
      <c r="J159">
        <v>3</v>
      </c>
      <c r="K159" t="s">
        <v>772</v>
      </c>
      <c r="L159">
        <v>5</v>
      </c>
      <c r="M159" t="s">
        <v>575</v>
      </c>
      <c r="N159">
        <v>1</v>
      </c>
      <c r="O159">
        <v>60.7</v>
      </c>
      <c r="P159">
        <v>2</v>
      </c>
      <c r="Q159" t="s">
        <v>656</v>
      </c>
      <c r="R159">
        <v>2</v>
      </c>
      <c r="S159" t="s">
        <v>1097</v>
      </c>
      <c r="T159">
        <v>1</v>
      </c>
      <c r="U159" t="s">
        <v>1154</v>
      </c>
      <c r="V159">
        <v>2</v>
      </c>
      <c r="W159" t="s">
        <v>1070</v>
      </c>
      <c r="X159">
        <v>1</v>
      </c>
      <c r="Y159" t="s">
        <v>1196</v>
      </c>
      <c r="Z159">
        <v>3</v>
      </c>
    </row>
    <row r="160" spans="1:26" x14ac:dyDescent="0.4">
      <c r="A160" t="s">
        <v>687</v>
      </c>
      <c r="B160" t="s">
        <v>909</v>
      </c>
      <c r="C160" t="s">
        <v>80</v>
      </c>
      <c r="D160">
        <v>3.5</v>
      </c>
      <c r="E160" t="s">
        <v>1283</v>
      </c>
      <c r="F160">
        <v>4</v>
      </c>
      <c r="G160" t="s">
        <v>795</v>
      </c>
      <c r="H160">
        <v>1</v>
      </c>
      <c r="I160" t="s">
        <v>1284</v>
      </c>
      <c r="J160">
        <v>4</v>
      </c>
      <c r="K160" t="s">
        <v>764</v>
      </c>
      <c r="L160">
        <v>5</v>
      </c>
      <c r="M160" t="s">
        <v>1266</v>
      </c>
      <c r="N160">
        <v>5</v>
      </c>
      <c r="O160">
        <v>68.8</v>
      </c>
      <c r="P160">
        <v>4</v>
      </c>
      <c r="Q160" t="s">
        <v>733</v>
      </c>
      <c r="R160">
        <v>3</v>
      </c>
      <c r="S160" t="s">
        <v>752</v>
      </c>
      <c r="T160">
        <v>5</v>
      </c>
      <c r="U160" t="s">
        <v>952</v>
      </c>
      <c r="V160">
        <v>2</v>
      </c>
      <c r="W160" t="s">
        <v>732</v>
      </c>
      <c r="X160">
        <v>4</v>
      </c>
      <c r="Y160" t="s">
        <v>925</v>
      </c>
      <c r="Z160">
        <v>1</v>
      </c>
    </row>
    <row r="161" spans="1:26" x14ac:dyDescent="0.4">
      <c r="A161" t="s">
        <v>698</v>
      </c>
      <c r="B161" t="s">
        <v>918</v>
      </c>
      <c r="C161" t="s">
        <v>410</v>
      </c>
      <c r="D161">
        <v>2.13</v>
      </c>
      <c r="E161" t="s">
        <v>1285</v>
      </c>
      <c r="F161">
        <v>3</v>
      </c>
      <c r="G161" t="s">
        <v>956</v>
      </c>
      <c r="H161">
        <v>1</v>
      </c>
      <c r="I161" t="s">
        <v>1080</v>
      </c>
      <c r="J161">
        <v>2</v>
      </c>
      <c r="K161" t="s">
        <v>1206</v>
      </c>
      <c r="L161">
        <v>3</v>
      </c>
      <c r="M161" t="s">
        <v>851</v>
      </c>
      <c r="N161">
        <v>1</v>
      </c>
      <c r="O161">
        <v>63.8</v>
      </c>
      <c r="P161">
        <v>3</v>
      </c>
      <c r="Q161" t="s">
        <v>1177</v>
      </c>
      <c r="R161">
        <v>2</v>
      </c>
      <c r="S161" t="s">
        <v>968</v>
      </c>
      <c r="T161">
        <v>2</v>
      </c>
      <c r="U161" t="s">
        <v>1106</v>
      </c>
      <c r="V161">
        <v>3</v>
      </c>
      <c r="W161" t="s">
        <v>890</v>
      </c>
      <c r="X161">
        <v>2</v>
      </c>
      <c r="Y161" t="s">
        <v>697</v>
      </c>
      <c r="Z161">
        <v>2</v>
      </c>
    </row>
    <row r="162" spans="1:26" x14ac:dyDescent="0.4">
      <c r="A162" t="s">
        <v>706</v>
      </c>
      <c r="B162" t="s">
        <v>548</v>
      </c>
      <c r="C162" t="s">
        <v>30</v>
      </c>
      <c r="D162">
        <v>3.81</v>
      </c>
      <c r="E162" t="s">
        <v>1286</v>
      </c>
      <c r="F162">
        <v>1</v>
      </c>
      <c r="G162" t="s">
        <v>936</v>
      </c>
      <c r="H162">
        <v>5</v>
      </c>
      <c r="I162" t="s">
        <v>1287</v>
      </c>
      <c r="J162">
        <v>3</v>
      </c>
      <c r="K162" t="s">
        <v>645</v>
      </c>
      <c r="L162">
        <v>5</v>
      </c>
      <c r="M162" t="s">
        <v>1214</v>
      </c>
      <c r="N162">
        <v>5</v>
      </c>
      <c r="O162">
        <v>74.3</v>
      </c>
      <c r="P162">
        <v>5</v>
      </c>
      <c r="Q162" t="s">
        <v>904</v>
      </c>
      <c r="R162">
        <v>5</v>
      </c>
      <c r="S162" t="s">
        <v>723</v>
      </c>
      <c r="T162">
        <v>3</v>
      </c>
      <c r="U162" t="s">
        <v>633</v>
      </c>
      <c r="V162">
        <v>2</v>
      </c>
      <c r="W162" t="s">
        <v>907</v>
      </c>
      <c r="X162">
        <v>2</v>
      </c>
      <c r="Y162" t="s">
        <v>1174</v>
      </c>
      <c r="Z162">
        <v>3</v>
      </c>
    </row>
    <row r="163" spans="1:26" x14ac:dyDescent="0.4">
      <c r="A163" t="s">
        <v>716</v>
      </c>
      <c r="B163" t="s">
        <v>560</v>
      </c>
      <c r="C163" t="s">
        <v>404</v>
      </c>
      <c r="D163">
        <v>2.2000000000000002</v>
      </c>
      <c r="E163" t="s">
        <v>1288</v>
      </c>
      <c r="F163">
        <v>2</v>
      </c>
      <c r="G163" t="s">
        <v>1106</v>
      </c>
      <c r="H163">
        <v>4</v>
      </c>
      <c r="I163" t="s">
        <v>1289</v>
      </c>
      <c r="J163">
        <v>5</v>
      </c>
      <c r="K163" t="s">
        <v>837</v>
      </c>
      <c r="L163">
        <v>1</v>
      </c>
      <c r="M163" t="s">
        <v>674</v>
      </c>
      <c r="N163">
        <v>2</v>
      </c>
      <c r="O163">
        <v>63.8</v>
      </c>
      <c r="P163">
        <v>3</v>
      </c>
      <c r="Q163" t="s">
        <v>813</v>
      </c>
      <c r="R163">
        <v>2</v>
      </c>
      <c r="S163" t="s">
        <v>1041</v>
      </c>
      <c r="T163">
        <v>2</v>
      </c>
      <c r="U163" t="s">
        <v>574</v>
      </c>
      <c r="V163">
        <v>2</v>
      </c>
      <c r="W163" t="s">
        <v>1244</v>
      </c>
      <c r="X163">
        <v>1</v>
      </c>
      <c r="Y163" t="s">
        <v>991</v>
      </c>
      <c r="Z163">
        <v>1</v>
      </c>
    </row>
    <row r="164" spans="1:26" x14ac:dyDescent="0.4">
      <c r="A164" t="s">
        <v>728</v>
      </c>
      <c r="B164" t="s">
        <v>570</v>
      </c>
      <c r="C164" t="s">
        <v>286</v>
      </c>
      <c r="D164">
        <v>2.83</v>
      </c>
      <c r="E164" t="s">
        <v>1290</v>
      </c>
      <c r="F164">
        <v>2</v>
      </c>
      <c r="G164" t="s">
        <v>916</v>
      </c>
      <c r="H164">
        <v>2</v>
      </c>
      <c r="I164" t="s">
        <v>1269</v>
      </c>
      <c r="J164">
        <v>2</v>
      </c>
      <c r="K164" t="s">
        <v>1181</v>
      </c>
      <c r="L164">
        <v>3</v>
      </c>
      <c r="M164" t="s">
        <v>1103</v>
      </c>
      <c r="N164">
        <v>5</v>
      </c>
      <c r="O164">
        <v>67.7</v>
      </c>
      <c r="P164">
        <v>4</v>
      </c>
      <c r="Q164" t="s">
        <v>877</v>
      </c>
      <c r="R164">
        <v>1</v>
      </c>
      <c r="S164" t="s">
        <v>992</v>
      </c>
      <c r="T164">
        <v>2</v>
      </c>
      <c r="U164" t="s">
        <v>913</v>
      </c>
      <c r="V164">
        <v>2</v>
      </c>
      <c r="W164" t="s">
        <v>1043</v>
      </c>
      <c r="X164">
        <v>2</v>
      </c>
      <c r="Y164" t="s">
        <v>1152</v>
      </c>
      <c r="Z164">
        <v>3</v>
      </c>
    </row>
    <row r="165" spans="1:26" x14ac:dyDescent="0.4">
      <c r="A165" t="s">
        <v>736</v>
      </c>
      <c r="B165" t="s">
        <v>582</v>
      </c>
      <c r="C165" t="s">
        <v>97</v>
      </c>
      <c r="D165">
        <v>3.41</v>
      </c>
      <c r="E165" t="s">
        <v>1291</v>
      </c>
      <c r="F165">
        <v>5</v>
      </c>
      <c r="G165" t="s">
        <v>1234</v>
      </c>
      <c r="H165">
        <v>4</v>
      </c>
      <c r="I165" t="s">
        <v>779</v>
      </c>
      <c r="J165">
        <v>1</v>
      </c>
      <c r="K165" t="s">
        <v>762</v>
      </c>
      <c r="L165">
        <v>5</v>
      </c>
      <c r="M165" t="s">
        <v>848</v>
      </c>
      <c r="N165">
        <v>3</v>
      </c>
      <c r="O165">
        <v>54.1</v>
      </c>
      <c r="P165">
        <v>1</v>
      </c>
      <c r="Q165" t="s">
        <v>1243</v>
      </c>
      <c r="R165">
        <v>2</v>
      </c>
      <c r="S165" t="s">
        <v>843</v>
      </c>
      <c r="T165">
        <v>2</v>
      </c>
      <c r="U165" t="s">
        <v>1196</v>
      </c>
      <c r="V165">
        <v>3</v>
      </c>
      <c r="W165" t="s">
        <v>903</v>
      </c>
      <c r="X165">
        <v>4</v>
      </c>
      <c r="Y165" t="s">
        <v>1143</v>
      </c>
      <c r="Z165">
        <v>5</v>
      </c>
    </row>
    <row r="166" spans="1:26" x14ac:dyDescent="0.4">
      <c r="A166" t="s">
        <v>746</v>
      </c>
      <c r="B166" t="s">
        <v>594</v>
      </c>
      <c r="C166" t="s">
        <v>389</v>
      </c>
      <c r="D166">
        <v>2.34</v>
      </c>
      <c r="E166" t="s">
        <v>549</v>
      </c>
      <c r="F166">
        <v>5</v>
      </c>
      <c r="G166" t="s">
        <v>895</v>
      </c>
      <c r="H166">
        <v>1</v>
      </c>
      <c r="I166" t="s">
        <v>1262</v>
      </c>
      <c r="J166">
        <v>2</v>
      </c>
      <c r="K166" t="s">
        <v>868</v>
      </c>
      <c r="L166">
        <v>3</v>
      </c>
      <c r="M166" t="s">
        <v>956</v>
      </c>
      <c r="N166">
        <v>2</v>
      </c>
      <c r="O166">
        <v>67.099999999999994</v>
      </c>
      <c r="P166">
        <v>4</v>
      </c>
      <c r="Q166" t="s">
        <v>1292</v>
      </c>
      <c r="R166">
        <v>2</v>
      </c>
      <c r="S166" t="s">
        <v>760</v>
      </c>
      <c r="T166">
        <v>3</v>
      </c>
      <c r="U166" t="s">
        <v>1083</v>
      </c>
      <c r="V166">
        <v>2</v>
      </c>
      <c r="W166" t="s">
        <v>1083</v>
      </c>
      <c r="X166">
        <v>1</v>
      </c>
      <c r="Y166" t="s">
        <v>861</v>
      </c>
      <c r="Z166">
        <v>1</v>
      </c>
    </row>
    <row r="167" spans="1:26" x14ac:dyDescent="0.4">
      <c r="A167" t="s">
        <v>757</v>
      </c>
      <c r="B167" t="s">
        <v>606</v>
      </c>
      <c r="C167" t="s">
        <v>340</v>
      </c>
      <c r="D167">
        <v>2.61</v>
      </c>
      <c r="E167" t="s">
        <v>1293</v>
      </c>
      <c r="F167">
        <v>1</v>
      </c>
      <c r="G167" t="s">
        <v>884</v>
      </c>
      <c r="H167">
        <v>1</v>
      </c>
      <c r="I167" t="s">
        <v>1294</v>
      </c>
      <c r="J167">
        <v>1</v>
      </c>
      <c r="K167" t="s">
        <v>964</v>
      </c>
      <c r="L167">
        <v>5</v>
      </c>
      <c r="M167" t="s">
        <v>809</v>
      </c>
      <c r="N167">
        <v>5</v>
      </c>
      <c r="O167">
        <v>68.7</v>
      </c>
      <c r="P167">
        <v>4</v>
      </c>
      <c r="Q167" t="s">
        <v>1273</v>
      </c>
      <c r="R167">
        <v>2</v>
      </c>
      <c r="S167" t="s">
        <v>1295</v>
      </c>
      <c r="T167">
        <v>2</v>
      </c>
      <c r="U167" t="s">
        <v>676</v>
      </c>
      <c r="V167">
        <v>2</v>
      </c>
      <c r="W167" t="s">
        <v>657</v>
      </c>
      <c r="X167">
        <v>1</v>
      </c>
      <c r="Y167" t="s">
        <v>920</v>
      </c>
      <c r="Z167">
        <v>1</v>
      </c>
    </row>
    <row r="168" spans="1:26" x14ac:dyDescent="0.4">
      <c r="A168" t="s">
        <v>765</v>
      </c>
      <c r="B168" t="s">
        <v>618</v>
      </c>
      <c r="C168" t="s">
        <v>193</v>
      </c>
      <c r="D168">
        <v>3.08</v>
      </c>
      <c r="E168" t="s">
        <v>1296</v>
      </c>
      <c r="F168">
        <v>2</v>
      </c>
      <c r="G168" t="s">
        <v>674</v>
      </c>
      <c r="H168">
        <v>1</v>
      </c>
      <c r="I168" t="s">
        <v>1297</v>
      </c>
      <c r="J168">
        <v>3</v>
      </c>
      <c r="K168" t="s">
        <v>1170</v>
      </c>
      <c r="L168">
        <v>5</v>
      </c>
      <c r="M168" t="s">
        <v>1255</v>
      </c>
      <c r="N168">
        <v>4</v>
      </c>
      <c r="O168">
        <v>67.599999999999994</v>
      </c>
      <c r="P168">
        <v>4</v>
      </c>
      <c r="Q168" t="s">
        <v>1096</v>
      </c>
      <c r="R168">
        <v>2</v>
      </c>
      <c r="S168" t="s">
        <v>1194</v>
      </c>
      <c r="T168">
        <v>3</v>
      </c>
      <c r="U168" t="s">
        <v>1044</v>
      </c>
      <c r="V168">
        <v>2</v>
      </c>
      <c r="W168" t="s">
        <v>975</v>
      </c>
      <c r="X168">
        <v>5</v>
      </c>
      <c r="Y168" t="s">
        <v>929</v>
      </c>
      <c r="Z168">
        <v>1</v>
      </c>
    </row>
    <row r="169" spans="1:26" x14ac:dyDescent="0.4">
      <c r="A169" t="s">
        <v>775</v>
      </c>
      <c r="B169" t="s">
        <v>628</v>
      </c>
      <c r="C169" t="s">
        <v>164</v>
      </c>
      <c r="D169">
        <v>3.18</v>
      </c>
      <c r="E169" t="s">
        <v>1298</v>
      </c>
      <c r="F169">
        <v>3</v>
      </c>
      <c r="G169" t="s">
        <v>622</v>
      </c>
      <c r="H169">
        <v>1</v>
      </c>
      <c r="I169" t="s">
        <v>1217</v>
      </c>
      <c r="J169">
        <v>2</v>
      </c>
      <c r="K169" t="s">
        <v>553</v>
      </c>
      <c r="L169">
        <v>5</v>
      </c>
      <c r="M169" t="s">
        <v>1218</v>
      </c>
      <c r="N169">
        <v>5</v>
      </c>
      <c r="O169">
        <v>58.4</v>
      </c>
      <c r="P169">
        <v>2</v>
      </c>
      <c r="Q169" t="s">
        <v>695</v>
      </c>
      <c r="R169">
        <v>4</v>
      </c>
      <c r="S169" t="s">
        <v>1031</v>
      </c>
      <c r="T169">
        <v>3</v>
      </c>
      <c r="U169" t="s">
        <v>1143</v>
      </c>
      <c r="V169">
        <v>4</v>
      </c>
      <c r="W169" t="s">
        <v>846</v>
      </c>
      <c r="X169">
        <v>1</v>
      </c>
      <c r="Y169" t="s">
        <v>1102</v>
      </c>
      <c r="Z169">
        <v>4</v>
      </c>
    </row>
    <row r="170" spans="1:26" x14ac:dyDescent="0.4">
      <c r="A170" t="s">
        <v>785</v>
      </c>
      <c r="B170" t="s">
        <v>638</v>
      </c>
      <c r="C170" t="s">
        <v>88</v>
      </c>
      <c r="D170">
        <v>3.46</v>
      </c>
      <c r="E170" t="s">
        <v>1299</v>
      </c>
      <c r="F170">
        <v>5</v>
      </c>
      <c r="G170" t="s">
        <v>676</v>
      </c>
      <c r="H170">
        <v>1</v>
      </c>
      <c r="I170" t="s">
        <v>597</v>
      </c>
      <c r="J170">
        <v>3</v>
      </c>
      <c r="K170" t="s">
        <v>1022</v>
      </c>
      <c r="L170">
        <v>5</v>
      </c>
      <c r="M170" t="s">
        <v>596</v>
      </c>
      <c r="N170">
        <v>5</v>
      </c>
      <c r="O170">
        <v>76.8</v>
      </c>
      <c r="P170">
        <v>5</v>
      </c>
      <c r="Q170" t="s">
        <v>672</v>
      </c>
      <c r="R170">
        <v>3</v>
      </c>
      <c r="S170" t="s">
        <v>1075</v>
      </c>
      <c r="T170">
        <v>3</v>
      </c>
      <c r="U170" t="s">
        <v>1300</v>
      </c>
      <c r="V170">
        <v>2</v>
      </c>
      <c r="W170" t="s">
        <v>676</v>
      </c>
      <c r="X170">
        <v>1</v>
      </c>
      <c r="Y170" t="s">
        <v>686</v>
      </c>
      <c r="Z170">
        <v>3</v>
      </c>
    </row>
    <row r="171" spans="1:26" x14ac:dyDescent="0.4">
      <c r="A171" t="s">
        <v>796</v>
      </c>
      <c r="B171" t="s">
        <v>649</v>
      </c>
      <c r="C171" t="s">
        <v>43</v>
      </c>
      <c r="D171">
        <v>3.72</v>
      </c>
      <c r="E171" t="s">
        <v>1301</v>
      </c>
      <c r="F171">
        <v>5</v>
      </c>
      <c r="G171" t="s">
        <v>1058</v>
      </c>
      <c r="H171">
        <v>5</v>
      </c>
      <c r="I171" t="s">
        <v>691</v>
      </c>
      <c r="J171">
        <v>2</v>
      </c>
      <c r="K171" t="s">
        <v>701</v>
      </c>
      <c r="L171">
        <v>5</v>
      </c>
      <c r="M171" t="s">
        <v>929</v>
      </c>
      <c r="N171">
        <v>4</v>
      </c>
      <c r="O171">
        <v>60.4</v>
      </c>
      <c r="P171">
        <v>2</v>
      </c>
      <c r="Q171" t="s">
        <v>663</v>
      </c>
      <c r="R171">
        <v>1</v>
      </c>
      <c r="S171" t="s">
        <v>778</v>
      </c>
      <c r="T171">
        <v>2</v>
      </c>
      <c r="U171" t="s">
        <v>1072</v>
      </c>
      <c r="V171">
        <v>2</v>
      </c>
      <c r="W171" t="s">
        <v>949</v>
      </c>
      <c r="X171">
        <v>5</v>
      </c>
      <c r="Y171" t="s">
        <v>690</v>
      </c>
      <c r="Z171">
        <v>4</v>
      </c>
    </row>
    <row r="172" spans="1:26" x14ac:dyDescent="0.4">
      <c r="A172" t="s">
        <v>804</v>
      </c>
      <c r="B172" t="s">
        <v>659</v>
      </c>
      <c r="C172" t="s">
        <v>205</v>
      </c>
      <c r="D172">
        <v>3.05</v>
      </c>
      <c r="E172" t="s">
        <v>1302</v>
      </c>
      <c r="F172">
        <v>5</v>
      </c>
      <c r="G172" t="s">
        <v>613</v>
      </c>
      <c r="H172">
        <v>4</v>
      </c>
      <c r="I172" t="s">
        <v>989</v>
      </c>
      <c r="J172">
        <v>1</v>
      </c>
      <c r="K172" t="s">
        <v>794</v>
      </c>
      <c r="L172">
        <v>4</v>
      </c>
      <c r="M172" t="s">
        <v>1164</v>
      </c>
      <c r="N172">
        <v>5</v>
      </c>
      <c r="O172">
        <v>52.8</v>
      </c>
      <c r="P172">
        <v>1</v>
      </c>
      <c r="Q172" t="s">
        <v>862</v>
      </c>
      <c r="R172">
        <v>3</v>
      </c>
      <c r="S172" t="s">
        <v>562</v>
      </c>
      <c r="T172">
        <v>3</v>
      </c>
      <c r="U172" t="s">
        <v>622</v>
      </c>
      <c r="V172">
        <v>1</v>
      </c>
      <c r="W172" t="s">
        <v>1043</v>
      </c>
      <c r="X172">
        <v>2</v>
      </c>
      <c r="Y172" t="s">
        <v>915</v>
      </c>
      <c r="Z172">
        <v>2</v>
      </c>
    </row>
    <row r="173" spans="1:26" x14ac:dyDescent="0.4">
      <c r="A173" t="s">
        <v>814</v>
      </c>
      <c r="B173" t="s">
        <v>669</v>
      </c>
      <c r="C173" t="s">
        <v>221</v>
      </c>
      <c r="D173">
        <v>3.02</v>
      </c>
      <c r="E173" t="s">
        <v>1303</v>
      </c>
      <c r="F173">
        <v>5</v>
      </c>
      <c r="G173" t="s">
        <v>1121</v>
      </c>
      <c r="H173">
        <v>3</v>
      </c>
      <c r="I173" t="s">
        <v>1021</v>
      </c>
      <c r="J173">
        <v>2</v>
      </c>
      <c r="K173" t="s">
        <v>724</v>
      </c>
      <c r="L173">
        <v>5</v>
      </c>
      <c r="M173" t="s">
        <v>1073</v>
      </c>
      <c r="N173">
        <v>1</v>
      </c>
      <c r="O173">
        <v>66.8</v>
      </c>
      <c r="P173">
        <v>4</v>
      </c>
      <c r="Q173" t="s">
        <v>1253</v>
      </c>
      <c r="R173">
        <v>4</v>
      </c>
      <c r="S173" t="s">
        <v>873</v>
      </c>
      <c r="T173">
        <v>3</v>
      </c>
      <c r="U173" t="s">
        <v>633</v>
      </c>
      <c r="V173">
        <v>2</v>
      </c>
      <c r="W173" t="s">
        <v>1273</v>
      </c>
      <c r="X173">
        <v>1</v>
      </c>
      <c r="Y173" t="s">
        <v>782</v>
      </c>
      <c r="Z173">
        <v>3</v>
      </c>
    </row>
    <row r="174" spans="1:26" x14ac:dyDescent="0.4">
      <c r="A174" t="s">
        <v>822</v>
      </c>
      <c r="B174" t="s">
        <v>679</v>
      </c>
      <c r="C174" t="s">
        <v>359</v>
      </c>
      <c r="D174">
        <v>2.5299999999999998</v>
      </c>
      <c r="E174" t="s">
        <v>1304</v>
      </c>
      <c r="F174">
        <v>2</v>
      </c>
      <c r="G174" t="s">
        <v>672</v>
      </c>
      <c r="H174">
        <v>2</v>
      </c>
      <c r="I174" t="s">
        <v>1118</v>
      </c>
      <c r="J174">
        <v>3</v>
      </c>
      <c r="K174" t="s">
        <v>975</v>
      </c>
      <c r="L174">
        <v>5</v>
      </c>
      <c r="M174" t="s">
        <v>1073</v>
      </c>
      <c r="N174">
        <v>1</v>
      </c>
      <c r="O174">
        <v>68.099999999999994</v>
      </c>
      <c r="P174">
        <v>4</v>
      </c>
      <c r="Q174" t="s">
        <v>1305</v>
      </c>
      <c r="R174">
        <v>1</v>
      </c>
      <c r="S174" t="s">
        <v>837</v>
      </c>
      <c r="T174">
        <v>1</v>
      </c>
      <c r="U174" t="s">
        <v>1089</v>
      </c>
      <c r="V174">
        <v>3</v>
      </c>
      <c r="W174" t="s">
        <v>657</v>
      </c>
      <c r="X174">
        <v>1</v>
      </c>
      <c r="Y174" t="s">
        <v>1146</v>
      </c>
      <c r="Z174">
        <v>3</v>
      </c>
    </row>
    <row r="175" spans="1:26" x14ac:dyDescent="0.4">
      <c r="A175" t="s">
        <v>831</v>
      </c>
      <c r="B175" t="s">
        <v>688</v>
      </c>
      <c r="C175" t="s">
        <v>345</v>
      </c>
      <c r="D175">
        <v>2.6</v>
      </c>
      <c r="E175" t="s">
        <v>833</v>
      </c>
      <c r="F175">
        <v>1</v>
      </c>
      <c r="G175" t="s">
        <v>890</v>
      </c>
      <c r="H175">
        <v>2</v>
      </c>
      <c r="I175" t="s">
        <v>1306</v>
      </c>
      <c r="J175">
        <v>1</v>
      </c>
      <c r="K175" t="s">
        <v>580</v>
      </c>
      <c r="L175">
        <v>5</v>
      </c>
      <c r="M175" t="s">
        <v>801</v>
      </c>
      <c r="N175">
        <v>4</v>
      </c>
      <c r="O175">
        <v>53.8</v>
      </c>
      <c r="P175">
        <v>1</v>
      </c>
      <c r="Q175" t="s">
        <v>942</v>
      </c>
      <c r="R175">
        <v>3</v>
      </c>
      <c r="S175" t="s">
        <v>656</v>
      </c>
      <c r="T175">
        <v>2</v>
      </c>
      <c r="U175" t="s">
        <v>1112</v>
      </c>
      <c r="V175">
        <v>2</v>
      </c>
      <c r="W175" t="s">
        <v>890</v>
      </c>
      <c r="X175">
        <v>2</v>
      </c>
      <c r="Y175" t="s">
        <v>732</v>
      </c>
      <c r="Z175">
        <v>3</v>
      </c>
    </row>
    <row r="176" spans="1:26" x14ac:dyDescent="0.4">
      <c r="A176" t="s">
        <v>547</v>
      </c>
      <c r="B176" t="s">
        <v>699</v>
      </c>
      <c r="C176" t="s">
        <v>331</v>
      </c>
      <c r="D176">
        <v>2.66</v>
      </c>
      <c r="E176" t="s">
        <v>1307</v>
      </c>
      <c r="F176">
        <v>4</v>
      </c>
      <c r="G176" t="s">
        <v>978</v>
      </c>
      <c r="H176">
        <v>1</v>
      </c>
      <c r="I176" t="s">
        <v>1021</v>
      </c>
      <c r="J176">
        <v>2</v>
      </c>
      <c r="K176" t="s">
        <v>693</v>
      </c>
      <c r="L176">
        <v>1</v>
      </c>
      <c r="M176" t="s">
        <v>610</v>
      </c>
      <c r="N176">
        <v>5</v>
      </c>
      <c r="O176">
        <v>70</v>
      </c>
      <c r="P176">
        <v>5</v>
      </c>
      <c r="Q176" t="s">
        <v>1157</v>
      </c>
      <c r="R176">
        <v>2</v>
      </c>
      <c r="S176" t="s">
        <v>975</v>
      </c>
      <c r="T176">
        <v>4</v>
      </c>
      <c r="U176" t="s">
        <v>957</v>
      </c>
      <c r="V176">
        <v>2</v>
      </c>
      <c r="W176" t="s">
        <v>1308</v>
      </c>
      <c r="X176">
        <v>1</v>
      </c>
      <c r="Y176" t="s">
        <v>636</v>
      </c>
      <c r="Z176">
        <v>2</v>
      </c>
    </row>
    <row r="177" spans="1:26" x14ac:dyDescent="0.4">
      <c r="A177" t="s">
        <v>559</v>
      </c>
      <c r="B177" t="s">
        <v>707</v>
      </c>
      <c r="C177" t="s">
        <v>248</v>
      </c>
      <c r="D177">
        <v>2.93</v>
      </c>
      <c r="E177" t="s">
        <v>1309</v>
      </c>
      <c r="F177">
        <v>5</v>
      </c>
      <c r="G177" t="s">
        <v>844</v>
      </c>
      <c r="H177">
        <v>1</v>
      </c>
      <c r="I177" t="s">
        <v>1310</v>
      </c>
      <c r="J177">
        <v>5</v>
      </c>
      <c r="K177" t="s">
        <v>800</v>
      </c>
      <c r="L177">
        <v>1</v>
      </c>
      <c r="M177" t="s">
        <v>1190</v>
      </c>
      <c r="N177">
        <v>4</v>
      </c>
      <c r="O177">
        <v>61.4</v>
      </c>
      <c r="P177">
        <v>3</v>
      </c>
      <c r="Q177" t="s">
        <v>1010</v>
      </c>
      <c r="R177">
        <v>2</v>
      </c>
      <c r="S177" t="s">
        <v>1311</v>
      </c>
      <c r="T177">
        <v>4</v>
      </c>
      <c r="U177" t="s">
        <v>972</v>
      </c>
      <c r="V177">
        <v>2</v>
      </c>
      <c r="W177" t="s">
        <v>666</v>
      </c>
      <c r="X177">
        <v>4</v>
      </c>
      <c r="Y177" t="s">
        <v>1196</v>
      </c>
      <c r="Z177">
        <v>3</v>
      </c>
    </row>
    <row r="178" spans="1:26" x14ac:dyDescent="0.4">
      <c r="A178" t="s">
        <v>569</v>
      </c>
      <c r="B178" t="s">
        <v>717</v>
      </c>
      <c r="C178" t="s">
        <v>321</v>
      </c>
      <c r="D178">
        <v>2.7</v>
      </c>
      <c r="E178" t="s">
        <v>1312</v>
      </c>
      <c r="F178">
        <v>3</v>
      </c>
      <c r="G178" t="s">
        <v>1313</v>
      </c>
      <c r="H178">
        <v>1</v>
      </c>
      <c r="I178" t="s">
        <v>789</v>
      </c>
      <c r="J178">
        <v>3</v>
      </c>
      <c r="K178" t="s">
        <v>732</v>
      </c>
      <c r="L178">
        <v>5</v>
      </c>
      <c r="M178" t="s">
        <v>654</v>
      </c>
      <c r="N178">
        <v>5</v>
      </c>
      <c r="O178">
        <v>54.2</v>
      </c>
      <c r="P178">
        <v>1</v>
      </c>
      <c r="Q178" t="s">
        <v>674</v>
      </c>
      <c r="R178">
        <v>2</v>
      </c>
      <c r="S178" t="s">
        <v>1209</v>
      </c>
      <c r="T178">
        <v>3</v>
      </c>
      <c r="U178" t="s">
        <v>1096</v>
      </c>
      <c r="V178">
        <v>2</v>
      </c>
      <c r="W178" t="s">
        <v>1003</v>
      </c>
      <c r="X178">
        <v>2</v>
      </c>
      <c r="Y178" t="s">
        <v>622</v>
      </c>
      <c r="Z178">
        <v>1</v>
      </c>
    </row>
    <row r="179" spans="1:26" x14ac:dyDescent="0.4">
      <c r="A179" t="s">
        <v>581</v>
      </c>
      <c r="B179" t="s">
        <v>729</v>
      </c>
      <c r="C179" t="s">
        <v>242</v>
      </c>
      <c r="D179">
        <v>2.95</v>
      </c>
      <c r="E179" t="s">
        <v>1314</v>
      </c>
      <c r="F179">
        <v>5</v>
      </c>
      <c r="G179" t="s">
        <v>1104</v>
      </c>
      <c r="H179">
        <v>1</v>
      </c>
      <c r="I179" t="s">
        <v>1315</v>
      </c>
      <c r="J179">
        <v>3</v>
      </c>
      <c r="K179" t="s">
        <v>997</v>
      </c>
      <c r="L179">
        <v>5</v>
      </c>
      <c r="M179" t="s">
        <v>1244</v>
      </c>
      <c r="N179">
        <v>1</v>
      </c>
      <c r="O179">
        <v>67.5</v>
      </c>
      <c r="P179">
        <v>4</v>
      </c>
      <c r="Q179" t="s">
        <v>780</v>
      </c>
      <c r="R179">
        <v>4</v>
      </c>
      <c r="S179" t="s">
        <v>1003</v>
      </c>
      <c r="T179">
        <v>2</v>
      </c>
      <c r="U179" t="s">
        <v>662</v>
      </c>
      <c r="V179">
        <v>2</v>
      </c>
      <c r="W179" t="s">
        <v>1188</v>
      </c>
      <c r="X179">
        <v>5</v>
      </c>
      <c r="Y179" t="s">
        <v>826</v>
      </c>
      <c r="Z179">
        <v>1</v>
      </c>
    </row>
    <row r="180" spans="1:26" x14ac:dyDescent="0.4">
      <c r="A180" t="s">
        <v>593</v>
      </c>
      <c r="B180" t="s">
        <v>737</v>
      </c>
      <c r="C180" t="s">
        <v>265</v>
      </c>
      <c r="D180">
        <v>2.89</v>
      </c>
      <c r="E180" t="s">
        <v>1316</v>
      </c>
      <c r="F180">
        <v>5</v>
      </c>
      <c r="G180" t="s">
        <v>1317</v>
      </c>
      <c r="H180">
        <v>1</v>
      </c>
      <c r="I180" t="s">
        <v>1318</v>
      </c>
      <c r="J180">
        <v>2</v>
      </c>
      <c r="K180" t="s">
        <v>715</v>
      </c>
      <c r="L180">
        <v>5</v>
      </c>
      <c r="M180" t="s">
        <v>1205</v>
      </c>
      <c r="N180">
        <v>3</v>
      </c>
      <c r="O180">
        <v>62.2</v>
      </c>
      <c r="P180">
        <v>3</v>
      </c>
      <c r="Q180" t="s">
        <v>1251</v>
      </c>
      <c r="R180">
        <v>2</v>
      </c>
      <c r="S180" t="s">
        <v>899</v>
      </c>
      <c r="T180">
        <v>3</v>
      </c>
      <c r="U180" t="s">
        <v>1137</v>
      </c>
      <c r="V180">
        <v>3</v>
      </c>
      <c r="W180" t="s">
        <v>899</v>
      </c>
      <c r="X180">
        <v>3</v>
      </c>
      <c r="Y180" t="s">
        <v>800</v>
      </c>
      <c r="Z180">
        <v>1</v>
      </c>
    </row>
    <row r="181" spans="1:26" x14ac:dyDescent="0.4">
      <c r="A181" t="s">
        <v>605</v>
      </c>
      <c r="B181" t="s">
        <v>747</v>
      </c>
      <c r="C181" t="s">
        <v>57</v>
      </c>
      <c r="D181">
        <v>3.61</v>
      </c>
      <c r="E181" t="s">
        <v>1319</v>
      </c>
      <c r="F181">
        <v>4</v>
      </c>
      <c r="G181" t="s">
        <v>763</v>
      </c>
      <c r="H181">
        <v>4</v>
      </c>
      <c r="I181" t="s">
        <v>1237</v>
      </c>
      <c r="J181">
        <v>4</v>
      </c>
      <c r="K181" t="s">
        <v>675</v>
      </c>
      <c r="L181">
        <v>5</v>
      </c>
      <c r="M181" t="s">
        <v>654</v>
      </c>
      <c r="N181">
        <v>5</v>
      </c>
      <c r="O181">
        <v>63.1</v>
      </c>
      <c r="P181">
        <v>3</v>
      </c>
      <c r="Q181" t="s">
        <v>984</v>
      </c>
      <c r="R181">
        <v>2</v>
      </c>
      <c r="S181" t="s">
        <v>819</v>
      </c>
      <c r="T181">
        <v>1</v>
      </c>
      <c r="U181" t="s">
        <v>956</v>
      </c>
      <c r="V181">
        <v>2</v>
      </c>
      <c r="W181" t="s">
        <v>772</v>
      </c>
      <c r="X181">
        <v>3</v>
      </c>
      <c r="Y181" t="s">
        <v>810</v>
      </c>
      <c r="Z181">
        <v>3</v>
      </c>
    </row>
    <row r="182" spans="1:26" x14ac:dyDescent="0.4">
      <c r="A182" t="s">
        <v>617</v>
      </c>
      <c r="B182" t="s">
        <v>758</v>
      </c>
      <c r="C182" t="s">
        <v>405</v>
      </c>
      <c r="D182">
        <v>2.1800000000000002</v>
      </c>
      <c r="E182" t="s">
        <v>1320</v>
      </c>
      <c r="F182">
        <v>5</v>
      </c>
      <c r="G182" t="s">
        <v>1061</v>
      </c>
      <c r="H182">
        <v>5</v>
      </c>
      <c r="I182" t="s">
        <v>731</v>
      </c>
      <c r="J182">
        <v>3</v>
      </c>
      <c r="K182" t="s">
        <v>877</v>
      </c>
      <c r="L182">
        <v>1</v>
      </c>
      <c r="M182" t="s">
        <v>958</v>
      </c>
      <c r="N182">
        <v>1</v>
      </c>
      <c r="O182">
        <v>52.9</v>
      </c>
      <c r="P182">
        <v>1</v>
      </c>
      <c r="Q182" t="s">
        <v>1321</v>
      </c>
      <c r="R182">
        <v>3</v>
      </c>
      <c r="S182" t="s">
        <v>882</v>
      </c>
      <c r="T182">
        <v>3</v>
      </c>
      <c r="U182" t="s">
        <v>1317</v>
      </c>
      <c r="V182">
        <v>2</v>
      </c>
      <c r="W182" t="s">
        <v>567</v>
      </c>
      <c r="X182">
        <v>1</v>
      </c>
      <c r="Y182" t="s">
        <v>1139</v>
      </c>
      <c r="Z182">
        <v>1</v>
      </c>
    </row>
    <row r="183" spans="1:26" x14ac:dyDescent="0.4">
      <c r="A183" t="s">
        <v>627</v>
      </c>
      <c r="B183" t="s">
        <v>766</v>
      </c>
      <c r="C183" t="s">
        <v>10</v>
      </c>
      <c r="D183">
        <v>3.97</v>
      </c>
      <c r="E183" t="s">
        <v>1322</v>
      </c>
      <c r="F183">
        <v>4</v>
      </c>
      <c r="G183" t="s">
        <v>701</v>
      </c>
      <c r="H183">
        <v>5</v>
      </c>
      <c r="I183" t="s">
        <v>1125</v>
      </c>
      <c r="J183">
        <v>2</v>
      </c>
      <c r="K183" t="s">
        <v>780</v>
      </c>
      <c r="L183">
        <v>5</v>
      </c>
      <c r="M183" t="s">
        <v>803</v>
      </c>
      <c r="N183">
        <v>5</v>
      </c>
      <c r="O183">
        <v>76.7</v>
      </c>
      <c r="P183">
        <v>5</v>
      </c>
      <c r="Q183" t="s">
        <v>1161</v>
      </c>
      <c r="R183">
        <v>2</v>
      </c>
      <c r="S183" t="s">
        <v>647</v>
      </c>
      <c r="T183">
        <v>3</v>
      </c>
      <c r="U183" t="s">
        <v>553</v>
      </c>
      <c r="V183">
        <v>3</v>
      </c>
      <c r="W183" t="s">
        <v>695</v>
      </c>
      <c r="X183">
        <v>5</v>
      </c>
      <c r="Y183" t="s">
        <v>685</v>
      </c>
      <c r="Z183">
        <v>1</v>
      </c>
    </row>
    <row r="184" spans="1:26" x14ac:dyDescent="0.4">
      <c r="A184" t="s">
        <v>637</v>
      </c>
      <c r="B184" t="s">
        <v>776</v>
      </c>
      <c r="C184" t="s">
        <v>75</v>
      </c>
      <c r="D184">
        <v>3.52</v>
      </c>
      <c r="E184" t="s">
        <v>1323</v>
      </c>
      <c r="F184">
        <v>5</v>
      </c>
      <c r="G184" t="s">
        <v>686</v>
      </c>
      <c r="H184">
        <v>4</v>
      </c>
      <c r="I184" t="s">
        <v>1324</v>
      </c>
      <c r="J184">
        <v>3</v>
      </c>
      <c r="K184" t="s">
        <v>684</v>
      </c>
      <c r="L184">
        <v>5</v>
      </c>
      <c r="M184" t="s">
        <v>610</v>
      </c>
      <c r="N184">
        <v>5</v>
      </c>
      <c r="O184">
        <v>57.7</v>
      </c>
      <c r="P184">
        <v>2</v>
      </c>
      <c r="Q184" t="s">
        <v>956</v>
      </c>
      <c r="R184">
        <v>2</v>
      </c>
      <c r="S184" t="s">
        <v>1009</v>
      </c>
      <c r="T184">
        <v>2</v>
      </c>
      <c r="U184" t="s">
        <v>1164</v>
      </c>
      <c r="V184">
        <v>3</v>
      </c>
      <c r="W184" t="s">
        <v>1058</v>
      </c>
      <c r="X184">
        <v>4</v>
      </c>
      <c r="Y184" t="s">
        <v>612</v>
      </c>
      <c r="Z184">
        <v>1</v>
      </c>
    </row>
    <row r="185" spans="1:26" x14ac:dyDescent="0.4">
      <c r="A185" t="s">
        <v>648</v>
      </c>
      <c r="B185" t="s">
        <v>786</v>
      </c>
      <c r="C185" t="s">
        <v>123</v>
      </c>
      <c r="D185">
        <v>3.3</v>
      </c>
      <c r="E185" t="s">
        <v>1325</v>
      </c>
      <c r="F185">
        <v>4</v>
      </c>
      <c r="G185" t="s">
        <v>1119</v>
      </c>
      <c r="H185">
        <v>2</v>
      </c>
      <c r="I185" t="s">
        <v>1326</v>
      </c>
      <c r="J185">
        <v>1</v>
      </c>
      <c r="K185" t="s">
        <v>892</v>
      </c>
      <c r="L185">
        <v>5</v>
      </c>
      <c r="M185" t="s">
        <v>1177</v>
      </c>
      <c r="N185">
        <v>4</v>
      </c>
      <c r="O185">
        <v>64.099999999999994</v>
      </c>
      <c r="P185">
        <v>4</v>
      </c>
      <c r="Q185" t="s">
        <v>745</v>
      </c>
      <c r="R185">
        <v>2</v>
      </c>
      <c r="S185" t="s">
        <v>664</v>
      </c>
      <c r="T185">
        <v>3</v>
      </c>
      <c r="U185" t="s">
        <v>939</v>
      </c>
      <c r="V185">
        <v>3</v>
      </c>
      <c r="W185" t="s">
        <v>701</v>
      </c>
      <c r="X185">
        <v>5</v>
      </c>
      <c r="Y185" t="s">
        <v>987</v>
      </c>
      <c r="Z185">
        <v>1</v>
      </c>
    </row>
    <row r="186" spans="1:26" x14ac:dyDescent="0.4">
      <c r="A186" t="s">
        <v>658</v>
      </c>
      <c r="B186" t="s">
        <v>797</v>
      </c>
      <c r="C186" t="s">
        <v>58</v>
      </c>
      <c r="D186">
        <v>3.61</v>
      </c>
      <c r="E186" t="s">
        <v>1327</v>
      </c>
      <c r="F186">
        <v>5</v>
      </c>
      <c r="G186" t="s">
        <v>572</v>
      </c>
      <c r="H186">
        <v>1</v>
      </c>
      <c r="I186" t="s">
        <v>1328</v>
      </c>
      <c r="J186">
        <v>5</v>
      </c>
      <c r="K186" t="s">
        <v>1329</v>
      </c>
      <c r="L186">
        <v>5</v>
      </c>
      <c r="M186" t="s">
        <v>1255</v>
      </c>
      <c r="N186">
        <v>4</v>
      </c>
      <c r="O186">
        <v>67.599999999999994</v>
      </c>
      <c r="P186">
        <v>4</v>
      </c>
      <c r="Q186" t="s">
        <v>552</v>
      </c>
      <c r="R186">
        <v>3</v>
      </c>
      <c r="S186" t="s">
        <v>869</v>
      </c>
      <c r="T186">
        <v>3</v>
      </c>
      <c r="U186" t="s">
        <v>558</v>
      </c>
      <c r="V186">
        <v>2</v>
      </c>
      <c r="W186" t="s">
        <v>836</v>
      </c>
      <c r="X186">
        <v>3</v>
      </c>
      <c r="Y186" t="s">
        <v>550</v>
      </c>
      <c r="Z186">
        <v>4</v>
      </c>
    </row>
    <row r="187" spans="1:26" x14ac:dyDescent="0.4">
      <c r="A187" t="s">
        <v>668</v>
      </c>
      <c r="B187" t="s">
        <v>805</v>
      </c>
      <c r="C187" t="s">
        <v>341</v>
      </c>
      <c r="D187">
        <v>2.61</v>
      </c>
      <c r="E187" t="s">
        <v>1330</v>
      </c>
      <c r="F187">
        <v>5</v>
      </c>
      <c r="G187" t="s">
        <v>998</v>
      </c>
      <c r="H187">
        <v>4</v>
      </c>
      <c r="I187" t="s">
        <v>1331</v>
      </c>
      <c r="J187">
        <v>2</v>
      </c>
      <c r="K187" t="s">
        <v>665</v>
      </c>
      <c r="L187">
        <v>5</v>
      </c>
      <c r="M187" t="s">
        <v>744</v>
      </c>
      <c r="N187">
        <v>1</v>
      </c>
      <c r="O187">
        <v>52.7</v>
      </c>
      <c r="P187">
        <v>1</v>
      </c>
      <c r="Q187" t="s">
        <v>951</v>
      </c>
      <c r="R187">
        <v>4</v>
      </c>
      <c r="S187" t="s">
        <v>577</v>
      </c>
      <c r="T187">
        <v>3</v>
      </c>
      <c r="U187" t="s">
        <v>1123</v>
      </c>
      <c r="V187">
        <v>2</v>
      </c>
      <c r="W187" t="s">
        <v>987</v>
      </c>
      <c r="X187">
        <v>1</v>
      </c>
      <c r="Y187" t="s">
        <v>1161</v>
      </c>
      <c r="Z187">
        <v>1</v>
      </c>
    </row>
    <row r="188" spans="1:26" x14ac:dyDescent="0.4">
      <c r="A188" t="s">
        <v>678</v>
      </c>
      <c r="B188" t="s">
        <v>815</v>
      </c>
      <c r="C188" t="s">
        <v>293</v>
      </c>
      <c r="D188">
        <v>2.79</v>
      </c>
      <c r="E188" t="s">
        <v>1332</v>
      </c>
      <c r="F188">
        <v>5</v>
      </c>
      <c r="G188" t="s">
        <v>1044</v>
      </c>
      <c r="H188">
        <v>1</v>
      </c>
      <c r="I188" t="s">
        <v>1131</v>
      </c>
      <c r="J188">
        <v>4</v>
      </c>
      <c r="K188" t="s">
        <v>854</v>
      </c>
      <c r="L188">
        <v>2</v>
      </c>
      <c r="M188" t="s">
        <v>625</v>
      </c>
      <c r="N188">
        <v>2</v>
      </c>
      <c r="O188">
        <v>58.4</v>
      </c>
      <c r="P188">
        <v>2</v>
      </c>
      <c r="Q188" t="s">
        <v>923</v>
      </c>
      <c r="R188">
        <v>3</v>
      </c>
      <c r="S188" t="s">
        <v>992</v>
      </c>
      <c r="T188">
        <v>2</v>
      </c>
      <c r="U188" t="s">
        <v>802</v>
      </c>
      <c r="V188">
        <v>4</v>
      </c>
      <c r="W188" t="s">
        <v>577</v>
      </c>
      <c r="X188">
        <v>4</v>
      </c>
      <c r="Y188" t="s">
        <v>830</v>
      </c>
      <c r="Z188">
        <v>4</v>
      </c>
    </row>
    <row r="189" spans="1:26" x14ac:dyDescent="0.4">
      <c r="A189" t="s">
        <v>687</v>
      </c>
      <c r="B189" t="s">
        <v>823</v>
      </c>
      <c r="C189" t="s">
        <v>378</v>
      </c>
      <c r="D189">
        <v>2.4300000000000002</v>
      </c>
      <c r="E189" t="s">
        <v>1312</v>
      </c>
      <c r="F189">
        <v>3</v>
      </c>
      <c r="G189" t="s">
        <v>726</v>
      </c>
      <c r="H189">
        <v>2</v>
      </c>
      <c r="I189" t="s">
        <v>1333</v>
      </c>
      <c r="J189">
        <v>2</v>
      </c>
      <c r="K189" t="s">
        <v>1077</v>
      </c>
      <c r="L189">
        <v>3</v>
      </c>
      <c r="M189" t="s">
        <v>633</v>
      </c>
      <c r="N189">
        <v>5</v>
      </c>
      <c r="O189">
        <v>53.2</v>
      </c>
      <c r="P189">
        <v>1</v>
      </c>
      <c r="Q189" t="s">
        <v>1111</v>
      </c>
      <c r="R189">
        <v>2</v>
      </c>
      <c r="S189" t="s">
        <v>636</v>
      </c>
      <c r="T189">
        <v>2</v>
      </c>
      <c r="U189" t="s">
        <v>1037</v>
      </c>
      <c r="V189">
        <v>2</v>
      </c>
      <c r="W189" t="s">
        <v>681</v>
      </c>
      <c r="X189">
        <v>2</v>
      </c>
      <c r="Y189" t="s">
        <v>956</v>
      </c>
      <c r="Z189">
        <v>1</v>
      </c>
    </row>
    <row r="190" spans="1:26" x14ac:dyDescent="0.4">
      <c r="A190" t="s">
        <v>698</v>
      </c>
      <c r="B190" t="s">
        <v>832</v>
      </c>
      <c r="C190" t="s">
        <v>393</v>
      </c>
      <c r="D190">
        <v>2.31</v>
      </c>
      <c r="E190" t="s">
        <v>629</v>
      </c>
      <c r="F190">
        <v>5</v>
      </c>
      <c r="G190" t="s">
        <v>651</v>
      </c>
      <c r="H190">
        <v>1</v>
      </c>
      <c r="I190" t="s">
        <v>842</v>
      </c>
      <c r="J190">
        <v>4</v>
      </c>
      <c r="K190" t="s">
        <v>1104</v>
      </c>
      <c r="L190">
        <v>1</v>
      </c>
      <c r="M190" t="s">
        <v>1099</v>
      </c>
      <c r="N190">
        <v>5</v>
      </c>
      <c r="O190">
        <v>53.8</v>
      </c>
      <c r="P190">
        <v>1</v>
      </c>
      <c r="Q190" t="s">
        <v>635</v>
      </c>
      <c r="R190">
        <v>1</v>
      </c>
      <c r="S190" t="s">
        <v>599</v>
      </c>
      <c r="T190">
        <v>1</v>
      </c>
      <c r="U190" t="s">
        <v>1156</v>
      </c>
      <c r="V190">
        <v>2</v>
      </c>
      <c r="W190" t="s">
        <v>610</v>
      </c>
      <c r="X190">
        <v>2</v>
      </c>
      <c r="Y190" t="s">
        <v>1023</v>
      </c>
      <c r="Z190">
        <v>2</v>
      </c>
    </row>
    <row r="191" spans="1:26" x14ac:dyDescent="0.4">
      <c r="A191" t="s">
        <v>706</v>
      </c>
      <c r="B191" t="s">
        <v>840</v>
      </c>
      <c r="C191" t="s">
        <v>124</v>
      </c>
      <c r="D191">
        <v>3.3</v>
      </c>
      <c r="E191" t="s">
        <v>1334</v>
      </c>
      <c r="F191">
        <v>3</v>
      </c>
      <c r="G191" t="s">
        <v>701</v>
      </c>
      <c r="H191">
        <v>5</v>
      </c>
      <c r="I191" t="s">
        <v>1167</v>
      </c>
      <c r="J191">
        <v>4</v>
      </c>
      <c r="K191" t="s">
        <v>925</v>
      </c>
      <c r="L191">
        <v>3</v>
      </c>
      <c r="M191" t="s">
        <v>1199</v>
      </c>
      <c r="N191">
        <v>5</v>
      </c>
      <c r="O191">
        <v>63.1</v>
      </c>
      <c r="P191">
        <v>3</v>
      </c>
      <c r="Q191" t="s">
        <v>756</v>
      </c>
      <c r="R191">
        <v>3</v>
      </c>
      <c r="S191" t="s">
        <v>1173</v>
      </c>
      <c r="T191">
        <v>2</v>
      </c>
      <c r="U191" t="s">
        <v>966</v>
      </c>
      <c r="V191">
        <v>1</v>
      </c>
      <c r="W191" t="s">
        <v>973</v>
      </c>
      <c r="X191">
        <v>4</v>
      </c>
      <c r="Y191" t="s">
        <v>1251</v>
      </c>
      <c r="Z191">
        <v>1</v>
      </c>
    </row>
    <row r="192" spans="1:26" x14ac:dyDescent="0.4">
      <c r="A192" t="s">
        <v>716</v>
      </c>
      <c r="B192" t="s">
        <v>849</v>
      </c>
      <c r="C192" t="s">
        <v>210</v>
      </c>
      <c r="D192">
        <v>3.04</v>
      </c>
      <c r="E192" t="s">
        <v>1335</v>
      </c>
      <c r="F192">
        <v>5</v>
      </c>
      <c r="G192" t="s">
        <v>1013</v>
      </c>
      <c r="H192">
        <v>1</v>
      </c>
      <c r="I192" t="s">
        <v>761</v>
      </c>
      <c r="J192">
        <v>1</v>
      </c>
      <c r="K192" t="s">
        <v>917</v>
      </c>
      <c r="L192">
        <v>5</v>
      </c>
      <c r="M192" t="s">
        <v>952</v>
      </c>
      <c r="N192">
        <v>4</v>
      </c>
      <c r="O192">
        <v>63.5</v>
      </c>
      <c r="P192">
        <v>3</v>
      </c>
      <c r="Q192" t="s">
        <v>1184</v>
      </c>
      <c r="R192">
        <v>2</v>
      </c>
      <c r="S192" t="s">
        <v>565</v>
      </c>
      <c r="T192">
        <v>4</v>
      </c>
      <c r="U192" t="s">
        <v>588</v>
      </c>
      <c r="V192">
        <v>3</v>
      </c>
      <c r="W192" t="s">
        <v>603</v>
      </c>
      <c r="X192">
        <v>1</v>
      </c>
      <c r="Y192" t="s">
        <v>1321</v>
      </c>
      <c r="Z192">
        <v>3</v>
      </c>
    </row>
    <row r="193" spans="1:26" x14ac:dyDescent="0.4">
      <c r="A193" t="s">
        <v>728</v>
      </c>
      <c r="B193" t="s">
        <v>858</v>
      </c>
      <c r="C193" t="s">
        <v>255</v>
      </c>
      <c r="D193">
        <v>2.91</v>
      </c>
      <c r="E193" t="s">
        <v>1336</v>
      </c>
      <c r="F193">
        <v>5</v>
      </c>
      <c r="G193" t="s">
        <v>802</v>
      </c>
      <c r="H193">
        <v>5</v>
      </c>
      <c r="I193" t="s">
        <v>671</v>
      </c>
      <c r="J193">
        <v>4</v>
      </c>
      <c r="K193" t="s">
        <v>1032</v>
      </c>
      <c r="L193">
        <v>2</v>
      </c>
      <c r="M193" t="s">
        <v>982</v>
      </c>
      <c r="N193">
        <v>1</v>
      </c>
      <c r="O193">
        <v>65.7</v>
      </c>
      <c r="P193">
        <v>4</v>
      </c>
      <c r="Q193" t="s">
        <v>735</v>
      </c>
      <c r="R193">
        <v>3</v>
      </c>
      <c r="S193" t="s">
        <v>566</v>
      </c>
      <c r="T193">
        <v>3</v>
      </c>
      <c r="U193" t="s">
        <v>913</v>
      </c>
      <c r="V193">
        <v>2</v>
      </c>
      <c r="W193" t="s">
        <v>1063</v>
      </c>
      <c r="X193">
        <v>1</v>
      </c>
      <c r="Y193" t="s">
        <v>1033</v>
      </c>
      <c r="Z193">
        <v>3</v>
      </c>
    </row>
    <row r="194" spans="1:26" x14ac:dyDescent="0.4">
      <c r="A194" t="s">
        <v>736</v>
      </c>
      <c r="B194" t="s">
        <v>865</v>
      </c>
      <c r="C194" t="s">
        <v>313</v>
      </c>
      <c r="D194">
        <v>2.72</v>
      </c>
      <c r="E194" t="s">
        <v>1337</v>
      </c>
      <c r="F194">
        <v>2</v>
      </c>
      <c r="G194" t="s">
        <v>1061</v>
      </c>
      <c r="H194">
        <v>5</v>
      </c>
      <c r="I194" t="s">
        <v>563</v>
      </c>
      <c r="J194">
        <v>4</v>
      </c>
      <c r="K194" t="s">
        <v>1044</v>
      </c>
      <c r="L194">
        <v>4</v>
      </c>
      <c r="M194" t="s">
        <v>771</v>
      </c>
      <c r="N194">
        <v>1</v>
      </c>
      <c r="O194">
        <v>56.1</v>
      </c>
      <c r="P194">
        <v>1</v>
      </c>
      <c r="Q194" t="s">
        <v>739</v>
      </c>
      <c r="R194">
        <v>4</v>
      </c>
      <c r="S194" t="s">
        <v>675</v>
      </c>
      <c r="T194">
        <v>2</v>
      </c>
      <c r="U194" t="s">
        <v>1148</v>
      </c>
      <c r="V194">
        <v>2</v>
      </c>
      <c r="W194" t="s">
        <v>1070</v>
      </c>
      <c r="X194">
        <v>1</v>
      </c>
      <c r="Y194" t="s">
        <v>891</v>
      </c>
      <c r="Z194">
        <v>4</v>
      </c>
    </row>
    <row r="195" spans="1:26" x14ac:dyDescent="0.4">
      <c r="A195" t="s">
        <v>746</v>
      </c>
      <c r="B195" t="s">
        <v>870</v>
      </c>
      <c r="C195" t="s">
        <v>83</v>
      </c>
      <c r="D195">
        <v>3.48</v>
      </c>
      <c r="E195" t="s">
        <v>1338</v>
      </c>
      <c r="F195">
        <v>2</v>
      </c>
      <c r="G195" t="s">
        <v>611</v>
      </c>
      <c r="H195">
        <v>1</v>
      </c>
      <c r="I195" t="s">
        <v>563</v>
      </c>
      <c r="J195">
        <v>4</v>
      </c>
      <c r="K195" t="s">
        <v>810</v>
      </c>
      <c r="L195">
        <v>5</v>
      </c>
      <c r="M195" t="s">
        <v>1152</v>
      </c>
      <c r="N195">
        <v>5</v>
      </c>
      <c r="O195">
        <v>67</v>
      </c>
      <c r="P195">
        <v>4</v>
      </c>
      <c r="Q195" t="s">
        <v>1142</v>
      </c>
      <c r="R195">
        <v>5</v>
      </c>
      <c r="S195" t="s">
        <v>1139</v>
      </c>
      <c r="T195">
        <v>2</v>
      </c>
      <c r="U195" t="s">
        <v>601</v>
      </c>
      <c r="V195">
        <v>2</v>
      </c>
      <c r="W195" t="s">
        <v>1134</v>
      </c>
      <c r="X195">
        <v>5</v>
      </c>
      <c r="Y195" t="s">
        <v>945</v>
      </c>
      <c r="Z195">
        <v>2</v>
      </c>
    </row>
    <row r="196" spans="1:26" x14ac:dyDescent="0.4">
      <c r="A196" t="s">
        <v>757</v>
      </c>
      <c r="B196" t="s">
        <v>879</v>
      </c>
      <c r="C196" t="s">
        <v>367</v>
      </c>
      <c r="D196">
        <v>2.4700000000000002</v>
      </c>
      <c r="E196" t="s">
        <v>1285</v>
      </c>
      <c r="F196">
        <v>3</v>
      </c>
      <c r="G196" t="s">
        <v>684</v>
      </c>
      <c r="H196">
        <v>5</v>
      </c>
      <c r="I196" t="s">
        <v>852</v>
      </c>
      <c r="J196">
        <v>1</v>
      </c>
      <c r="K196" t="s">
        <v>572</v>
      </c>
      <c r="L196">
        <v>4</v>
      </c>
      <c r="M196" t="s">
        <v>1084</v>
      </c>
      <c r="N196">
        <v>1</v>
      </c>
      <c r="O196">
        <v>56.6</v>
      </c>
      <c r="P196">
        <v>1</v>
      </c>
      <c r="Q196" t="s">
        <v>1038</v>
      </c>
      <c r="R196">
        <v>1</v>
      </c>
      <c r="S196" t="s">
        <v>925</v>
      </c>
      <c r="T196">
        <v>2</v>
      </c>
      <c r="U196" t="s">
        <v>958</v>
      </c>
      <c r="V196">
        <v>1</v>
      </c>
      <c r="W196" t="s">
        <v>904</v>
      </c>
      <c r="X196">
        <v>5</v>
      </c>
      <c r="Y196" t="s">
        <v>1057</v>
      </c>
      <c r="Z196">
        <v>1</v>
      </c>
    </row>
    <row r="197" spans="1:26" x14ac:dyDescent="0.4">
      <c r="A197" t="s">
        <v>765</v>
      </c>
      <c r="B197" t="s">
        <v>887</v>
      </c>
      <c r="C197" t="s">
        <v>51</v>
      </c>
      <c r="D197">
        <v>3.65</v>
      </c>
      <c r="E197" t="s">
        <v>1339</v>
      </c>
      <c r="F197">
        <v>5</v>
      </c>
      <c r="G197" t="s">
        <v>630</v>
      </c>
      <c r="H197">
        <v>5</v>
      </c>
      <c r="I197" t="s">
        <v>671</v>
      </c>
      <c r="J197">
        <v>4</v>
      </c>
      <c r="K197" t="s">
        <v>604</v>
      </c>
      <c r="L197">
        <v>3</v>
      </c>
      <c r="M197" t="s">
        <v>908</v>
      </c>
      <c r="N197">
        <v>3</v>
      </c>
      <c r="O197">
        <v>70.900000000000006</v>
      </c>
      <c r="P197">
        <v>5</v>
      </c>
      <c r="Q197" t="s">
        <v>1145</v>
      </c>
      <c r="R197">
        <v>2</v>
      </c>
      <c r="S197" t="s">
        <v>941</v>
      </c>
      <c r="T197">
        <v>3</v>
      </c>
      <c r="U197" t="s">
        <v>895</v>
      </c>
      <c r="V197">
        <v>2</v>
      </c>
      <c r="W197" t="s">
        <v>1068</v>
      </c>
      <c r="X197">
        <v>5</v>
      </c>
      <c r="Y197" t="s">
        <v>872</v>
      </c>
      <c r="Z197">
        <v>2</v>
      </c>
    </row>
    <row r="198" spans="1:26" x14ac:dyDescent="0.4">
      <c r="A198" t="s">
        <v>775</v>
      </c>
      <c r="B198" t="s">
        <v>896</v>
      </c>
      <c r="C198" t="s">
        <v>144</v>
      </c>
      <c r="D198">
        <v>3.24</v>
      </c>
      <c r="E198" t="s">
        <v>1340</v>
      </c>
      <c r="F198">
        <v>5</v>
      </c>
      <c r="G198" t="s">
        <v>622</v>
      </c>
      <c r="H198">
        <v>1</v>
      </c>
      <c r="I198" t="s">
        <v>768</v>
      </c>
      <c r="J198">
        <v>2</v>
      </c>
      <c r="K198" t="s">
        <v>844</v>
      </c>
      <c r="L198">
        <v>4</v>
      </c>
      <c r="M198" t="s">
        <v>1061</v>
      </c>
      <c r="N198">
        <v>5</v>
      </c>
      <c r="O198">
        <v>73.8</v>
      </c>
      <c r="P198">
        <v>5</v>
      </c>
      <c r="Q198" t="s">
        <v>657</v>
      </c>
      <c r="R198">
        <v>2</v>
      </c>
      <c r="S198" t="s">
        <v>951</v>
      </c>
      <c r="T198">
        <v>4</v>
      </c>
      <c r="U198" t="s">
        <v>1181</v>
      </c>
      <c r="V198">
        <v>2</v>
      </c>
      <c r="W198" t="s">
        <v>1089</v>
      </c>
      <c r="X198">
        <v>3</v>
      </c>
      <c r="Y198" t="s">
        <v>1039</v>
      </c>
      <c r="Z198">
        <v>1</v>
      </c>
    </row>
    <row r="199" spans="1:26" x14ac:dyDescent="0.4">
      <c r="A199" t="s">
        <v>785</v>
      </c>
      <c r="B199" t="s">
        <v>901</v>
      </c>
      <c r="C199" t="s">
        <v>406</v>
      </c>
      <c r="D199">
        <v>2.1800000000000002</v>
      </c>
      <c r="E199" t="s">
        <v>1341</v>
      </c>
      <c r="F199">
        <v>3</v>
      </c>
      <c r="G199" t="s">
        <v>1082</v>
      </c>
      <c r="H199">
        <v>2</v>
      </c>
      <c r="I199" t="s">
        <v>1342</v>
      </c>
      <c r="J199">
        <v>4</v>
      </c>
      <c r="K199" t="s">
        <v>861</v>
      </c>
      <c r="L199">
        <v>1</v>
      </c>
      <c r="M199" t="s">
        <v>623</v>
      </c>
      <c r="N199">
        <v>2</v>
      </c>
      <c r="O199">
        <v>55.2</v>
      </c>
      <c r="P199">
        <v>1</v>
      </c>
      <c r="Q199" t="s">
        <v>836</v>
      </c>
      <c r="R199">
        <v>3</v>
      </c>
      <c r="S199" t="s">
        <v>632</v>
      </c>
      <c r="T199">
        <v>2</v>
      </c>
      <c r="U199" t="s">
        <v>1037</v>
      </c>
      <c r="V199">
        <v>2</v>
      </c>
      <c r="W199" t="s">
        <v>829</v>
      </c>
      <c r="X199">
        <v>4</v>
      </c>
      <c r="Y199" t="s">
        <v>754</v>
      </c>
      <c r="Z199">
        <v>2</v>
      </c>
    </row>
    <row r="200" spans="1:26" x14ac:dyDescent="0.4">
      <c r="A200" t="s">
        <v>796</v>
      </c>
      <c r="B200" t="s">
        <v>909</v>
      </c>
      <c r="C200" t="s">
        <v>279</v>
      </c>
      <c r="D200">
        <v>2.85</v>
      </c>
      <c r="E200" t="s">
        <v>1185</v>
      </c>
      <c r="F200">
        <v>3</v>
      </c>
      <c r="G200" t="s">
        <v>603</v>
      </c>
      <c r="H200">
        <v>1</v>
      </c>
      <c r="I200" t="s">
        <v>921</v>
      </c>
      <c r="J200">
        <v>5</v>
      </c>
      <c r="K200" t="s">
        <v>914</v>
      </c>
      <c r="L200">
        <v>1</v>
      </c>
      <c r="M200" t="s">
        <v>810</v>
      </c>
      <c r="N200">
        <v>5</v>
      </c>
      <c r="O200">
        <v>77.099999999999994</v>
      </c>
      <c r="P200">
        <v>5</v>
      </c>
      <c r="Q200" t="s">
        <v>742</v>
      </c>
      <c r="R200">
        <v>1</v>
      </c>
      <c r="S200" t="s">
        <v>951</v>
      </c>
      <c r="T200">
        <v>4</v>
      </c>
      <c r="U200" t="s">
        <v>1202</v>
      </c>
      <c r="V200">
        <v>3</v>
      </c>
      <c r="W200" t="s">
        <v>1329</v>
      </c>
      <c r="X200">
        <v>3</v>
      </c>
      <c r="Y200" t="s">
        <v>744</v>
      </c>
      <c r="Z200">
        <v>1</v>
      </c>
    </row>
    <row r="201" spans="1:26" x14ac:dyDescent="0.4">
      <c r="A201" t="s">
        <v>804</v>
      </c>
      <c r="B201" t="s">
        <v>918</v>
      </c>
      <c r="C201" t="s">
        <v>125</v>
      </c>
      <c r="D201">
        <v>3.3</v>
      </c>
      <c r="E201" t="s">
        <v>1343</v>
      </c>
      <c r="F201">
        <v>1</v>
      </c>
      <c r="G201" t="s">
        <v>1074</v>
      </c>
      <c r="H201">
        <v>5</v>
      </c>
      <c r="I201" t="s">
        <v>779</v>
      </c>
      <c r="J201">
        <v>1</v>
      </c>
      <c r="K201" t="s">
        <v>985</v>
      </c>
      <c r="L201">
        <v>5</v>
      </c>
      <c r="M201" t="s">
        <v>917</v>
      </c>
      <c r="N201">
        <v>5</v>
      </c>
      <c r="O201">
        <v>75.599999999999994</v>
      </c>
      <c r="P201">
        <v>5</v>
      </c>
      <c r="Q201" t="s">
        <v>818</v>
      </c>
      <c r="R201">
        <v>2</v>
      </c>
      <c r="S201" t="s">
        <v>753</v>
      </c>
      <c r="T201">
        <v>2</v>
      </c>
      <c r="U201" t="s">
        <v>724</v>
      </c>
      <c r="V201">
        <v>2</v>
      </c>
      <c r="W201" t="s">
        <v>925</v>
      </c>
      <c r="X201">
        <v>1</v>
      </c>
      <c r="Y201" t="s">
        <v>944</v>
      </c>
      <c r="Z201">
        <v>2</v>
      </c>
    </row>
    <row r="202" spans="1:26" x14ac:dyDescent="0.4">
      <c r="A202" t="s">
        <v>814</v>
      </c>
      <c r="B202" t="s">
        <v>548</v>
      </c>
      <c r="C202" t="s">
        <v>84</v>
      </c>
      <c r="D202">
        <v>3.47</v>
      </c>
      <c r="E202" t="s">
        <v>1330</v>
      </c>
      <c r="F202">
        <v>5</v>
      </c>
      <c r="G202" t="s">
        <v>847</v>
      </c>
      <c r="H202">
        <v>1</v>
      </c>
      <c r="I202" t="s">
        <v>1344</v>
      </c>
      <c r="J202">
        <v>4</v>
      </c>
      <c r="K202" t="s">
        <v>947</v>
      </c>
      <c r="L202">
        <v>3</v>
      </c>
      <c r="M202" t="s">
        <v>1137</v>
      </c>
      <c r="N202">
        <v>5</v>
      </c>
      <c r="O202">
        <v>69.099999999999994</v>
      </c>
      <c r="P202">
        <v>5</v>
      </c>
      <c r="Q202" t="s">
        <v>1251</v>
      </c>
      <c r="R202">
        <v>2</v>
      </c>
      <c r="S202" t="s">
        <v>941</v>
      </c>
      <c r="T202">
        <v>3</v>
      </c>
      <c r="U202" t="s">
        <v>749</v>
      </c>
      <c r="V202">
        <v>2</v>
      </c>
      <c r="W202" t="s">
        <v>616</v>
      </c>
      <c r="X202">
        <v>3</v>
      </c>
      <c r="Y202" t="s">
        <v>1223</v>
      </c>
      <c r="Z202">
        <v>4</v>
      </c>
    </row>
    <row r="203" spans="1:26" x14ac:dyDescent="0.4">
      <c r="A203" t="s">
        <v>822</v>
      </c>
      <c r="B203" t="s">
        <v>560</v>
      </c>
      <c r="C203" t="s">
        <v>55</v>
      </c>
      <c r="D203">
        <v>3.62</v>
      </c>
      <c r="E203" t="s">
        <v>1345</v>
      </c>
      <c r="F203">
        <v>5</v>
      </c>
      <c r="G203" t="s">
        <v>1329</v>
      </c>
      <c r="H203">
        <v>3</v>
      </c>
      <c r="I203" t="s">
        <v>1318</v>
      </c>
      <c r="J203">
        <v>2</v>
      </c>
      <c r="K203" t="s">
        <v>893</v>
      </c>
      <c r="L203">
        <v>5</v>
      </c>
      <c r="M203" t="s">
        <v>1295</v>
      </c>
      <c r="N203">
        <v>5</v>
      </c>
      <c r="O203">
        <v>70</v>
      </c>
      <c r="P203">
        <v>5</v>
      </c>
      <c r="Q203" t="s">
        <v>877</v>
      </c>
      <c r="R203">
        <v>1</v>
      </c>
      <c r="S203" t="s">
        <v>807</v>
      </c>
      <c r="T203">
        <v>2</v>
      </c>
      <c r="U203" t="s">
        <v>1152</v>
      </c>
      <c r="V203">
        <v>3</v>
      </c>
      <c r="W203" t="s">
        <v>829</v>
      </c>
      <c r="X203">
        <v>4</v>
      </c>
      <c r="Y203" t="s">
        <v>1015</v>
      </c>
      <c r="Z203">
        <v>1</v>
      </c>
    </row>
    <row r="204" spans="1:26" x14ac:dyDescent="0.4">
      <c r="A204" t="s">
        <v>831</v>
      </c>
      <c r="B204" t="s">
        <v>570</v>
      </c>
      <c r="C204" t="s">
        <v>137</v>
      </c>
      <c r="D204">
        <v>3.26</v>
      </c>
      <c r="E204" t="s">
        <v>1327</v>
      </c>
      <c r="F204">
        <v>5</v>
      </c>
      <c r="G204" t="s">
        <v>846</v>
      </c>
      <c r="H204">
        <v>1</v>
      </c>
      <c r="I204" t="s">
        <v>1346</v>
      </c>
      <c r="J204">
        <v>1</v>
      </c>
      <c r="K204" t="s">
        <v>692</v>
      </c>
      <c r="L204">
        <v>5</v>
      </c>
      <c r="M204" t="s">
        <v>802</v>
      </c>
      <c r="N204">
        <v>5</v>
      </c>
      <c r="O204">
        <v>68.3</v>
      </c>
      <c r="P204">
        <v>4</v>
      </c>
      <c r="Q204" t="s">
        <v>1209</v>
      </c>
      <c r="R204">
        <v>3</v>
      </c>
      <c r="S204" t="s">
        <v>633</v>
      </c>
      <c r="T204">
        <v>2</v>
      </c>
      <c r="U204" t="s">
        <v>1096</v>
      </c>
      <c r="V204">
        <v>2</v>
      </c>
      <c r="W204" t="s">
        <v>945</v>
      </c>
      <c r="X204">
        <v>3</v>
      </c>
      <c r="Y204" t="s">
        <v>726</v>
      </c>
      <c r="Z204">
        <v>2</v>
      </c>
    </row>
    <row r="205" spans="1:26" x14ac:dyDescent="0.4">
      <c r="A205" t="s">
        <v>547</v>
      </c>
      <c r="B205" t="s">
        <v>582</v>
      </c>
      <c r="C205" t="s">
        <v>186</v>
      </c>
      <c r="D205">
        <v>3.1</v>
      </c>
      <c r="E205" t="s">
        <v>1239</v>
      </c>
      <c r="F205">
        <v>5</v>
      </c>
      <c r="G205" t="s">
        <v>1251</v>
      </c>
      <c r="H205">
        <v>1</v>
      </c>
      <c r="I205" t="s">
        <v>1128</v>
      </c>
      <c r="J205">
        <v>1</v>
      </c>
      <c r="K205" t="s">
        <v>826</v>
      </c>
      <c r="L205">
        <v>5</v>
      </c>
      <c r="M205" t="s">
        <v>829</v>
      </c>
      <c r="N205">
        <v>5</v>
      </c>
      <c r="O205">
        <v>63.4</v>
      </c>
      <c r="P205">
        <v>3</v>
      </c>
      <c r="Q205" t="s">
        <v>956</v>
      </c>
      <c r="R205">
        <v>2</v>
      </c>
      <c r="S205" t="s">
        <v>848</v>
      </c>
      <c r="T205">
        <v>2</v>
      </c>
      <c r="U205" t="s">
        <v>656</v>
      </c>
      <c r="V205">
        <v>2</v>
      </c>
      <c r="W205" t="s">
        <v>1347</v>
      </c>
      <c r="X205">
        <v>3</v>
      </c>
      <c r="Y205" t="s">
        <v>916</v>
      </c>
      <c r="Z205">
        <v>2</v>
      </c>
    </row>
    <row r="206" spans="1:26" x14ac:dyDescent="0.4">
      <c r="A206" t="s">
        <v>559</v>
      </c>
      <c r="B206" t="s">
        <v>594</v>
      </c>
      <c r="C206" t="s">
        <v>268</v>
      </c>
      <c r="D206">
        <v>2.88</v>
      </c>
      <c r="E206" t="s">
        <v>1348</v>
      </c>
      <c r="F206">
        <v>5</v>
      </c>
      <c r="G206" t="s">
        <v>1050</v>
      </c>
      <c r="H206">
        <v>1</v>
      </c>
      <c r="I206" t="s">
        <v>938</v>
      </c>
      <c r="J206">
        <v>2</v>
      </c>
      <c r="K206" t="s">
        <v>1208</v>
      </c>
      <c r="L206">
        <v>5</v>
      </c>
      <c r="M206" t="s">
        <v>1063</v>
      </c>
      <c r="N206">
        <v>2</v>
      </c>
      <c r="O206">
        <v>73.8</v>
      </c>
      <c r="P206">
        <v>5</v>
      </c>
      <c r="Q206" t="s">
        <v>701</v>
      </c>
      <c r="R206">
        <v>5</v>
      </c>
      <c r="S206" t="s">
        <v>1060</v>
      </c>
      <c r="T206">
        <v>3</v>
      </c>
      <c r="U206" t="s">
        <v>1190</v>
      </c>
      <c r="V206">
        <v>2</v>
      </c>
      <c r="W206" t="s">
        <v>781</v>
      </c>
      <c r="X206">
        <v>1</v>
      </c>
      <c r="Y206" t="s">
        <v>1052</v>
      </c>
      <c r="Z206">
        <v>1</v>
      </c>
    </row>
    <row r="207" spans="1:26" x14ac:dyDescent="0.4">
      <c r="A207" t="s">
        <v>569</v>
      </c>
      <c r="B207" t="s">
        <v>606</v>
      </c>
      <c r="C207" t="s">
        <v>64</v>
      </c>
      <c r="D207">
        <v>3.55</v>
      </c>
      <c r="E207" t="s">
        <v>1349</v>
      </c>
      <c r="F207">
        <v>5</v>
      </c>
      <c r="G207" t="s">
        <v>598</v>
      </c>
      <c r="H207">
        <v>2</v>
      </c>
      <c r="I207" t="s">
        <v>889</v>
      </c>
      <c r="J207">
        <v>5</v>
      </c>
      <c r="K207" t="s">
        <v>1079</v>
      </c>
      <c r="L207">
        <v>5</v>
      </c>
      <c r="M207" t="s">
        <v>893</v>
      </c>
      <c r="N207">
        <v>5</v>
      </c>
      <c r="O207">
        <v>71.7</v>
      </c>
      <c r="P207">
        <v>5</v>
      </c>
      <c r="Q207" t="s">
        <v>810</v>
      </c>
      <c r="R207">
        <v>3</v>
      </c>
      <c r="S207" t="s">
        <v>1313</v>
      </c>
      <c r="T207">
        <v>2</v>
      </c>
      <c r="U207" t="s">
        <v>1024</v>
      </c>
      <c r="V207">
        <v>2</v>
      </c>
      <c r="W207" t="s">
        <v>952</v>
      </c>
      <c r="X207">
        <v>1</v>
      </c>
      <c r="Y207" t="s">
        <v>875</v>
      </c>
      <c r="Z207">
        <v>2</v>
      </c>
    </row>
    <row r="208" spans="1:26" x14ac:dyDescent="0.4">
      <c r="A208" t="s">
        <v>581</v>
      </c>
      <c r="B208" t="s">
        <v>618</v>
      </c>
      <c r="C208" t="s">
        <v>105</v>
      </c>
      <c r="D208">
        <v>3.36</v>
      </c>
      <c r="E208" t="s">
        <v>1350</v>
      </c>
      <c r="F208">
        <v>3</v>
      </c>
      <c r="G208" t="s">
        <v>1351</v>
      </c>
      <c r="H208">
        <v>1</v>
      </c>
      <c r="I208" t="s">
        <v>1352</v>
      </c>
      <c r="J208">
        <v>5</v>
      </c>
      <c r="K208" t="s">
        <v>1103</v>
      </c>
      <c r="L208">
        <v>5</v>
      </c>
      <c r="M208" t="s">
        <v>1068</v>
      </c>
      <c r="N208">
        <v>5</v>
      </c>
      <c r="O208">
        <v>72.400000000000006</v>
      </c>
      <c r="P208">
        <v>5</v>
      </c>
      <c r="Q208" t="s">
        <v>953</v>
      </c>
      <c r="R208">
        <v>3</v>
      </c>
      <c r="S208" t="s">
        <v>876</v>
      </c>
      <c r="T208">
        <v>2</v>
      </c>
      <c r="U208" t="s">
        <v>1037</v>
      </c>
      <c r="V208">
        <v>2</v>
      </c>
      <c r="W208" t="s">
        <v>672</v>
      </c>
      <c r="X208">
        <v>2</v>
      </c>
      <c r="Y208" t="s">
        <v>1119</v>
      </c>
      <c r="Z208">
        <v>2</v>
      </c>
    </row>
    <row r="209" spans="1:26" x14ac:dyDescent="0.4">
      <c r="A209" t="s">
        <v>593</v>
      </c>
      <c r="B209" t="s">
        <v>628</v>
      </c>
      <c r="C209" t="s">
        <v>159</v>
      </c>
      <c r="D209">
        <v>3.2</v>
      </c>
      <c r="E209" t="s">
        <v>1353</v>
      </c>
      <c r="F209">
        <v>3</v>
      </c>
      <c r="G209" t="s">
        <v>579</v>
      </c>
      <c r="H209">
        <v>4</v>
      </c>
      <c r="I209" t="s">
        <v>1354</v>
      </c>
      <c r="J209">
        <v>3</v>
      </c>
      <c r="K209" t="s">
        <v>991</v>
      </c>
      <c r="L209">
        <v>4</v>
      </c>
      <c r="M209" t="s">
        <v>550</v>
      </c>
      <c r="N209">
        <v>5</v>
      </c>
      <c r="O209">
        <v>65.099999999999994</v>
      </c>
      <c r="P209">
        <v>4</v>
      </c>
      <c r="Q209" t="s">
        <v>1003</v>
      </c>
      <c r="R209">
        <v>2</v>
      </c>
      <c r="S209" t="s">
        <v>892</v>
      </c>
      <c r="T209">
        <v>2</v>
      </c>
      <c r="U209" t="s">
        <v>878</v>
      </c>
      <c r="V209">
        <v>2</v>
      </c>
      <c r="W209" t="s">
        <v>636</v>
      </c>
      <c r="X209">
        <v>2</v>
      </c>
      <c r="Y209" t="s">
        <v>1247</v>
      </c>
      <c r="Z209">
        <v>1</v>
      </c>
    </row>
    <row r="210" spans="1:26" x14ac:dyDescent="0.4">
      <c r="A210" t="s">
        <v>605</v>
      </c>
      <c r="B210" t="s">
        <v>638</v>
      </c>
      <c r="C210" t="s">
        <v>269</v>
      </c>
      <c r="D210">
        <v>2.88</v>
      </c>
      <c r="E210" t="s">
        <v>1355</v>
      </c>
      <c r="F210">
        <v>5</v>
      </c>
      <c r="G210" t="s">
        <v>771</v>
      </c>
      <c r="H210">
        <v>1</v>
      </c>
      <c r="I210" t="s">
        <v>1356</v>
      </c>
      <c r="J210">
        <v>2</v>
      </c>
      <c r="K210" t="s">
        <v>911</v>
      </c>
      <c r="L210">
        <v>5</v>
      </c>
      <c r="M210" t="s">
        <v>854</v>
      </c>
      <c r="N210">
        <v>2</v>
      </c>
      <c r="O210">
        <v>74.3</v>
      </c>
      <c r="P210">
        <v>5</v>
      </c>
      <c r="Q210" t="s">
        <v>999</v>
      </c>
      <c r="R210">
        <v>3</v>
      </c>
      <c r="S210" t="s">
        <v>872</v>
      </c>
      <c r="T210">
        <v>2</v>
      </c>
      <c r="U210" t="s">
        <v>1256</v>
      </c>
      <c r="V210">
        <v>3</v>
      </c>
      <c r="W210" t="s">
        <v>1022</v>
      </c>
      <c r="X210">
        <v>2</v>
      </c>
      <c r="Y210" t="s">
        <v>1084</v>
      </c>
      <c r="Z210">
        <v>1</v>
      </c>
    </row>
    <row r="211" spans="1:26" x14ac:dyDescent="0.4">
      <c r="A211" t="s">
        <v>617</v>
      </c>
      <c r="B211" t="s">
        <v>649</v>
      </c>
      <c r="C211" t="s">
        <v>411</v>
      </c>
      <c r="D211">
        <v>2.13</v>
      </c>
      <c r="E211" t="s">
        <v>1357</v>
      </c>
      <c r="F211">
        <v>5</v>
      </c>
      <c r="G211" t="s">
        <v>770</v>
      </c>
      <c r="H211">
        <v>1</v>
      </c>
      <c r="I211" t="s">
        <v>1080</v>
      </c>
      <c r="J211">
        <v>2</v>
      </c>
      <c r="K211" t="s">
        <v>1084</v>
      </c>
      <c r="L211">
        <v>1</v>
      </c>
      <c r="M211" t="s">
        <v>1280</v>
      </c>
      <c r="N211">
        <v>2</v>
      </c>
      <c r="O211">
        <v>74.5</v>
      </c>
      <c r="P211">
        <v>5</v>
      </c>
      <c r="Q211" t="s">
        <v>906</v>
      </c>
      <c r="R211">
        <v>1</v>
      </c>
      <c r="S211" t="s">
        <v>1012</v>
      </c>
      <c r="T211">
        <v>2</v>
      </c>
      <c r="U211" t="s">
        <v>903</v>
      </c>
      <c r="V211">
        <v>3</v>
      </c>
      <c r="W211" t="s">
        <v>877</v>
      </c>
      <c r="X211">
        <v>1</v>
      </c>
      <c r="Y211" t="s">
        <v>1206</v>
      </c>
      <c r="Z211">
        <v>1</v>
      </c>
    </row>
    <row r="212" spans="1:26" x14ac:dyDescent="0.4">
      <c r="A212" t="s">
        <v>627</v>
      </c>
      <c r="B212" t="s">
        <v>659</v>
      </c>
      <c r="C212" t="s">
        <v>202</v>
      </c>
      <c r="D212">
        <v>3.06</v>
      </c>
      <c r="E212" t="s">
        <v>1334</v>
      </c>
      <c r="F212">
        <v>3</v>
      </c>
      <c r="G212" t="s">
        <v>723</v>
      </c>
      <c r="H212">
        <v>3</v>
      </c>
      <c r="I212" t="s">
        <v>1358</v>
      </c>
      <c r="J212">
        <v>4</v>
      </c>
      <c r="K212" t="s">
        <v>1045</v>
      </c>
      <c r="L212">
        <v>3</v>
      </c>
      <c r="M212" t="s">
        <v>634</v>
      </c>
      <c r="N212">
        <v>5</v>
      </c>
      <c r="O212">
        <v>66.5</v>
      </c>
      <c r="P212">
        <v>4</v>
      </c>
      <c r="Q212" t="s">
        <v>1070</v>
      </c>
      <c r="R212">
        <v>2</v>
      </c>
      <c r="S212" t="s">
        <v>622</v>
      </c>
      <c r="T212">
        <v>1</v>
      </c>
      <c r="U212" t="s">
        <v>1300</v>
      </c>
      <c r="V212">
        <v>2</v>
      </c>
      <c r="W212" t="s">
        <v>855</v>
      </c>
      <c r="X212">
        <v>1</v>
      </c>
      <c r="Y212" t="s">
        <v>664</v>
      </c>
      <c r="Z212">
        <v>3</v>
      </c>
    </row>
    <row r="213" spans="1:26" x14ac:dyDescent="0.4">
      <c r="A213" t="s">
        <v>637</v>
      </c>
      <c r="B213" t="s">
        <v>669</v>
      </c>
      <c r="C213" t="s">
        <v>398</v>
      </c>
      <c r="D213">
        <v>2.2799999999999998</v>
      </c>
      <c r="E213" t="s">
        <v>1359</v>
      </c>
      <c r="F213">
        <v>2</v>
      </c>
      <c r="G213" t="s">
        <v>908</v>
      </c>
      <c r="H213">
        <v>1</v>
      </c>
      <c r="I213" t="s">
        <v>631</v>
      </c>
      <c r="J213">
        <v>3</v>
      </c>
      <c r="K213" t="s">
        <v>705</v>
      </c>
      <c r="L213">
        <v>5</v>
      </c>
      <c r="M213" t="s">
        <v>878</v>
      </c>
      <c r="N213">
        <v>2</v>
      </c>
      <c r="O213">
        <v>53</v>
      </c>
      <c r="P213">
        <v>1</v>
      </c>
      <c r="Q213" t="s">
        <v>1015</v>
      </c>
      <c r="R213">
        <v>1</v>
      </c>
      <c r="S213" t="s">
        <v>964</v>
      </c>
      <c r="T213">
        <v>2</v>
      </c>
      <c r="U213" t="s">
        <v>1360</v>
      </c>
      <c r="V213">
        <v>2</v>
      </c>
      <c r="W213" t="s">
        <v>791</v>
      </c>
      <c r="X213">
        <v>4</v>
      </c>
      <c r="Y213" t="s">
        <v>877</v>
      </c>
      <c r="Z213">
        <v>1</v>
      </c>
    </row>
    <row r="214" spans="1:26" x14ac:dyDescent="0.4">
      <c r="A214" t="s">
        <v>648</v>
      </c>
      <c r="B214" t="s">
        <v>679</v>
      </c>
      <c r="C214" t="s">
        <v>272</v>
      </c>
      <c r="D214">
        <v>2.87</v>
      </c>
      <c r="E214" t="s">
        <v>1361</v>
      </c>
      <c r="F214">
        <v>3</v>
      </c>
      <c r="G214" t="s">
        <v>1360</v>
      </c>
      <c r="H214">
        <v>1</v>
      </c>
      <c r="I214" t="s">
        <v>661</v>
      </c>
      <c r="J214">
        <v>2</v>
      </c>
      <c r="K214" t="s">
        <v>917</v>
      </c>
      <c r="L214">
        <v>5</v>
      </c>
      <c r="M214" t="s">
        <v>926</v>
      </c>
      <c r="N214">
        <v>4</v>
      </c>
      <c r="O214">
        <v>66.900000000000006</v>
      </c>
      <c r="P214">
        <v>4</v>
      </c>
      <c r="Q214" t="s">
        <v>592</v>
      </c>
      <c r="R214">
        <v>2</v>
      </c>
      <c r="S214" t="s">
        <v>848</v>
      </c>
      <c r="T214">
        <v>2</v>
      </c>
      <c r="U214" t="s">
        <v>1077</v>
      </c>
      <c r="V214">
        <v>2</v>
      </c>
      <c r="W214" t="s">
        <v>1202</v>
      </c>
      <c r="X214">
        <v>3</v>
      </c>
      <c r="Y214" t="s">
        <v>952</v>
      </c>
      <c r="Z214">
        <v>1</v>
      </c>
    </row>
    <row r="215" spans="1:26" x14ac:dyDescent="0.4">
      <c r="A215" t="s">
        <v>658</v>
      </c>
      <c r="B215" t="s">
        <v>688</v>
      </c>
      <c r="C215" t="s">
        <v>316</v>
      </c>
      <c r="D215">
        <v>2.71</v>
      </c>
      <c r="E215" t="s">
        <v>1362</v>
      </c>
      <c r="F215">
        <v>5</v>
      </c>
      <c r="G215" t="s">
        <v>917</v>
      </c>
      <c r="H215">
        <v>4</v>
      </c>
      <c r="I215" t="s">
        <v>928</v>
      </c>
      <c r="J215">
        <v>4</v>
      </c>
      <c r="K215" t="s">
        <v>987</v>
      </c>
      <c r="L215">
        <v>1</v>
      </c>
      <c r="M215" t="s">
        <v>929</v>
      </c>
      <c r="N215">
        <v>4</v>
      </c>
      <c r="O215">
        <v>68.8</v>
      </c>
      <c r="P215">
        <v>4</v>
      </c>
      <c r="Q215" t="s">
        <v>1363</v>
      </c>
      <c r="R215">
        <v>2</v>
      </c>
      <c r="S215" t="s">
        <v>962</v>
      </c>
      <c r="T215">
        <v>2</v>
      </c>
      <c r="U215" t="s">
        <v>1232</v>
      </c>
      <c r="V215">
        <v>1</v>
      </c>
      <c r="W215" t="s">
        <v>1111</v>
      </c>
      <c r="X215">
        <v>1</v>
      </c>
      <c r="Y215" t="s">
        <v>792</v>
      </c>
      <c r="Z215">
        <v>1</v>
      </c>
    </row>
    <row r="216" spans="1:26" x14ac:dyDescent="0.4">
      <c r="A216" t="s">
        <v>668</v>
      </c>
      <c r="B216" t="s">
        <v>699</v>
      </c>
      <c r="C216" t="s">
        <v>99</v>
      </c>
      <c r="D216">
        <v>3.4</v>
      </c>
      <c r="E216" t="s">
        <v>1364</v>
      </c>
      <c r="F216">
        <v>3</v>
      </c>
      <c r="G216" t="s">
        <v>1014</v>
      </c>
      <c r="H216">
        <v>1</v>
      </c>
      <c r="I216" t="s">
        <v>720</v>
      </c>
      <c r="J216">
        <v>5</v>
      </c>
      <c r="K216" t="s">
        <v>651</v>
      </c>
      <c r="L216">
        <v>4</v>
      </c>
      <c r="M216" t="s">
        <v>1119</v>
      </c>
      <c r="N216">
        <v>5</v>
      </c>
      <c r="O216">
        <v>64.900000000000006</v>
      </c>
      <c r="P216">
        <v>4</v>
      </c>
      <c r="Q216" t="s">
        <v>1041</v>
      </c>
      <c r="R216">
        <v>2</v>
      </c>
      <c r="S216" t="s">
        <v>951</v>
      </c>
      <c r="T216">
        <v>4</v>
      </c>
      <c r="U216" t="s">
        <v>755</v>
      </c>
      <c r="V216">
        <v>3</v>
      </c>
      <c r="W216" t="s">
        <v>1152</v>
      </c>
      <c r="X216">
        <v>4</v>
      </c>
      <c r="Y216" t="s">
        <v>867</v>
      </c>
      <c r="Z216">
        <v>2</v>
      </c>
    </row>
    <row r="217" spans="1:26" x14ac:dyDescent="0.4">
      <c r="A217" t="s">
        <v>678</v>
      </c>
      <c r="B217" t="s">
        <v>707</v>
      </c>
      <c r="C217" t="s">
        <v>416</v>
      </c>
      <c r="D217">
        <v>2.06</v>
      </c>
      <c r="E217" t="s">
        <v>1365</v>
      </c>
      <c r="F217">
        <v>4</v>
      </c>
      <c r="G217" t="s">
        <v>1097</v>
      </c>
      <c r="H217">
        <v>1</v>
      </c>
      <c r="I217" t="s">
        <v>682</v>
      </c>
      <c r="J217">
        <v>5</v>
      </c>
      <c r="K217" t="s">
        <v>1190</v>
      </c>
      <c r="L217">
        <v>4</v>
      </c>
      <c r="M217" t="s">
        <v>677</v>
      </c>
      <c r="N217">
        <v>1</v>
      </c>
      <c r="O217">
        <v>55.9</v>
      </c>
      <c r="P217">
        <v>1</v>
      </c>
      <c r="Q217" t="s">
        <v>615</v>
      </c>
      <c r="R217">
        <v>3</v>
      </c>
      <c r="S217" t="s">
        <v>1097</v>
      </c>
      <c r="T217">
        <v>1</v>
      </c>
      <c r="U217" t="s">
        <v>1360</v>
      </c>
      <c r="V217">
        <v>2</v>
      </c>
      <c r="W217" t="s">
        <v>819</v>
      </c>
      <c r="X217">
        <v>1</v>
      </c>
      <c r="Y217" t="s">
        <v>1077</v>
      </c>
      <c r="Z217">
        <v>1</v>
      </c>
    </row>
    <row r="218" spans="1:26" x14ac:dyDescent="0.4">
      <c r="A218" t="s">
        <v>687</v>
      </c>
      <c r="B218" t="s">
        <v>717</v>
      </c>
      <c r="C218" t="s">
        <v>317</v>
      </c>
      <c r="D218">
        <v>2.71</v>
      </c>
      <c r="E218" t="s">
        <v>1366</v>
      </c>
      <c r="F218">
        <v>1</v>
      </c>
      <c r="G218" t="s">
        <v>868</v>
      </c>
      <c r="H218">
        <v>1</v>
      </c>
      <c r="I218" t="s">
        <v>1367</v>
      </c>
      <c r="J218">
        <v>1</v>
      </c>
      <c r="K218" t="s">
        <v>712</v>
      </c>
      <c r="L218">
        <v>5</v>
      </c>
      <c r="M218" t="s">
        <v>783</v>
      </c>
      <c r="N218">
        <v>2</v>
      </c>
      <c r="O218">
        <v>75.099999999999994</v>
      </c>
      <c r="P218">
        <v>5</v>
      </c>
      <c r="Q218" t="s">
        <v>1038</v>
      </c>
      <c r="R218">
        <v>1</v>
      </c>
      <c r="S218" t="s">
        <v>695</v>
      </c>
      <c r="T218">
        <v>4</v>
      </c>
      <c r="U218" t="s">
        <v>756</v>
      </c>
      <c r="V218">
        <v>2</v>
      </c>
      <c r="W218" t="s">
        <v>1074</v>
      </c>
      <c r="X218">
        <v>5</v>
      </c>
      <c r="Y218" t="s">
        <v>620</v>
      </c>
      <c r="Z218">
        <v>1</v>
      </c>
    </row>
    <row r="219" spans="1:26" x14ac:dyDescent="0.4">
      <c r="A219" t="s">
        <v>698</v>
      </c>
      <c r="B219" t="s">
        <v>729</v>
      </c>
      <c r="C219" t="s">
        <v>227</v>
      </c>
      <c r="D219">
        <v>3</v>
      </c>
      <c r="E219" t="s">
        <v>1368</v>
      </c>
      <c r="F219">
        <v>2</v>
      </c>
      <c r="G219" t="s">
        <v>802</v>
      </c>
      <c r="H219">
        <v>5</v>
      </c>
      <c r="I219" t="s">
        <v>989</v>
      </c>
      <c r="J219">
        <v>1</v>
      </c>
      <c r="K219" t="s">
        <v>763</v>
      </c>
      <c r="L219">
        <v>5</v>
      </c>
      <c r="M219" t="s">
        <v>1300</v>
      </c>
      <c r="N219">
        <v>3</v>
      </c>
      <c r="O219">
        <v>69.7</v>
      </c>
      <c r="P219">
        <v>5</v>
      </c>
      <c r="Q219" t="s">
        <v>754</v>
      </c>
      <c r="R219">
        <v>2</v>
      </c>
      <c r="S219" t="s">
        <v>1123</v>
      </c>
      <c r="T219">
        <v>2</v>
      </c>
      <c r="U219" t="s">
        <v>623</v>
      </c>
      <c r="V219">
        <v>2</v>
      </c>
      <c r="W219" t="s">
        <v>854</v>
      </c>
      <c r="X219">
        <v>1</v>
      </c>
      <c r="Y219" t="s">
        <v>781</v>
      </c>
      <c r="Z219">
        <v>1</v>
      </c>
    </row>
    <row r="220" spans="1:26" x14ac:dyDescent="0.4">
      <c r="A220" t="s">
        <v>706</v>
      </c>
      <c r="B220" t="s">
        <v>737</v>
      </c>
      <c r="C220" t="s">
        <v>346</v>
      </c>
      <c r="D220">
        <v>2.6</v>
      </c>
      <c r="E220" t="s">
        <v>1369</v>
      </c>
      <c r="F220">
        <v>2</v>
      </c>
      <c r="G220" t="s">
        <v>920</v>
      </c>
      <c r="H220">
        <v>1</v>
      </c>
      <c r="I220" t="s">
        <v>1259</v>
      </c>
      <c r="J220">
        <v>2</v>
      </c>
      <c r="K220" t="s">
        <v>780</v>
      </c>
      <c r="L220">
        <v>5</v>
      </c>
      <c r="M220" t="s">
        <v>1052</v>
      </c>
      <c r="N220">
        <v>4</v>
      </c>
      <c r="O220">
        <v>63.6</v>
      </c>
      <c r="P220">
        <v>3</v>
      </c>
      <c r="Q220" t="s">
        <v>1209</v>
      </c>
      <c r="R220">
        <v>3</v>
      </c>
      <c r="S220" t="s">
        <v>941</v>
      </c>
      <c r="T220">
        <v>3</v>
      </c>
      <c r="U220" t="s">
        <v>1157</v>
      </c>
      <c r="V220">
        <v>2</v>
      </c>
      <c r="W220" t="s">
        <v>657</v>
      </c>
      <c r="X220">
        <v>1</v>
      </c>
      <c r="Y220" t="s">
        <v>843</v>
      </c>
      <c r="Z220">
        <v>1</v>
      </c>
    </row>
    <row r="221" spans="1:26" x14ac:dyDescent="0.4">
      <c r="A221" t="s">
        <v>716</v>
      </c>
      <c r="B221" t="s">
        <v>747</v>
      </c>
      <c r="C221" t="s">
        <v>126</v>
      </c>
      <c r="D221">
        <v>3.3</v>
      </c>
      <c r="E221" t="s">
        <v>1370</v>
      </c>
      <c r="F221">
        <v>4</v>
      </c>
      <c r="G221" t="s">
        <v>1060</v>
      </c>
      <c r="H221">
        <v>4</v>
      </c>
      <c r="I221" t="s">
        <v>1371</v>
      </c>
      <c r="J221">
        <v>5</v>
      </c>
      <c r="K221" t="s">
        <v>920</v>
      </c>
      <c r="L221">
        <v>3</v>
      </c>
      <c r="M221" t="s">
        <v>1134</v>
      </c>
      <c r="N221">
        <v>5</v>
      </c>
      <c r="O221">
        <v>53.5</v>
      </c>
      <c r="P221">
        <v>1</v>
      </c>
      <c r="Q221" t="s">
        <v>760</v>
      </c>
      <c r="R221">
        <v>3</v>
      </c>
      <c r="S221" t="s">
        <v>1036</v>
      </c>
      <c r="T221">
        <v>2</v>
      </c>
      <c r="U221" t="s">
        <v>951</v>
      </c>
      <c r="V221">
        <v>4</v>
      </c>
      <c r="W221" t="s">
        <v>726</v>
      </c>
      <c r="X221">
        <v>2</v>
      </c>
      <c r="Y221" t="s">
        <v>763</v>
      </c>
      <c r="Z221">
        <v>3</v>
      </c>
    </row>
    <row r="222" spans="1:26" x14ac:dyDescent="0.4">
      <c r="A222" t="s">
        <v>728</v>
      </c>
      <c r="B222" t="s">
        <v>758</v>
      </c>
      <c r="C222" t="s">
        <v>89</v>
      </c>
      <c r="D222">
        <v>3.46</v>
      </c>
      <c r="E222" t="s">
        <v>1372</v>
      </c>
      <c r="F222">
        <v>5</v>
      </c>
      <c r="G222" t="s">
        <v>580</v>
      </c>
      <c r="H222">
        <v>4</v>
      </c>
      <c r="I222" t="s">
        <v>1373</v>
      </c>
      <c r="J222">
        <v>1</v>
      </c>
      <c r="K222" t="s">
        <v>577</v>
      </c>
      <c r="L222">
        <v>5</v>
      </c>
      <c r="M222" t="s">
        <v>653</v>
      </c>
      <c r="N222">
        <v>5</v>
      </c>
      <c r="O222">
        <v>77.099999999999994</v>
      </c>
      <c r="P222">
        <v>5</v>
      </c>
      <c r="Q222" t="s">
        <v>1257</v>
      </c>
      <c r="R222">
        <v>2</v>
      </c>
      <c r="S222" t="s">
        <v>929</v>
      </c>
      <c r="T222">
        <v>2</v>
      </c>
      <c r="U222" t="s">
        <v>552</v>
      </c>
      <c r="V222">
        <v>3</v>
      </c>
      <c r="W222" t="s">
        <v>643</v>
      </c>
      <c r="X222">
        <v>1</v>
      </c>
      <c r="Y222" t="s">
        <v>575</v>
      </c>
      <c r="Z222">
        <v>1</v>
      </c>
    </row>
    <row r="223" spans="1:26" x14ac:dyDescent="0.4">
      <c r="A223" t="s">
        <v>736</v>
      </c>
      <c r="B223" t="s">
        <v>766</v>
      </c>
      <c r="C223" t="s">
        <v>246</v>
      </c>
      <c r="D223">
        <v>2.94</v>
      </c>
      <c r="E223" t="s">
        <v>1374</v>
      </c>
      <c r="F223">
        <v>3</v>
      </c>
      <c r="G223" t="s">
        <v>568</v>
      </c>
      <c r="H223">
        <v>1</v>
      </c>
      <c r="I223" t="s">
        <v>1087</v>
      </c>
      <c r="J223">
        <v>1</v>
      </c>
      <c r="K223" t="s">
        <v>985</v>
      </c>
      <c r="L223">
        <v>5</v>
      </c>
      <c r="M223" t="s">
        <v>1096</v>
      </c>
      <c r="N223">
        <v>5</v>
      </c>
      <c r="O223">
        <v>62.7</v>
      </c>
      <c r="P223">
        <v>3</v>
      </c>
      <c r="Q223" t="s">
        <v>712</v>
      </c>
      <c r="R223">
        <v>4</v>
      </c>
      <c r="S223" t="s">
        <v>1375</v>
      </c>
      <c r="T223">
        <v>2</v>
      </c>
      <c r="U223" t="s">
        <v>997</v>
      </c>
      <c r="V223">
        <v>2</v>
      </c>
      <c r="W223" t="s">
        <v>1234</v>
      </c>
      <c r="X223">
        <v>3</v>
      </c>
      <c r="Y223" t="s">
        <v>587</v>
      </c>
      <c r="Z223">
        <v>1</v>
      </c>
    </row>
    <row r="224" spans="1:26" x14ac:dyDescent="0.4">
      <c r="A224" t="s">
        <v>746</v>
      </c>
      <c r="B224" t="s">
        <v>776</v>
      </c>
      <c r="C224" t="s">
        <v>44</v>
      </c>
      <c r="D224">
        <v>3.72</v>
      </c>
      <c r="E224" t="s">
        <v>1376</v>
      </c>
      <c r="F224">
        <v>4</v>
      </c>
      <c r="G224" t="s">
        <v>725</v>
      </c>
      <c r="H224">
        <v>4</v>
      </c>
      <c r="I224" t="s">
        <v>1377</v>
      </c>
      <c r="J224">
        <v>4</v>
      </c>
      <c r="K224" t="s">
        <v>1154</v>
      </c>
      <c r="L224">
        <v>5</v>
      </c>
      <c r="M224" t="s">
        <v>770</v>
      </c>
      <c r="N224">
        <v>5</v>
      </c>
      <c r="O224">
        <v>52.6</v>
      </c>
      <c r="P224">
        <v>1</v>
      </c>
      <c r="Q224" t="s">
        <v>556</v>
      </c>
      <c r="R224">
        <v>3</v>
      </c>
      <c r="S224" t="s">
        <v>645</v>
      </c>
      <c r="T224">
        <v>3</v>
      </c>
      <c r="U224" t="s">
        <v>575</v>
      </c>
      <c r="V224">
        <v>2</v>
      </c>
      <c r="W224" t="s">
        <v>1135</v>
      </c>
      <c r="X224">
        <v>5</v>
      </c>
      <c r="Y224" t="s">
        <v>1089</v>
      </c>
      <c r="Z224">
        <v>3</v>
      </c>
    </row>
    <row r="225" spans="1:26" x14ac:dyDescent="0.4">
      <c r="A225" t="s">
        <v>757</v>
      </c>
      <c r="B225" t="s">
        <v>786</v>
      </c>
      <c r="C225" t="s">
        <v>85</v>
      </c>
      <c r="D225">
        <v>3.47</v>
      </c>
      <c r="E225" t="s">
        <v>1341</v>
      </c>
      <c r="F225">
        <v>3</v>
      </c>
      <c r="G225" t="s">
        <v>586</v>
      </c>
      <c r="H225">
        <v>4</v>
      </c>
      <c r="I225" t="s">
        <v>1378</v>
      </c>
      <c r="J225">
        <v>2</v>
      </c>
      <c r="K225" t="s">
        <v>1142</v>
      </c>
      <c r="L225">
        <v>5</v>
      </c>
      <c r="M225" t="s">
        <v>1215</v>
      </c>
      <c r="N225">
        <v>5</v>
      </c>
      <c r="O225">
        <v>61</v>
      </c>
      <c r="P225">
        <v>3</v>
      </c>
      <c r="Q225" t="s">
        <v>876</v>
      </c>
      <c r="R225">
        <v>2</v>
      </c>
      <c r="S225" t="s">
        <v>714</v>
      </c>
      <c r="T225">
        <v>4</v>
      </c>
      <c r="U225" t="s">
        <v>676</v>
      </c>
      <c r="V225">
        <v>2</v>
      </c>
      <c r="W225" t="s">
        <v>1112</v>
      </c>
      <c r="X225">
        <v>2</v>
      </c>
      <c r="Y225" t="s">
        <v>554</v>
      </c>
      <c r="Z225">
        <v>3</v>
      </c>
    </row>
    <row r="226" spans="1:26" x14ac:dyDescent="0.4">
      <c r="A226" t="s">
        <v>765</v>
      </c>
      <c r="B226" t="s">
        <v>797</v>
      </c>
      <c r="C226" t="s">
        <v>37</v>
      </c>
      <c r="D226">
        <v>3.77</v>
      </c>
      <c r="E226" t="s">
        <v>1034</v>
      </c>
      <c r="F226">
        <v>4</v>
      </c>
      <c r="G226" t="s">
        <v>1308</v>
      </c>
      <c r="H226">
        <v>1</v>
      </c>
      <c r="I226" t="s">
        <v>1064</v>
      </c>
      <c r="J226">
        <v>4</v>
      </c>
      <c r="K226" t="s">
        <v>1295</v>
      </c>
      <c r="L226">
        <v>5</v>
      </c>
      <c r="M226" t="s">
        <v>1196</v>
      </c>
      <c r="N226">
        <v>5</v>
      </c>
      <c r="O226">
        <v>74.7</v>
      </c>
      <c r="P226">
        <v>5</v>
      </c>
      <c r="Q226" t="s">
        <v>676</v>
      </c>
      <c r="R226">
        <v>2</v>
      </c>
      <c r="S226" t="s">
        <v>592</v>
      </c>
      <c r="T226">
        <v>2</v>
      </c>
      <c r="U226" t="s">
        <v>562</v>
      </c>
      <c r="V226">
        <v>3</v>
      </c>
      <c r="W226" t="s">
        <v>1218</v>
      </c>
      <c r="X226">
        <v>4</v>
      </c>
      <c r="Y226" t="s">
        <v>802</v>
      </c>
      <c r="Z226">
        <v>4</v>
      </c>
    </row>
    <row r="227" spans="1:26" x14ac:dyDescent="0.4">
      <c r="A227" t="s">
        <v>775</v>
      </c>
      <c r="B227" t="s">
        <v>805</v>
      </c>
      <c r="C227" t="s">
        <v>90</v>
      </c>
      <c r="D227">
        <v>3.46</v>
      </c>
      <c r="E227" t="s">
        <v>1379</v>
      </c>
      <c r="F227">
        <v>5</v>
      </c>
      <c r="G227" t="s">
        <v>1223</v>
      </c>
      <c r="H227">
        <v>4</v>
      </c>
      <c r="I227" t="s">
        <v>1006</v>
      </c>
      <c r="J227">
        <v>3</v>
      </c>
      <c r="K227" t="s">
        <v>885</v>
      </c>
      <c r="L227">
        <v>2</v>
      </c>
      <c r="M227" t="s">
        <v>610</v>
      </c>
      <c r="N227">
        <v>5</v>
      </c>
      <c r="O227">
        <v>77.5</v>
      </c>
      <c r="P227">
        <v>5</v>
      </c>
      <c r="Q227" t="s">
        <v>839</v>
      </c>
      <c r="R227">
        <v>3</v>
      </c>
      <c r="S227" t="s">
        <v>876</v>
      </c>
      <c r="T227">
        <v>2</v>
      </c>
      <c r="U227" t="s">
        <v>1380</v>
      </c>
      <c r="V227">
        <v>4</v>
      </c>
      <c r="W227" t="s">
        <v>1154</v>
      </c>
      <c r="X227">
        <v>2</v>
      </c>
      <c r="Y227" t="s">
        <v>992</v>
      </c>
      <c r="Z227">
        <v>2</v>
      </c>
    </row>
    <row r="228" spans="1:26" x14ac:dyDescent="0.4">
      <c r="A228" t="s">
        <v>785</v>
      </c>
      <c r="B228" t="s">
        <v>815</v>
      </c>
      <c r="C228" t="s">
        <v>47</v>
      </c>
      <c r="D228">
        <v>3.7</v>
      </c>
      <c r="E228" t="s">
        <v>1349</v>
      </c>
      <c r="F228">
        <v>5</v>
      </c>
      <c r="G228" t="s">
        <v>732</v>
      </c>
      <c r="H228">
        <v>4</v>
      </c>
      <c r="I228" t="s">
        <v>652</v>
      </c>
      <c r="J228">
        <v>3</v>
      </c>
      <c r="K228" t="s">
        <v>993</v>
      </c>
      <c r="L228">
        <v>5</v>
      </c>
      <c r="M228" t="s">
        <v>1168</v>
      </c>
      <c r="N228">
        <v>4</v>
      </c>
      <c r="O228">
        <v>75.400000000000006</v>
      </c>
      <c r="P228">
        <v>5</v>
      </c>
      <c r="Q228" t="s">
        <v>1164</v>
      </c>
      <c r="R228">
        <v>3</v>
      </c>
      <c r="S228" t="s">
        <v>1027</v>
      </c>
      <c r="T228">
        <v>2</v>
      </c>
      <c r="U228" t="s">
        <v>1157</v>
      </c>
      <c r="V228">
        <v>2</v>
      </c>
      <c r="W228" t="s">
        <v>741</v>
      </c>
      <c r="X228">
        <v>4</v>
      </c>
      <c r="Y228" t="s">
        <v>676</v>
      </c>
      <c r="Z228">
        <v>1</v>
      </c>
    </row>
    <row r="229" spans="1:26" x14ac:dyDescent="0.4">
      <c r="A229" t="s">
        <v>796</v>
      </c>
      <c r="B229" t="s">
        <v>823</v>
      </c>
      <c r="C229" t="s">
        <v>233</v>
      </c>
      <c r="D229">
        <v>2.97</v>
      </c>
      <c r="E229" t="s">
        <v>1381</v>
      </c>
      <c r="F229">
        <v>4</v>
      </c>
      <c r="G229" t="s">
        <v>1016</v>
      </c>
      <c r="H229">
        <v>1</v>
      </c>
      <c r="I229" t="s">
        <v>1149</v>
      </c>
      <c r="J229">
        <v>2</v>
      </c>
      <c r="K229" t="s">
        <v>1032</v>
      </c>
      <c r="L229">
        <v>2</v>
      </c>
      <c r="M229" t="s">
        <v>562</v>
      </c>
      <c r="N229">
        <v>5</v>
      </c>
      <c r="O229">
        <v>54</v>
      </c>
      <c r="P229">
        <v>1</v>
      </c>
      <c r="Q229" t="s">
        <v>903</v>
      </c>
      <c r="R229">
        <v>4</v>
      </c>
      <c r="S229" t="s">
        <v>772</v>
      </c>
      <c r="T229">
        <v>3</v>
      </c>
      <c r="U229" t="s">
        <v>844</v>
      </c>
      <c r="V229">
        <v>2</v>
      </c>
      <c r="W229" t="s">
        <v>996</v>
      </c>
      <c r="X229">
        <v>5</v>
      </c>
      <c r="Y229" t="s">
        <v>802</v>
      </c>
      <c r="Z229">
        <v>4</v>
      </c>
    </row>
    <row r="230" spans="1:26" x14ac:dyDescent="0.4">
      <c r="A230" t="s">
        <v>804</v>
      </c>
      <c r="B230" t="s">
        <v>832</v>
      </c>
      <c r="C230" t="s">
        <v>280</v>
      </c>
      <c r="D230">
        <v>2.85</v>
      </c>
      <c r="E230" t="s">
        <v>1382</v>
      </c>
      <c r="F230">
        <v>4</v>
      </c>
      <c r="G230" t="s">
        <v>666</v>
      </c>
      <c r="H230">
        <v>4</v>
      </c>
      <c r="I230" t="s">
        <v>1383</v>
      </c>
      <c r="J230">
        <v>2</v>
      </c>
      <c r="K230" t="s">
        <v>1223</v>
      </c>
      <c r="L230">
        <v>5</v>
      </c>
      <c r="M230" t="s">
        <v>769</v>
      </c>
      <c r="N230">
        <v>3</v>
      </c>
      <c r="O230">
        <v>53.4</v>
      </c>
      <c r="P230">
        <v>1</v>
      </c>
      <c r="Q230" t="s">
        <v>1380</v>
      </c>
      <c r="R230">
        <v>5</v>
      </c>
      <c r="S230" t="s">
        <v>795</v>
      </c>
      <c r="T230">
        <v>1</v>
      </c>
      <c r="U230" t="s">
        <v>773</v>
      </c>
      <c r="V230">
        <v>2</v>
      </c>
      <c r="W230" t="s">
        <v>807</v>
      </c>
      <c r="X230">
        <v>2</v>
      </c>
      <c r="Y230" t="s">
        <v>771</v>
      </c>
      <c r="Z230">
        <v>1</v>
      </c>
    </row>
    <row r="231" spans="1:26" x14ac:dyDescent="0.4">
      <c r="A231" t="s">
        <v>814</v>
      </c>
      <c r="B231" t="s">
        <v>840</v>
      </c>
      <c r="C231" t="s">
        <v>170</v>
      </c>
      <c r="D231">
        <v>3.16</v>
      </c>
      <c r="E231" t="s">
        <v>1384</v>
      </c>
      <c r="F231">
        <v>5</v>
      </c>
      <c r="G231" t="s">
        <v>580</v>
      </c>
      <c r="H231">
        <v>4</v>
      </c>
      <c r="I231" t="s">
        <v>1160</v>
      </c>
      <c r="J231">
        <v>1</v>
      </c>
      <c r="K231" t="s">
        <v>1161</v>
      </c>
      <c r="L231">
        <v>5</v>
      </c>
      <c r="M231" t="s">
        <v>812</v>
      </c>
      <c r="N231">
        <v>5</v>
      </c>
      <c r="O231">
        <v>60.6</v>
      </c>
      <c r="P231">
        <v>2</v>
      </c>
      <c r="Q231" t="s">
        <v>1156</v>
      </c>
      <c r="R231">
        <v>2</v>
      </c>
      <c r="S231" t="s">
        <v>838</v>
      </c>
      <c r="T231">
        <v>5</v>
      </c>
      <c r="U231" t="s">
        <v>800</v>
      </c>
      <c r="V231">
        <v>1</v>
      </c>
      <c r="W231" t="s">
        <v>929</v>
      </c>
      <c r="X231">
        <v>1</v>
      </c>
      <c r="Y231" t="s">
        <v>753</v>
      </c>
      <c r="Z231">
        <v>1</v>
      </c>
    </row>
    <row r="232" spans="1:26" x14ac:dyDescent="0.4">
      <c r="A232" t="s">
        <v>822</v>
      </c>
      <c r="B232" t="s">
        <v>849</v>
      </c>
      <c r="C232" t="s">
        <v>407</v>
      </c>
      <c r="D232">
        <v>2.1800000000000002</v>
      </c>
      <c r="E232" t="s">
        <v>1385</v>
      </c>
      <c r="F232">
        <v>4</v>
      </c>
      <c r="G232" t="s">
        <v>900</v>
      </c>
      <c r="H232">
        <v>3</v>
      </c>
      <c r="I232" t="s">
        <v>961</v>
      </c>
      <c r="J232">
        <v>2</v>
      </c>
      <c r="K232" t="s">
        <v>657</v>
      </c>
      <c r="L232">
        <v>2</v>
      </c>
      <c r="M232" t="s">
        <v>660</v>
      </c>
      <c r="N232">
        <v>3</v>
      </c>
      <c r="O232">
        <v>59.5</v>
      </c>
      <c r="P232">
        <v>2</v>
      </c>
      <c r="Q232" t="s">
        <v>646</v>
      </c>
      <c r="R232">
        <v>1</v>
      </c>
      <c r="S232" t="s">
        <v>1273</v>
      </c>
      <c r="T232">
        <v>2</v>
      </c>
      <c r="U232" t="s">
        <v>1013</v>
      </c>
      <c r="V232">
        <v>2</v>
      </c>
      <c r="W232" t="s">
        <v>1039</v>
      </c>
      <c r="X232">
        <v>1</v>
      </c>
      <c r="Y232" t="s">
        <v>947</v>
      </c>
      <c r="Z232">
        <v>1</v>
      </c>
    </row>
    <row r="233" spans="1:26" x14ac:dyDescent="0.4">
      <c r="A233" t="s">
        <v>831</v>
      </c>
      <c r="B233" t="s">
        <v>858</v>
      </c>
      <c r="C233" t="s">
        <v>191</v>
      </c>
      <c r="D233">
        <v>3.09</v>
      </c>
      <c r="E233" t="s">
        <v>1386</v>
      </c>
      <c r="F233">
        <v>5</v>
      </c>
      <c r="G233" t="s">
        <v>1121</v>
      </c>
      <c r="H233">
        <v>3</v>
      </c>
      <c r="I233" t="s">
        <v>1387</v>
      </c>
      <c r="J233">
        <v>3</v>
      </c>
      <c r="K233" t="s">
        <v>681</v>
      </c>
      <c r="L233">
        <v>5</v>
      </c>
      <c r="M233" t="s">
        <v>1238</v>
      </c>
      <c r="N233">
        <v>3</v>
      </c>
      <c r="O233">
        <v>64</v>
      </c>
      <c r="P233">
        <v>4</v>
      </c>
      <c r="Q233" t="s">
        <v>793</v>
      </c>
      <c r="R233">
        <v>2</v>
      </c>
      <c r="S233" t="s">
        <v>1104</v>
      </c>
      <c r="T233">
        <v>1</v>
      </c>
      <c r="U233" t="s">
        <v>1232</v>
      </c>
      <c r="V233">
        <v>1</v>
      </c>
      <c r="W233" t="s">
        <v>893</v>
      </c>
      <c r="X233">
        <v>2</v>
      </c>
      <c r="Y233" t="s">
        <v>1096</v>
      </c>
      <c r="Z233">
        <v>2</v>
      </c>
    </row>
    <row r="234" spans="1:26" x14ac:dyDescent="0.4">
      <c r="A234" t="s">
        <v>547</v>
      </c>
      <c r="B234" t="s">
        <v>865</v>
      </c>
      <c r="C234" t="s">
        <v>81</v>
      </c>
      <c r="D234">
        <v>3.5</v>
      </c>
      <c r="E234" t="s">
        <v>1334</v>
      </c>
      <c r="F234">
        <v>3</v>
      </c>
      <c r="G234" t="s">
        <v>1256</v>
      </c>
      <c r="H234">
        <v>3</v>
      </c>
      <c r="I234" t="s">
        <v>621</v>
      </c>
      <c r="J234">
        <v>5</v>
      </c>
      <c r="K234" t="s">
        <v>751</v>
      </c>
      <c r="L234">
        <v>5</v>
      </c>
      <c r="M234" t="s">
        <v>754</v>
      </c>
      <c r="N234">
        <v>5</v>
      </c>
      <c r="O234">
        <v>56.5</v>
      </c>
      <c r="P234">
        <v>1</v>
      </c>
      <c r="Q234" t="s">
        <v>1380</v>
      </c>
      <c r="R234">
        <v>5</v>
      </c>
      <c r="S234" t="s">
        <v>970</v>
      </c>
      <c r="T234">
        <v>3</v>
      </c>
      <c r="U234" t="s">
        <v>1009</v>
      </c>
      <c r="V234">
        <v>2</v>
      </c>
      <c r="W234" t="s">
        <v>1019</v>
      </c>
      <c r="X234">
        <v>3</v>
      </c>
      <c r="Y234" t="s">
        <v>917</v>
      </c>
      <c r="Z234">
        <v>3</v>
      </c>
    </row>
    <row r="235" spans="1:26" x14ac:dyDescent="0.4">
      <c r="A235" t="s">
        <v>559</v>
      </c>
      <c r="B235" t="s">
        <v>870</v>
      </c>
      <c r="C235" t="s">
        <v>226</v>
      </c>
      <c r="D235">
        <v>3.01</v>
      </c>
      <c r="E235" t="s">
        <v>1388</v>
      </c>
      <c r="F235">
        <v>3</v>
      </c>
      <c r="G235" t="s">
        <v>830</v>
      </c>
      <c r="H235">
        <v>5</v>
      </c>
      <c r="I235" t="s">
        <v>652</v>
      </c>
      <c r="J235">
        <v>3</v>
      </c>
      <c r="K235" t="s">
        <v>867</v>
      </c>
      <c r="L235">
        <v>5</v>
      </c>
      <c r="M235" t="s">
        <v>1305</v>
      </c>
      <c r="N235">
        <v>1</v>
      </c>
      <c r="O235">
        <v>52.8</v>
      </c>
      <c r="P235">
        <v>1</v>
      </c>
      <c r="Q235" t="s">
        <v>743</v>
      </c>
      <c r="R235">
        <v>3</v>
      </c>
      <c r="S235" t="s">
        <v>885</v>
      </c>
      <c r="T235">
        <v>2</v>
      </c>
      <c r="U235" t="s">
        <v>830</v>
      </c>
      <c r="V235">
        <v>4</v>
      </c>
      <c r="W235" t="s">
        <v>684</v>
      </c>
      <c r="X235">
        <v>5</v>
      </c>
      <c r="Y235" t="s">
        <v>626</v>
      </c>
      <c r="Z235">
        <v>1</v>
      </c>
    </row>
    <row r="236" spans="1:26" x14ac:dyDescent="0.4">
      <c r="A236" t="s">
        <v>569</v>
      </c>
      <c r="B236" t="s">
        <v>879</v>
      </c>
      <c r="C236" t="s">
        <v>138</v>
      </c>
      <c r="D236">
        <v>3.26</v>
      </c>
      <c r="E236" t="s">
        <v>730</v>
      </c>
      <c r="F236">
        <v>3</v>
      </c>
      <c r="G236" t="s">
        <v>856</v>
      </c>
      <c r="H236">
        <v>2</v>
      </c>
      <c r="I236" t="s">
        <v>1187</v>
      </c>
      <c r="J236">
        <v>4</v>
      </c>
      <c r="K236" t="s">
        <v>876</v>
      </c>
      <c r="L236">
        <v>5</v>
      </c>
      <c r="M236" t="s">
        <v>762</v>
      </c>
      <c r="N236">
        <v>5</v>
      </c>
      <c r="O236">
        <v>63.6</v>
      </c>
      <c r="P236">
        <v>3</v>
      </c>
      <c r="Q236" t="s">
        <v>727</v>
      </c>
      <c r="R236">
        <v>3</v>
      </c>
      <c r="S236" t="s">
        <v>762</v>
      </c>
      <c r="T236">
        <v>2</v>
      </c>
      <c r="U236" t="s">
        <v>974</v>
      </c>
      <c r="V236">
        <v>3</v>
      </c>
      <c r="W236" t="s">
        <v>673</v>
      </c>
      <c r="X236">
        <v>2</v>
      </c>
      <c r="Y236" t="s">
        <v>869</v>
      </c>
      <c r="Z236">
        <v>2</v>
      </c>
    </row>
    <row r="237" spans="1:26" x14ac:dyDescent="0.4">
      <c r="A237" t="s">
        <v>581</v>
      </c>
      <c r="B237" t="s">
        <v>887</v>
      </c>
      <c r="C237" t="s">
        <v>103</v>
      </c>
      <c r="D237">
        <v>3.38</v>
      </c>
      <c r="E237" t="s">
        <v>1389</v>
      </c>
      <c r="F237">
        <v>5</v>
      </c>
      <c r="G237" t="s">
        <v>1143</v>
      </c>
      <c r="H237">
        <v>5</v>
      </c>
      <c r="I237" t="s">
        <v>1294</v>
      </c>
      <c r="J237">
        <v>1</v>
      </c>
      <c r="K237" t="s">
        <v>1380</v>
      </c>
      <c r="L237">
        <v>5</v>
      </c>
      <c r="M237" t="s">
        <v>964</v>
      </c>
      <c r="N237">
        <v>5</v>
      </c>
      <c r="O237">
        <v>53.2</v>
      </c>
      <c r="P237">
        <v>1</v>
      </c>
      <c r="Q237" t="s">
        <v>1089</v>
      </c>
      <c r="R237">
        <v>3</v>
      </c>
      <c r="S237" t="s">
        <v>811</v>
      </c>
      <c r="T237">
        <v>2</v>
      </c>
      <c r="U237" t="s">
        <v>725</v>
      </c>
      <c r="V237">
        <v>3</v>
      </c>
      <c r="W237" t="s">
        <v>1037</v>
      </c>
      <c r="X237">
        <v>2</v>
      </c>
      <c r="Y237" t="s">
        <v>1154</v>
      </c>
      <c r="Z237">
        <v>2</v>
      </c>
    </row>
    <row r="238" spans="1:26" x14ac:dyDescent="0.4">
      <c r="A238" t="s">
        <v>593</v>
      </c>
      <c r="B238" t="s">
        <v>896</v>
      </c>
      <c r="C238" t="s">
        <v>65</v>
      </c>
      <c r="D238">
        <v>3.55</v>
      </c>
      <c r="E238" t="s">
        <v>1390</v>
      </c>
      <c r="F238">
        <v>3</v>
      </c>
      <c r="G238" t="s">
        <v>1164</v>
      </c>
      <c r="H238">
        <v>3</v>
      </c>
      <c r="I238" t="s">
        <v>1391</v>
      </c>
      <c r="J238">
        <v>2</v>
      </c>
      <c r="K238" t="s">
        <v>875</v>
      </c>
      <c r="L238">
        <v>5</v>
      </c>
      <c r="M238" t="s">
        <v>568</v>
      </c>
      <c r="N238">
        <v>5</v>
      </c>
      <c r="O238">
        <v>73</v>
      </c>
      <c r="P238">
        <v>5</v>
      </c>
      <c r="Q238" t="s">
        <v>809</v>
      </c>
      <c r="R238">
        <v>2</v>
      </c>
      <c r="S238" t="s">
        <v>877</v>
      </c>
      <c r="T238">
        <v>1</v>
      </c>
      <c r="U238" t="s">
        <v>951</v>
      </c>
      <c r="V238">
        <v>4</v>
      </c>
      <c r="W238" t="s">
        <v>861</v>
      </c>
      <c r="X238">
        <v>1</v>
      </c>
      <c r="Y238" t="s">
        <v>1061</v>
      </c>
      <c r="Z238">
        <v>4</v>
      </c>
    </row>
    <row r="239" spans="1:26" x14ac:dyDescent="0.4">
      <c r="A239" t="s">
        <v>605</v>
      </c>
      <c r="B239" t="s">
        <v>901</v>
      </c>
      <c r="C239" t="s">
        <v>314</v>
      </c>
      <c r="D239">
        <v>2.72</v>
      </c>
      <c r="E239" t="s">
        <v>1392</v>
      </c>
      <c r="F239">
        <v>2</v>
      </c>
      <c r="G239" t="s">
        <v>734</v>
      </c>
      <c r="H239">
        <v>1</v>
      </c>
      <c r="I239" t="s">
        <v>1393</v>
      </c>
      <c r="J239">
        <v>5</v>
      </c>
      <c r="K239" t="s">
        <v>793</v>
      </c>
      <c r="L239">
        <v>3</v>
      </c>
      <c r="M239" t="s">
        <v>673</v>
      </c>
      <c r="N239">
        <v>5</v>
      </c>
      <c r="O239">
        <v>63.1</v>
      </c>
      <c r="P239">
        <v>3</v>
      </c>
      <c r="Q239" t="s">
        <v>962</v>
      </c>
      <c r="R239">
        <v>2</v>
      </c>
      <c r="S239" t="s">
        <v>978</v>
      </c>
      <c r="T239">
        <v>2</v>
      </c>
      <c r="U239" t="s">
        <v>972</v>
      </c>
      <c r="V239">
        <v>2</v>
      </c>
      <c r="W239" t="s">
        <v>803</v>
      </c>
      <c r="X239">
        <v>3</v>
      </c>
      <c r="Y239" t="s">
        <v>781</v>
      </c>
      <c r="Z239">
        <v>1</v>
      </c>
    </row>
    <row r="240" spans="1:26" x14ac:dyDescent="0.4">
      <c r="A240" t="s">
        <v>617</v>
      </c>
      <c r="B240" t="s">
        <v>909</v>
      </c>
      <c r="C240" t="s">
        <v>38</v>
      </c>
      <c r="D240">
        <v>3.75</v>
      </c>
      <c r="E240" t="s">
        <v>1394</v>
      </c>
      <c r="F240">
        <v>4</v>
      </c>
      <c r="G240" t="s">
        <v>1058</v>
      </c>
      <c r="H240">
        <v>5</v>
      </c>
      <c r="I240" t="s">
        <v>1315</v>
      </c>
      <c r="J240">
        <v>3</v>
      </c>
      <c r="K240" t="s">
        <v>1313</v>
      </c>
      <c r="L240">
        <v>3</v>
      </c>
      <c r="M240" t="s">
        <v>640</v>
      </c>
      <c r="N240">
        <v>5</v>
      </c>
      <c r="O240">
        <v>60.3</v>
      </c>
      <c r="P240">
        <v>2</v>
      </c>
      <c r="Q240" t="s">
        <v>1107</v>
      </c>
      <c r="R240">
        <v>4</v>
      </c>
      <c r="S240" t="s">
        <v>1142</v>
      </c>
      <c r="T240">
        <v>5</v>
      </c>
      <c r="U240" t="s">
        <v>940</v>
      </c>
      <c r="V240">
        <v>3</v>
      </c>
      <c r="W240" t="s">
        <v>853</v>
      </c>
      <c r="X240">
        <v>2</v>
      </c>
      <c r="Y240" t="s">
        <v>1074</v>
      </c>
      <c r="Z240">
        <v>5</v>
      </c>
    </row>
    <row r="241" spans="1:26" x14ac:dyDescent="0.4">
      <c r="A241" t="s">
        <v>627</v>
      </c>
      <c r="B241" t="s">
        <v>918</v>
      </c>
      <c r="C241" t="s">
        <v>117</v>
      </c>
      <c r="D241">
        <v>3.31</v>
      </c>
      <c r="E241" t="s">
        <v>1395</v>
      </c>
      <c r="F241">
        <v>5</v>
      </c>
      <c r="G241" t="s">
        <v>586</v>
      </c>
      <c r="H241">
        <v>4</v>
      </c>
      <c r="I241" t="s">
        <v>1035</v>
      </c>
      <c r="J241">
        <v>5</v>
      </c>
      <c r="K241" t="s">
        <v>754</v>
      </c>
      <c r="L241">
        <v>5</v>
      </c>
      <c r="M241" t="s">
        <v>898</v>
      </c>
      <c r="N241">
        <v>1</v>
      </c>
      <c r="O241">
        <v>66.900000000000006</v>
      </c>
      <c r="P241">
        <v>4</v>
      </c>
      <c r="Q241" t="s">
        <v>1086</v>
      </c>
      <c r="R241">
        <v>2</v>
      </c>
      <c r="S241" t="s">
        <v>892</v>
      </c>
      <c r="T241">
        <v>2</v>
      </c>
      <c r="U241" t="s">
        <v>703</v>
      </c>
      <c r="V241">
        <v>3</v>
      </c>
      <c r="W241" t="s">
        <v>664</v>
      </c>
      <c r="X241">
        <v>3</v>
      </c>
      <c r="Y241" t="s">
        <v>1024</v>
      </c>
      <c r="Z241">
        <v>2</v>
      </c>
    </row>
    <row r="242" spans="1:26" x14ac:dyDescent="0.4">
      <c r="A242" t="s">
        <v>637</v>
      </c>
      <c r="B242" t="s">
        <v>548</v>
      </c>
      <c r="C242" t="s">
        <v>307</v>
      </c>
      <c r="D242">
        <v>2.74</v>
      </c>
      <c r="E242" t="s">
        <v>1396</v>
      </c>
      <c r="F242">
        <v>5</v>
      </c>
      <c r="G242" t="s">
        <v>1244</v>
      </c>
      <c r="H242">
        <v>1</v>
      </c>
      <c r="I242" t="s">
        <v>750</v>
      </c>
      <c r="J242">
        <v>3</v>
      </c>
      <c r="K242" t="s">
        <v>735</v>
      </c>
      <c r="L242">
        <v>5</v>
      </c>
      <c r="M242" t="s">
        <v>958</v>
      </c>
      <c r="N242">
        <v>1</v>
      </c>
      <c r="O242">
        <v>77.3</v>
      </c>
      <c r="P242">
        <v>5</v>
      </c>
      <c r="Q242" t="s">
        <v>913</v>
      </c>
      <c r="R242">
        <v>2</v>
      </c>
      <c r="S242" t="s">
        <v>1156</v>
      </c>
      <c r="T242">
        <v>2</v>
      </c>
      <c r="U242" t="s">
        <v>914</v>
      </c>
      <c r="V242">
        <v>1</v>
      </c>
      <c r="W242" t="s">
        <v>1200</v>
      </c>
      <c r="X242">
        <v>1</v>
      </c>
      <c r="Y242" t="s">
        <v>882</v>
      </c>
      <c r="Z242">
        <v>3</v>
      </c>
    </row>
    <row r="243" spans="1:26" x14ac:dyDescent="0.4">
      <c r="A243" t="s">
        <v>648</v>
      </c>
      <c r="B243" t="s">
        <v>560</v>
      </c>
      <c r="C243" t="s">
        <v>415</v>
      </c>
      <c r="D243">
        <v>2.08</v>
      </c>
      <c r="E243" t="s">
        <v>1397</v>
      </c>
      <c r="F243">
        <v>5</v>
      </c>
      <c r="G243" t="s">
        <v>762</v>
      </c>
      <c r="H243">
        <v>1</v>
      </c>
      <c r="I243" t="s">
        <v>1398</v>
      </c>
      <c r="J243">
        <v>2</v>
      </c>
      <c r="K243" t="s">
        <v>819</v>
      </c>
      <c r="L243">
        <v>1</v>
      </c>
      <c r="M243" t="s">
        <v>818</v>
      </c>
      <c r="N243">
        <v>3</v>
      </c>
      <c r="O243">
        <v>58.5</v>
      </c>
      <c r="P243">
        <v>2</v>
      </c>
      <c r="Q243" t="s">
        <v>1347</v>
      </c>
      <c r="R243">
        <v>3</v>
      </c>
      <c r="S243" t="s">
        <v>662</v>
      </c>
      <c r="T243">
        <v>2</v>
      </c>
      <c r="U243" t="s">
        <v>1228</v>
      </c>
      <c r="V243">
        <v>2</v>
      </c>
      <c r="W243" t="s">
        <v>676</v>
      </c>
      <c r="X243">
        <v>1</v>
      </c>
      <c r="Y243" t="s">
        <v>876</v>
      </c>
      <c r="Z243">
        <v>2</v>
      </c>
    </row>
    <row r="244" spans="1:26" x14ac:dyDescent="0.4">
      <c r="A244" t="s">
        <v>658</v>
      </c>
      <c r="B244" t="s">
        <v>570</v>
      </c>
      <c r="C244" t="s">
        <v>194</v>
      </c>
      <c r="D244">
        <v>3.08</v>
      </c>
      <c r="E244" t="s">
        <v>1399</v>
      </c>
      <c r="F244">
        <v>2</v>
      </c>
      <c r="G244" t="s">
        <v>978</v>
      </c>
      <c r="H244">
        <v>1</v>
      </c>
      <c r="I244" t="s">
        <v>1095</v>
      </c>
      <c r="J244">
        <v>3</v>
      </c>
      <c r="K244" t="s">
        <v>686</v>
      </c>
      <c r="L244">
        <v>5</v>
      </c>
      <c r="M244" t="s">
        <v>1036</v>
      </c>
      <c r="N244">
        <v>4</v>
      </c>
      <c r="O244">
        <v>63.6</v>
      </c>
      <c r="P244">
        <v>3</v>
      </c>
      <c r="Q244" t="s">
        <v>704</v>
      </c>
      <c r="R244">
        <v>4</v>
      </c>
      <c r="S244" t="s">
        <v>705</v>
      </c>
      <c r="T244">
        <v>3</v>
      </c>
      <c r="U244" t="s">
        <v>672</v>
      </c>
      <c r="V244">
        <v>2</v>
      </c>
      <c r="W244" t="s">
        <v>732</v>
      </c>
      <c r="X244">
        <v>4</v>
      </c>
      <c r="Y244" t="s">
        <v>1108</v>
      </c>
      <c r="Z244">
        <v>2</v>
      </c>
    </row>
    <row r="245" spans="1:26" x14ac:dyDescent="0.4">
      <c r="A245" t="s">
        <v>668</v>
      </c>
      <c r="B245" t="s">
        <v>582</v>
      </c>
      <c r="C245" t="s">
        <v>69</v>
      </c>
      <c r="D245">
        <v>3.54</v>
      </c>
      <c r="E245" t="s">
        <v>1369</v>
      </c>
      <c r="F245">
        <v>2</v>
      </c>
      <c r="G245" t="s">
        <v>949</v>
      </c>
      <c r="H245">
        <v>5</v>
      </c>
      <c r="I245" t="s">
        <v>1035</v>
      </c>
      <c r="J245">
        <v>5</v>
      </c>
      <c r="K245" t="s">
        <v>905</v>
      </c>
      <c r="L245">
        <v>5</v>
      </c>
      <c r="M245" t="s">
        <v>869</v>
      </c>
      <c r="N245">
        <v>5</v>
      </c>
      <c r="O245">
        <v>61.5</v>
      </c>
      <c r="P245">
        <v>3</v>
      </c>
      <c r="Q245" t="s">
        <v>685</v>
      </c>
      <c r="R245">
        <v>2</v>
      </c>
      <c r="S245" t="s">
        <v>590</v>
      </c>
      <c r="T245">
        <v>4</v>
      </c>
      <c r="U245" t="s">
        <v>742</v>
      </c>
      <c r="V245">
        <v>1</v>
      </c>
      <c r="W245" t="s">
        <v>643</v>
      </c>
      <c r="X245">
        <v>1</v>
      </c>
      <c r="Y245" t="s">
        <v>900</v>
      </c>
      <c r="Z245">
        <v>3</v>
      </c>
    </row>
    <row r="246" spans="1:26" x14ac:dyDescent="0.4">
      <c r="A246" t="s">
        <v>678</v>
      </c>
      <c r="B246" t="s">
        <v>594</v>
      </c>
      <c r="C246" t="s">
        <v>379</v>
      </c>
      <c r="D246">
        <v>2.4300000000000002</v>
      </c>
      <c r="E246" t="s">
        <v>1400</v>
      </c>
      <c r="F246">
        <v>3</v>
      </c>
      <c r="G246" t="s">
        <v>771</v>
      </c>
      <c r="H246">
        <v>1</v>
      </c>
      <c r="I246" t="s">
        <v>585</v>
      </c>
      <c r="J246">
        <v>1</v>
      </c>
      <c r="K246" t="s">
        <v>1401</v>
      </c>
      <c r="L246">
        <v>5</v>
      </c>
      <c r="M246" t="s">
        <v>884</v>
      </c>
      <c r="N246">
        <v>3</v>
      </c>
      <c r="O246">
        <v>55.7</v>
      </c>
      <c r="P246">
        <v>1</v>
      </c>
      <c r="Q246" t="s">
        <v>820</v>
      </c>
      <c r="R246">
        <v>2</v>
      </c>
      <c r="S246" t="s">
        <v>847</v>
      </c>
      <c r="T246">
        <v>2</v>
      </c>
      <c r="U246" t="s">
        <v>1190</v>
      </c>
      <c r="V246">
        <v>2</v>
      </c>
      <c r="W246" t="s">
        <v>998</v>
      </c>
      <c r="X246">
        <v>4</v>
      </c>
      <c r="Y246" t="s">
        <v>1010</v>
      </c>
      <c r="Z246">
        <v>1</v>
      </c>
    </row>
    <row r="247" spans="1:26" x14ac:dyDescent="0.4">
      <c r="A247" t="s">
        <v>687</v>
      </c>
      <c r="B247" t="s">
        <v>606</v>
      </c>
      <c r="C247" t="s">
        <v>98</v>
      </c>
      <c r="D247">
        <v>3.41</v>
      </c>
      <c r="E247" t="s">
        <v>1239</v>
      </c>
      <c r="F247">
        <v>5</v>
      </c>
      <c r="G247" t="s">
        <v>741</v>
      </c>
      <c r="H247">
        <v>4</v>
      </c>
      <c r="I247" t="s">
        <v>928</v>
      </c>
      <c r="J247">
        <v>4</v>
      </c>
      <c r="K247" t="s">
        <v>1102</v>
      </c>
      <c r="L247">
        <v>5</v>
      </c>
      <c r="M247" t="s">
        <v>1273</v>
      </c>
      <c r="N247">
        <v>2</v>
      </c>
      <c r="O247">
        <v>69.7</v>
      </c>
      <c r="P247">
        <v>5</v>
      </c>
      <c r="Q247" t="s">
        <v>1146</v>
      </c>
      <c r="R247">
        <v>3</v>
      </c>
      <c r="S247" t="s">
        <v>1197</v>
      </c>
      <c r="T247">
        <v>2</v>
      </c>
      <c r="U247" t="s">
        <v>572</v>
      </c>
      <c r="V247">
        <v>2</v>
      </c>
      <c r="W247" t="s">
        <v>1280</v>
      </c>
      <c r="X247">
        <v>1</v>
      </c>
      <c r="Y247" t="s">
        <v>756</v>
      </c>
      <c r="Z247">
        <v>3</v>
      </c>
    </row>
    <row r="248" spans="1:26" x14ac:dyDescent="0.4">
      <c r="A248" t="s">
        <v>698</v>
      </c>
      <c r="B248" t="s">
        <v>618</v>
      </c>
      <c r="C248" t="s">
        <v>360</v>
      </c>
      <c r="D248">
        <v>2.5299999999999998</v>
      </c>
      <c r="E248" t="s">
        <v>1402</v>
      </c>
      <c r="F248">
        <v>5</v>
      </c>
      <c r="G248" t="s">
        <v>985</v>
      </c>
      <c r="H248">
        <v>3</v>
      </c>
      <c r="I248" t="s">
        <v>1011</v>
      </c>
      <c r="J248">
        <v>1</v>
      </c>
      <c r="K248" t="s">
        <v>1244</v>
      </c>
      <c r="L248">
        <v>1</v>
      </c>
      <c r="M248" t="s">
        <v>1261</v>
      </c>
      <c r="N248">
        <v>5</v>
      </c>
      <c r="O248">
        <v>57.4</v>
      </c>
      <c r="P248">
        <v>2</v>
      </c>
      <c r="Q248" t="s">
        <v>1083</v>
      </c>
      <c r="R248">
        <v>2</v>
      </c>
      <c r="S248" t="s">
        <v>894</v>
      </c>
      <c r="T248">
        <v>3</v>
      </c>
      <c r="U248" t="s">
        <v>782</v>
      </c>
      <c r="V248">
        <v>2</v>
      </c>
      <c r="W248" t="s">
        <v>915</v>
      </c>
      <c r="X248">
        <v>2</v>
      </c>
      <c r="Y248" t="s">
        <v>863</v>
      </c>
      <c r="Z248">
        <v>1</v>
      </c>
    </row>
    <row r="249" spans="1:26" x14ac:dyDescent="0.4">
      <c r="A249" t="s">
        <v>706</v>
      </c>
      <c r="B249" t="s">
        <v>628</v>
      </c>
      <c r="C249" t="s">
        <v>249</v>
      </c>
      <c r="D249">
        <v>2.93</v>
      </c>
      <c r="E249" t="s">
        <v>1403</v>
      </c>
      <c r="F249">
        <v>5</v>
      </c>
      <c r="G249" t="s">
        <v>1197</v>
      </c>
      <c r="H249">
        <v>1</v>
      </c>
      <c r="I249" t="s">
        <v>1324</v>
      </c>
      <c r="J249">
        <v>3</v>
      </c>
      <c r="K249" t="s">
        <v>1013</v>
      </c>
      <c r="L249">
        <v>2</v>
      </c>
      <c r="M249" t="s">
        <v>1045</v>
      </c>
      <c r="N249">
        <v>3</v>
      </c>
      <c r="O249">
        <v>74.900000000000006</v>
      </c>
      <c r="P249">
        <v>5</v>
      </c>
      <c r="Q249" t="s">
        <v>672</v>
      </c>
      <c r="R249">
        <v>3</v>
      </c>
      <c r="S249" t="s">
        <v>574</v>
      </c>
      <c r="T249">
        <v>2</v>
      </c>
      <c r="U249" t="s">
        <v>1234</v>
      </c>
      <c r="V249">
        <v>3</v>
      </c>
      <c r="W249" t="s">
        <v>695</v>
      </c>
      <c r="X249">
        <v>5</v>
      </c>
      <c r="Y249" t="s">
        <v>987</v>
      </c>
      <c r="Z249">
        <v>1</v>
      </c>
    </row>
    <row r="250" spans="1:26" x14ac:dyDescent="0.4">
      <c r="A250" t="s">
        <v>716</v>
      </c>
      <c r="B250" t="s">
        <v>638</v>
      </c>
      <c r="C250" t="s">
        <v>178</v>
      </c>
      <c r="D250">
        <v>3.14</v>
      </c>
      <c r="E250" t="s">
        <v>561</v>
      </c>
      <c r="F250">
        <v>4</v>
      </c>
      <c r="G250" t="s">
        <v>666</v>
      </c>
      <c r="H250">
        <v>4</v>
      </c>
      <c r="I250" t="s">
        <v>1404</v>
      </c>
      <c r="J250">
        <v>1</v>
      </c>
      <c r="K250" t="s">
        <v>1107</v>
      </c>
      <c r="L250">
        <v>5</v>
      </c>
      <c r="M250" t="s">
        <v>1052</v>
      </c>
      <c r="N250">
        <v>4</v>
      </c>
      <c r="O250">
        <v>53.4</v>
      </c>
      <c r="P250">
        <v>1</v>
      </c>
      <c r="Q250" t="s">
        <v>819</v>
      </c>
      <c r="R250">
        <v>1</v>
      </c>
      <c r="S250" t="s">
        <v>886</v>
      </c>
      <c r="T250">
        <v>2</v>
      </c>
      <c r="U250" t="s">
        <v>751</v>
      </c>
      <c r="V250">
        <v>3</v>
      </c>
      <c r="W250" t="s">
        <v>1243</v>
      </c>
      <c r="X250">
        <v>2</v>
      </c>
      <c r="Y250" t="s">
        <v>690</v>
      </c>
      <c r="Z250">
        <v>4</v>
      </c>
    </row>
    <row r="251" spans="1:26" x14ac:dyDescent="0.4">
      <c r="A251" t="s">
        <v>728</v>
      </c>
      <c r="B251" t="s">
        <v>649</v>
      </c>
      <c r="C251" t="s">
        <v>423</v>
      </c>
      <c r="D251">
        <v>1.47</v>
      </c>
      <c r="E251" t="s">
        <v>1290</v>
      </c>
      <c r="F251">
        <v>2</v>
      </c>
      <c r="G251" t="s">
        <v>1313</v>
      </c>
      <c r="H251">
        <v>1</v>
      </c>
      <c r="I251" t="s">
        <v>1405</v>
      </c>
      <c r="J251">
        <v>1</v>
      </c>
      <c r="K251" t="s">
        <v>1308</v>
      </c>
      <c r="L251">
        <v>1</v>
      </c>
      <c r="M251" t="s">
        <v>1111</v>
      </c>
      <c r="N251">
        <v>2</v>
      </c>
      <c r="O251">
        <v>54.1</v>
      </c>
      <c r="P251">
        <v>1</v>
      </c>
      <c r="Q251" t="s">
        <v>1097</v>
      </c>
      <c r="R251">
        <v>1</v>
      </c>
      <c r="S251" t="s">
        <v>980</v>
      </c>
      <c r="T251">
        <v>3</v>
      </c>
      <c r="U251" t="s">
        <v>709</v>
      </c>
      <c r="V251">
        <v>2</v>
      </c>
      <c r="W251" t="s">
        <v>1197</v>
      </c>
      <c r="X251">
        <v>2</v>
      </c>
      <c r="Y251" t="s">
        <v>960</v>
      </c>
      <c r="Z251">
        <v>1</v>
      </c>
    </row>
    <row r="252" spans="1:26" x14ac:dyDescent="0.4">
      <c r="A252" t="s">
        <v>736</v>
      </c>
      <c r="B252" t="s">
        <v>659</v>
      </c>
      <c r="C252" t="s">
        <v>347</v>
      </c>
      <c r="D252">
        <v>2.6</v>
      </c>
      <c r="E252" t="s">
        <v>1278</v>
      </c>
      <c r="F252">
        <v>5</v>
      </c>
      <c r="G252" t="s">
        <v>616</v>
      </c>
      <c r="H252">
        <v>3</v>
      </c>
      <c r="I252" t="s">
        <v>1406</v>
      </c>
      <c r="J252">
        <v>2</v>
      </c>
      <c r="K252" t="s">
        <v>567</v>
      </c>
      <c r="L252">
        <v>1</v>
      </c>
      <c r="M252" t="s">
        <v>769</v>
      </c>
      <c r="N252">
        <v>3</v>
      </c>
      <c r="O252">
        <v>67.7</v>
      </c>
      <c r="P252">
        <v>4</v>
      </c>
      <c r="Q252" t="s">
        <v>1177</v>
      </c>
      <c r="R252">
        <v>2</v>
      </c>
      <c r="S252" t="s">
        <v>1234</v>
      </c>
      <c r="T252">
        <v>3</v>
      </c>
      <c r="U252" t="s">
        <v>917</v>
      </c>
      <c r="V252">
        <v>3</v>
      </c>
      <c r="W252" t="s">
        <v>895</v>
      </c>
      <c r="X252">
        <v>1</v>
      </c>
      <c r="Y252" t="s">
        <v>1154</v>
      </c>
      <c r="Z252">
        <v>2</v>
      </c>
    </row>
    <row r="253" spans="1:26" x14ac:dyDescent="0.4">
      <c r="A253" t="s">
        <v>746</v>
      </c>
      <c r="B253" t="s">
        <v>669</v>
      </c>
      <c r="C253" t="s">
        <v>13</v>
      </c>
      <c r="D253">
        <v>3.95</v>
      </c>
      <c r="E253" t="s">
        <v>1407</v>
      </c>
      <c r="F253">
        <v>5</v>
      </c>
      <c r="G253" t="s">
        <v>828</v>
      </c>
      <c r="H253">
        <v>4</v>
      </c>
      <c r="I253" t="s">
        <v>1035</v>
      </c>
      <c r="J253">
        <v>5</v>
      </c>
      <c r="K253" t="s">
        <v>1192</v>
      </c>
      <c r="L253">
        <v>5</v>
      </c>
      <c r="M253" t="s">
        <v>821</v>
      </c>
      <c r="N253">
        <v>5</v>
      </c>
      <c r="O253">
        <v>75.7</v>
      </c>
      <c r="P253">
        <v>5</v>
      </c>
      <c r="Q253" t="s">
        <v>845</v>
      </c>
      <c r="R253">
        <v>3</v>
      </c>
      <c r="S253" t="s">
        <v>834</v>
      </c>
      <c r="T253">
        <v>2</v>
      </c>
      <c r="U253" t="s">
        <v>723</v>
      </c>
      <c r="V253">
        <v>3</v>
      </c>
      <c r="W253" t="s">
        <v>914</v>
      </c>
      <c r="X253">
        <v>1</v>
      </c>
      <c r="Y253" t="s">
        <v>1033</v>
      </c>
      <c r="Z253">
        <v>3</v>
      </c>
    </row>
    <row r="254" spans="1:26" x14ac:dyDescent="0.4">
      <c r="A254" t="s">
        <v>757</v>
      </c>
      <c r="B254" t="s">
        <v>679</v>
      </c>
      <c r="C254" t="s">
        <v>101</v>
      </c>
      <c r="D254">
        <v>3.39</v>
      </c>
      <c r="E254" t="s">
        <v>1408</v>
      </c>
      <c r="F254">
        <v>5</v>
      </c>
      <c r="G254" t="s">
        <v>1102</v>
      </c>
      <c r="H254">
        <v>5</v>
      </c>
      <c r="I254" t="s">
        <v>1183</v>
      </c>
      <c r="J254">
        <v>2</v>
      </c>
      <c r="K254" t="s">
        <v>1046</v>
      </c>
      <c r="L254">
        <v>5</v>
      </c>
      <c r="M254" t="s">
        <v>1142</v>
      </c>
      <c r="N254">
        <v>5</v>
      </c>
      <c r="O254">
        <v>53.6</v>
      </c>
      <c r="P254">
        <v>1</v>
      </c>
      <c r="Q254" t="s">
        <v>712</v>
      </c>
      <c r="R254">
        <v>4</v>
      </c>
      <c r="S254" t="s">
        <v>665</v>
      </c>
      <c r="T254">
        <v>3</v>
      </c>
      <c r="U254" t="s">
        <v>813</v>
      </c>
      <c r="V254">
        <v>2</v>
      </c>
      <c r="W254" t="s">
        <v>694</v>
      </c>
      <c r="X254">
        <v>1</v>
      </c>
      <c r="Y254" t="s">
        <v>642</v>
      </c>
      <c r="Z254">
        <v>2</v>
      </c>
    </row>
    <row r="255" spans="1:26" x14ac:dyDescent="0.4">
      <c r="A255" t="s">
        <v>765</v>
      </c>
      <c r="B255" t="s">
        <v>688</v>
      </c>
      <c r="C255" t="s">
        <v>363</v>
      </c>
      <c r="D255">
        <v>2.5099999999999998</v>
      </c>
      <c r="E255" t="s">
        <v>1409</v>
      </c>
      <c r="F255">
        <v>3</v>
      </c>
      <c r="G255" t="s">
        <v>1015</v>
      </c>
      <c r="H255">
        <v>1</v>
      </c>
      <c r="I255" t="s">
        <v>1410</v>
      </c>
      <c r="J255">
        <v>4</v>
      </c>
      <c r="K255" t="s">
        <v>613</v>
      </c>
      <c r="L255">
        <v>5</v>
      </c>
      <c r="M255" t="s">
        <v>625</v>
      </c>
      <c r="N255">
        <v>2</v>
      </c>
      <c r="O255">
        <v>53.1</v>
      </c>
      <c r="P255">
        <v>1</v>
      </c>
      <c r="Q255" t="s">
        <v>553</v>
      </c>
      <c r="R255">
        <v>4</v>
      </c>
      <c r="S255" t="s">
        <v>1067</v>
      </c>
      <c r="T255">
        <v>3</v>
      </c>
      <c r="U255" t="s">
        <v>1234</v>
      </c>
      <c r="V255">
        <v>3</v>
      </c>
      <c r="W255" t="s">
        <v>1277</v>
      </c>
      <c r="X255">
        <v>1</v>
      </c>
      <c r="Y255" t="s">
        <v>945</v>
      </c>
      <c r="Z255">
        <v>2</v>
      </c>
    </row>
    <row r="256" spans="1:26" x14ac:dyDescent="0.4">
      <c r="A256" t="s">
        <v>775</v>
      </c>
      <c r="B256" t="s">
        <v>699</v>
      </c>
      <c r="C256" t="s">
        <v>100</v>
      </c>
      <c r="D256">
        <v>3.4</v>
      </c>
      <c r="E256" t="s">
        <v>1411</v>
      </c>
      <c r="F256">
        <v>5</v>
      </c>
      <c r="G256" t="s">
        <v>755</v>
      </c>
      <c r="H256">
        <v>3</v>
      </c>
      <c r="I256" t="s">
        <v>1412</v>
      </c>
      <c r="J256">
        <v>2</v>
      </c>
      <c r="K256" t="s">
        <v>749</v>
      </c>
      <c r="L256">
        <v>4</v>
      </c>
      <c r="M256" t="s">
        <v>1037</v>
      </c>
      <c r="N256">
        <v>5</v>
      </c>
      <c r="O256">
        <v>76</v>
      </c>
      <c r="P256">
        <v>5</v>
      </c>
      <c r="Q256" t="s">
        <v>673</v>
      </c>
      <c r="R256">
        <v>2</v>
      </c>
      <c r="S256" t="s">
        <v>1112</v>
      </c>
      <c r="T256">
        <v>2</v>
      </c>
      <c r="U256" t="s">
        <v>1173</v>
      </c>
      <c r="V256">
        <v>2</v>
      </c>
      <c r="W256" t="s">
        <v>1015</v>
      </c>
      <c r="X256">
        <v>1</v>
      </c>
      <c r="Y256" t="s">
        <v>1067</v>
      </c>
      <c r="Z256">
        <v>3</v>
      </c>
    </row>
    <row r="257" spans="1:26" x14ac:dyDescent="0.4">
      <c r="A257" t="s">
        <v>785</v>
      </c>
      <c r="B257" t="s">
        <v>707</v>
      </c>
      <c r="C257" t="s">
        <v>118</v>
      </c>
      <c r="D257">
        <v>3.31</v>
      </c>
      <c r="E257" t="s">
        <v>976</v>
      </c>
      <c r="F257">
        <v>2</v>
      </c>
      <c r="G257" t="s">
        <v>1010</v>
      </c>
      <c r="H257">
        <v>1</v>
      </c>
      <c r="I257" t="s">
        <v>1133</v>
      </c>
      <c r="J257">
        <v>4</v>
      </c>
      <c r="K257" t="s">
        <v>611</v>
      </c>
      <c r="L257">
        <v>4</v>
      </c>
      <c r="M257" t="s">
        <v>554</v>
      </c>
      <c r="N257">
        <v>5</v>
      </c>
      <c r="O257">
        <v>75.3</v>
      </c>
      <c r="P257">
        <v>5</v>
      </c>
      <c r="Q257" t="s">
        <v>1174</v>
      </c>
      <c r="R257">
        <v>4</v>
      </c>
      <c r="S257" t="s">
        <v>1266</v>
      </c>
      <c r="T257">
        <v>3</v>
      </c>
      <c r="U257" t="s">
        <v>591</v>
      </c>
      <c r="V257">
        <v>1</v>
      </c>
      <c r="W257" t="s">
        <v>1413</v>
      </c>
      <c r="X257">
        <v>3</v>
      </c>
      <c r="Y257" t="s">
        <v>862</v>
      </c>
      <c r="Z257">
        <v>3</v>
      </c>
    </row>
    <row r="258" spans="1:26" x14ac:dyDescent="0.4">
      <c r="A258" t="s">
        <v>796</v>
      </c>
      <c r="B258" t="s">
        <v>717</v>
      </c>
      <c r="C258" t="s">
        <v>270</v>
      </c>
      <c r="D258">
        <v>2.88</v>
      </c>
      <c r="E258" t="s">
        <v>1414</v>
      </c>
      <c r="F258">
        <v>2</v>
      </c>
      <c r="G258" t="s">
        <v>922</v>
      </c>
      <c r="H258">
        <v>1</v>
      </c>
      <c r="I258" t="s">
        <v>1259</v>
      </c>
      <c r="J258">
        <v>2</v>
      </c>
      <c r="K258" t="s">
        <v>908</v>
      </c>
      <c r="L258">
        <v>3</v>
      </c>
      <c r="M258" t="s">
        <v>867</v>
      </c>
      <c r="N258">
        <v>5</v>
      </c>
      <c r="O258">
        <v>65.900000000000006</v>
      </c>
      <c r="P258">
        <v>4</v>
      </c>
      <c r="Q258" t="s">
        <v>941</v>
      </c>
      <c r="R258">
        <v>3</v>
      </c>
      <c r="S258" t="s">
        <v>1225</v>
      </c>
      <c r="T258">
        <v>2</v>
      </c>
      <c r="U258" t="s">
        <v>1256</v>
      </c>
      <c r="V258">
        <v>3</v>
      </c>
      <c r="W258" t="s">
        <v>1041</v>
      </c>
      <c r="X258">
        <v>1</v>
      </c>
      <c r="Y258" t="s">
        <v>1311</v>
      </c>
      <c r="Z258">
        <v>4</v>
      </c>
    </row>
    <row r="259" spans="1:26" x14ac:dyDescent="0.4">
      <c r="A259" t="s">
        <v>804</v>
      </c>
      <c r="B259" t="s">
        <v>729</v>
      </c>
      <c r="C259" t="s">
        <v>91</v>
      </c>
      <c r="D259">
        <v>3.46</v>
      </c>
      <c r="E259" t="s">
        <v>1415</v>
      </c>
      <c r="F259">
        <v>5</v>
      </c>
      <c r="G259" t="s">
        <v>1076</v>
      </c>
      <c r="H259">
        <v>1</v>
      </c>
      <c r="I259" t="s">
        <v>1387</v>
      </c>
      <c r="J259">
        <v>3</v>
      </c>
      <c r="K259" t="s">
        <v>899</v>
      </c>
      <c r="L259">
        <v>5</v>
      </c>
      <c r="M259" t="s">
        <v>1074</v>
      </c>
      <c r="N259">
        <v>5</v>
      </c>
      <c r="O259">
        <v>67.599999999999994</v>
      </c>
      <c r="P259">
        <v>4</v>
      </c>
      <c r="Q259" t="s">
        <v>1321</v>
      </c>
      <c r="R259">
        <v>3</v>
      </c>
      <c r="S259" t="s">
        <v>847</v>
      </c>
      <c r="T259">
        <v>2</v>
      </c>
      <c r="U259" t="s">
        <v>1013</v>
      </c>
      <c r="V259">
        <v>2</v>
      </c>
      <c r="W259" t="s">
        <v>1137</v>
      </c>
      <c r="X259">
        <v>5</v>
      </c>
      <c r="Y259" t="s">
        <v>885</v>
      </c>
      <c r="Z259">
        <v>1</v>
      </c>
    </row>
    <row r="260" spans="1:26" x14ac:dyDescent="0.4">
      <c r="A260" t="s">
        <v>814</v>
      </c>
      <c r="B260" t="s">
        <v>737</v>
      </c>
      <c r="C260" t="s">
        <v>163</v>
      </c>
      <c r="D260">
        <v>3.19</v>
      </c>
      <c r="E260" t="s">
        <v>571</v>
      </c>
      <c r="F260">
        <v>5</v>
      </c>
      <c r="G260" t="s">
        <v>612</v>
      </c>
      <c r="H260">
        <v>1</v>
      </c>
      <c r="I260" t="s">
        <v>860</v>
      </c>
      <c r="J260">
        <v>4</v>
      </c>
      <c r="K260" t="s">
        <v>1037</v>
      </c>
      <c r="L260">
        <v>5</v>
      </c>
      <c r="M260" t="s">
        <v>660</v>
      </c>
      <c r="N260">
        <v>3</v>
      </c>
      <c r="O260">
        <v>58.8</v>
      </c>
      <c r="P260">
        <v>2</v>
      </c>
      <c r="Q260" t="s">
        <v>1194</v>
      </c>
      <c r="R260">
        <v>3</v>
      </c>
      <c r="S260" t="s">
        <v>1157</v>
      </c>
      <c r="T260">
        <v>2</v>
      </c>
      <c r="U260" t="s">
        <v>588</v>
      </c>
      <c r="V260">
        <v>3</v>
      </c>
      <c r="W260" t="s">
        <v>970</v>
      </c>
      <c r="X260">
        <v>4</v>
      </c>
      <c r="Y260" t="s">
        <v>894</v>
      </c>
      <c r="Z260">
        <v>3</v>
      </c>
    </row>
    <row r="261" spans="1:26" x14ac:dyDescent="0.4">
      <c r="A261" t="s">
        <v>822</v>
      </c>
      <c r="B261" t="s">
        <v>747</v>
      </c>
      <c r="C261" t="s">
        <v>276</v>
      </c>
      <c r="D261">
        <v>2.86</v>
      </c>
      <c r="E261" t="s">
        <v>1416</v>
      </c>
      <c r="F261">
        <v>5</v>
      </c>
      <c r="G261" t="s">
        <v>1096</v>
      </c>
      <c r="H261">
        <v>2</v>
      </c>
      <c r="I261" t="s">
        <v>1297</v>
      </c>
      <c r="J261">
        <v>3</v>
      </c>
      <c r="K261" t="s">
        <v>1083</v>
      </c>
      <c r="L261">
        <v>3</v>
      </c>
      <c r="M261" t="s">
        <v>1148</v>
      </c>
      <c r="N261">
        <v>5</v>
      </c>
      <c r="O261">
        <v>54.2</v>
      </c>
      <c r="P261">
        <v>1</v>
      </c>
      <c r="Q261" t="s">
        <v>701</v>
      </c>
      <c r="R261">
        <v>5</v>
      </c>
      <c r="S261" t="s">
        <v>1039</v>
      </c>
      <c r="T261">
        <v>2</v>
      </c>
      <c r="U261" t="s">
        <v>1033</v>
      </c>
      <c r="V261">
        <v>3</v>
      </c>
      <c r="W261" t="s">
        <v>1088</v>
      </c>
      <c r="X261">
        <v>2</v>
      </c>
      <c r="Y261" t="s">
        <v>847</v>
      </c>
      <c r="Z261">
        <v>1</v>
      </c>
    </row>
    <row r="262" spans="1:26" x14ac:dyDescent="0.4">
      <c r="A262" t="s">
        <v>831</v>
      </c>
      <c r="B262" t="s">
        <v>758</v>
      </c>
      <c r="C262" t="s">
        <v>149</v>
      </c>
      <c r="D262">
        <v>3.23</v>
      </c>
      <c r="E262" t="s">
        <v>1417</v>
      </c>
      <c r="F262">
        <v>5</v>
      </c>
      <c r="G262" t="s">
        <v>1232</v>
      </c>
      <c r="H262">
        <v>1</v>
      </c>
      <c r="I262" t="s">
        <v>1155</v>
      </c>
      <c r="J262">
        <v>4</v>
      </c>
      <c r="K262" t="s">
        <v>714</v>
      </c>
      <c r="L262">
        <v>5</v>
      </c>
      <c r="M262" t="s">
        <v>611</v>
      </c>
      <c r="N262">
        <v>4</v>
      </c>
      <c r="O262">
        <v>58.3</v>
      </c>
      <c r="P262">
        <v>2</v>
      </c>
      <c r="Q262" t="s">
        <v>1413</v>
      </c>
      <c r="R262">
        <v>3</v>
      </c>
      <c r="S262" t="s">
        <v>1313</v>
      </c>
      <c r="T262">
        <v>2</v>
      </c>
      <c r="U262" t="s">
        <v>931</v>
      </c>
      <c r="V262">
        <v>1</v>
      </c>
      <c r="W262" t="s">
        <v>809</v>
      </c>
      <c r="X262">
        <v>2</v>
      </c>
      <c r="Y262" t="s">
        <v>1074</v>
      </c>
      <c r="Z262">
        <v>5</v>
      </c>
    </row>
    <row r="263" spans="1:26" x14ac:dyDescent="0.4">
      <c r="A263" t="s">
        <v>547</v>
      </c>
      <c r="B263" t="s">
        <v>766</v>
      </c>
      <c r="C263" t="s">
        <v>421</v>
      </c>
      <c r="D263">
        <v>1.82</v>
      </c>
      <c r="E263" t="s">
        <v>1418</v>
      </c>
      <c r="F263">
        <v>2</v>
      </c>
      <c r="G263" t="s">
        <v>614</v>
      </c>
      <c r="H263">
        <v>1</v>
      </c>
      <c r="I263" t="s">
        <v>1391</v>
      </c>
      <c r="J263">
        <v>2</v>
      </c>
      <c r="K263" t="s">
        <v>1251</v>
      </c>
      <c r="L263">
        <v>2</v>
      </c>
      <c r="M263" t="s">
        <v>1013</v>
      </c>
      <c r="N263">
        <v>1</v>
      </c>
      <c r="O263">
        <v>57.5</v>
      </c>
      <c r="P263">
        <v>2</v>
      </c>
      <c r="Q263" t="s">
        <v>1038</v>
      </c>
      <c r="R263">
        <v>1</v>
      </c>
      <c r="S263" t="s">
        <v>1214</v>
      </c>
      <c r="T263">
        <v>2</v>
      </c>
      <c r="U263" t="s">
        <v>711</v>
      </c>
      <c r="V263">
        <v>1</v>
      </c>
      <c r="W263" t="s">
        <v>1053</v>
      </c>
      <c r="X263">
        <v>3</v>
      </c>
      <c r="Y263" t="s">
        <v>894</v>
      </c>
      <c r="Z263">
        <v>3</v>
      </c>
    </row>
    <row r="264" spans="1:26" x14ac:dyDescent="0.4">
      <c r="A264" t="s">
        <v>559</v>
      </c>
      <c r="B264" t="s">
        <v>776</v>
      </c>
      <c r="C264" t="s">
        <v>303</v>
      </c>
      <c r="D264">
        <v>2.75</v>
      </c>
      <c r="E264" t="s">
        <v>1185</v>
      </c>
      <c r="F264">
        <v>3</v>
      </c>
      <c r="G264" t="s">
        <v>1251</v>
      </c>
      <c r="H264">
        <v>1</v>
      </c>
      <c r="I264" t="s">
        <v>1203</v>
      </c>
      <c r="J264">
        <v>2</v>
      </c>
      <c r="K264" t="s">
        <v>1146</v>
      </c>
      <c r="L264">
        <v>5</v>
      </c>
      <c r="M264" t="s">
        <v>929</v>
      </c>
      <c r="N264">
        <v>4</v>
      </c>
      <c r="O264">
        <v>68.7</v>
      </c>
      <c r="P264">
        <v>4</v>
      </c>
      <c r="Q264" t="s">
        <v>1190</v>
      </c>
      <c r="R264">
        <v>2</v>
      </c>
      <c r="S264" t="s">
        <v>1273</v>
      </c>
      <c r="T264">
        <v>2</v>
      </c>
      <c r="U264" t="s">
        <v>1202</v>
      </c>
      <c r="V264">
        <v>3</v>
      </c>
      <c r="W264" t="s">
        <v>922</v>
      </c>
      <c r="X264">
        <v>1</v>
      </c>
      <c r="Y264" t="s">
        <v>611</v>
      </c>
      <c r="Z264">
        <v>1</v>
      </c>
    </row>
    <row r="265" spans="1:26" x14ac:dyDescent="0.4">
      <c r="A265" t="s">
        <v>569</v>
      </c>
      <c r="B265" t="s">
        <v>786</v>
      </c>
      <c r="C265" t="s">
        <v>32</v>
      </c>
      <c r="D265">
        <v>3.78</v>
      </c>
      <c r="E265" t="s">
        <v>1207</v>
      </c>
      <c r="F265">
        <v>3</v>
      </c>
      <c r="G265" t="s">
        <v>556</v>
      </c>
      <c r="H265">
        <v>4</v>
      </c>
      <c r="I265" t="s">
        <v>710</v>
      </c>
      <c r="J265">
        <v>4</v>
      </c>
      <c r="K265" t="s">
        <v>703</v>
      </c>
      <c r="L265">
        <v>5</v>
      </c>
      <c r="M265" t="s">
        <v>1086</v>
      </c>
      <c r="N265">
        <v>5</v>
      </c>
      <c r="O265">
        <v>61.7</v>
      </c>
      <c r="P265">
        <v>3</v>
      </c>
      <c r="Q265" t="s">
        <v>683</v>
      </c>
      <c r="R265">
        <v>5</v>
      </c>
      <c r="S265" t="s">
        <v>1001</v>
      </c>
      <c r="T265">
        <v>3</v>
      </c>
      <c r="U265" t="s">
        <v>589</v>
      </c>
      <c r="V265">
        <v>2</v>
      </c>
      <c r="W265" t="s">
        <v>1053</v>
      </c>
      <c r="X265">
        <v>3</v>
      </c>
      <c r="Y265" t="s">
        <v>911</v>
      </c>
      <c r="Z265">
        <v>3</v>
      </c>
    </row>
    <row r="266" spans="1:26" x14ac:dyDescent="0.4">
      <c r="A266" t="s">
        <v>581</v>
      </c>
      <c r="B266" t="s">
        <v>797</v>
      </c>
      <c r="C266" t="s">
        <v>174</v>
      </c>
      <c r="D266">
        <v>3.15</v>
      </c>
      <c r="E266" t="s">
        <v>1419</v>
      </c>
      <c r="F266">
        <v>4</v>
      </c>
      <c r="G266" t="s">
        <v>1137</v>
      </c>
      <c r="H266">
        <v>5</v>
      </c>
      <c r="I266" t="s">
        <v>1420</v>
      </c>
      <c r="J266">
        <v>1</v>
      </c>
      <c r="K266" t="s">
        <v>1044</v>
      </c>
      <c r="L266">
        <v>4</v>
      </c>
      <c r="M266" t="s">
        <v>1140</v>
      </c>
      <c r="N266">
        <v>2</v>
      </c>
      <c r="O266">
        <v>73.7</v>
      </c>
      <c r="P266">
        <v>5</v>
      </c>
      <c r="Q266" t="s">
        <v>1039</v>
      </c>
      <c r="R266">
        <v>2</v>
      </c>
      <c r="S266" t="s">
        <v>1292</v>
      </c>
      <c r="T266">
        <v>2</v>
      </c>
      <c r="U266" t="s">
        <v>978</v>
      </c>
      <c r="V266">
        <v>2</v>
      </c>
      <c r="W266" t="s">
        <v>703</v>
      </c>
      <c r="X266">
        <v>4</v>
      </c>
      <c r="Y266" t="s">
        <v>567</v>
      </c>
      <c r="Z266">
        <v>1</v>
      </c>
    </row>
    <row r="267" spans="1:26" x14ac:dyDescent="0.4">
      <c r="A267" t="s">
        <v>593</v>
      </c>
      <c r="B267" t="s">
        <v>805</v>
      </c>
      <c r="C267" t="s">
        <v>50</v>
      </c>
      <c r="D267">
        <v>3.68</v>
      </c>
      <c r="E267" t="s">
        <v>1421</v>
      </c>
      <c r="F267">
        <v>5</v>
      </c>
      <c r="G267" t="s">
        <v>1253</v>
      </c>
      <c r="H267">
        <v>4</v>
      </c>
      <c r="I267" t="s">
        <v>789</v>
      </c>
      <c r="J267">
        <v>3</v>
      </c>
      <c r="K267" t="s">
        <v>676</v>
      </c>
      <c r="L267">
        <v>4</v>
      </c>
      <c r="M267" t="s">
        <v>1075</v>
      </c>
      <c r="N267">
        <v>5</v>
      </c>
      <c r="O267">
        <v>77.900000000000006</v>
      </c>
      <c r="P267">
        <v>5</v>
      </c>
      <c r="Q267" t="s">
        <v>1204</v>
      </c>
      <c r="R267">
        <v>3</v>
      </c>
      <c r="S267" t="s">
        <v>1223</v>
      </c>
      <c r="T267">
        <v>3</v>
      </c>
      <c r="U267" t="s">
        <v>726</v>
      </c>
      <c r="V267">
        <v>2</v>
      </c>
      <c r="W267" t="s">
        <v>1016</v>
      </c>
      <c r="X267">
        <v>1</v>
      </c>
      <c r="Y267" t="s">
        <v>782</v>
      </c>
      <c r="Z267">
        <v>3</v>
      </c>
    </row>
    <row r="268" spans="1:26" x14ac:dyDescent="0.4">
      <c r="A268" t="s">
        <v>605</v>
      </c>
      <c r="B268" t="s">
        <v>815</v>
      </c>
      <c r="C268" t="s">
        <v>222</v>
      </c>
      <c r="D268">
        <v>3.02</v>
      </c>
      <c r="E268" t="s">
        <v>1422</v>
      </c>
      <c r="F268">
        <v>4</v>
      </c>
      <c r="G268" t="s">
        <v>826</v>
      </c>
      <c r="H268">
        <v>1</v>
      </c>
      <c r="I268" t="s">
        <v>1042</v>
      </c>
      <c r="J268">
        <v>4</v>
      </c>
      <c r="K268" t="s">
        <v>672</v>
      </c>
      <c r="L268">
        <v>5</v>
      </c>
      <c r="M268" t="s">
        <v>1001</v>
      </c>
      <c r="N268">
        <v>5</v>
      </c>
      <c r="O268">
        <v>63.8</v>
      </c>
      <c r="P268">
        <v>3</v>
      </c>
      <c r="Q268" t="s">
        <v>784</v>
      </c>
      <c r="R268">
        <v>4</v>
      </c>
      <c r="S268" t="s">
        <v>781</v>
      </c>
      <c r="T268">
        <v>2</v>
      </c>
      <c r="U268" t="s">
        <v>908</v>
      </c>
      <c r="V268">
        <v>2</v>
      </c>
      <c r="W268" t="s">
        <v>1004</v>
      </c>
      <c r="X268">
        <v>1</v>
      </c>
      <c r="Y268" t="s">
        <v>801</v>
      </c>
      <c r="Z268">
        <v>1</v>
      </c>
    </row>
    <row r="269" spans="1:26" x14ac:dyDescent="0.4">
      <c r="A269" t="s">
        <v>617</v>
      </c>
      <c r="B269" t="s">
        <v>823</v>
      </c>
      <c r="C269" t="s">
        <v>34</v>
      </c>
      <c r="D269">
        <v>3.78</v>
      </c>
      <c r="E269" t="s">
        <v>1361</v>
      </c>
      <c r="F269">
        <v>3</v>
      </c>
      <c r="G269" t="s">
        <v>953</v>
      </c>
      <c r="H269">
        <v>3</v>
      </c>
      <c r="I269" t="s">
        <v>1423</v>
      </c>
      <c r="J269">
        <v>3</v>
      </c>
      <c r="K269" t="s">
        <v>917</v>
      </c>
      <c r="L269">
        <v>5</v>
      </c>
      <c r="M269" t="s">
        <v>1046</v>
      </c>
      <c r="N269">
        <v>5</v>
      </c>
      <c r="O269">
        <v>72.3</v>
      </c>
      <c r="P269">
        <v>5</v>
      </c>
      <c r="Q269" t="s">
        <v>1059</v>
      </c>
      <c r="R269">
        <v>3</v>
      </c>
      <c r="S269" t="s">
        <v>564</v>
      </c>
      <c r="T269">
        <v>2</v>
      </c>
      <c r="U269" t="s">
        <v>674</v>
      </c>
      <c r="V269">
        <v>2</v>
      </c>
      <c r="W269" t="s">
        <v>654</v>
      </c>
      <c r="X269">
        <v>2</v>
      </c>
      <c r="Y269" t="s">
        <v>721</v>
      </c>
      <c r="Z269">
        <v>5</v>
      </c>
    </row>
    <row r="270" spans="1:26" x14ac:dyDescent="0.4">
      <c r="A270" t="s">
        <v>627</v>
      </c>
      <c r="B270" t="s">
        <v>832</v>
      </c>
      <c r="C270" t="s">
        <v>277</v>
      </c>
      <c r="D270">
        <v>2.86</v>
      </c>
      <c r="E270" t="s">
        <v>1424</v>
      </c>
      <c r="F270">
        <v>5</v>
      </c>
      <c r="G270" t="s">
        <v>646</v>
      </c>
      <c r="H270">
        <v>1</v>
      </c>
      <c r="I270" t="s">
        <v>1425</v>
      </c>
      <c r="J270">
        <v>4</v>
      </c>
      <c r="K270" t="s">
        <v>966</v>
      </c>
      <c r="L270">
        <v>1</v>
      </c>
      <c r="M270" t="s">
        <v>953</v>
      </c>
      <c r="N270">
        <v>5</v>
      </c>
      <c r="O270">
        <v>73</v>
      </c>
      <c r="P270">
        <v>5</v>
      </c>
      <c r="Q270" t="s">
        <v>633</v>
      </c>
      <c r="R270">
        <v>3</v>
      </c>
      <c r="S270" t="s">
        <v>979</v>
      </c>
      <c r="T270">
        <v>5</v>
      </c>
      <c r="U270" t="s">
        <v>1292</v>
      </c>
      <c r="V270">
        <v>2</v>
      </c>
      <c r="W270" t="s">
        <v>1123</v>
      </c>
      <c r="X270">
        <v>1</v>
      </c>
      <c r="Y270" t="s">
        <v>1257</v>
      </c>
      <c r="Z270">
        <v>1</v>
      </c>
    </row>
    <row r="271" spans="1:26" x14ac:dyDescent="0.4">
      <c r="A271" t="s">
        <v>637</v>
      </c>
      <c r="B271" t="s">
        <v>840</v>
      </c>
      <c r="C271" t="s">
        <v>361</v>
      </c>
      <c r="D271">
        <v>2.5299999999999998</v>
      </c>
      <c r="E271" t="s">
        <v>1426</v>
      </c>
      <c r="F271">
        <v>2</v>
      </c>
      <c r="G271" t="s">
        <v>591</v>
      </c>
      <c r="H271">
        <v>1</v>
      </c>
      <c r="I271" t="s">
        <v>825</v>
      </c>
      <c r="J271">
        <v>5</v>
      </c>
      <c r="K271" t="s">
        <v>1097</v>
      </c>
      <c r="L271">
        <v>1</v>
      </c>
      <c r="M271" t="s">
        <v>1347</v>
      </c>
      <c r="N271">
        <v>5</v>
      </c>
      <c r="O271">
        <v>59.7</v>
      </c>
      <c r="P271">
        <v>2</v>
      </c>
      <c r="Q271" t="s">
        <v>592</v>
      </c>
      <c r="R271">
        <v>2</v>
      </c>
      <c r="S271" t="s">
        <v>654</v>
      </c>
      <c r="T271">
        <v>2</v>
      </c>
      <c r="U271" t="s">
        <v>735</v>
      </c>
      <c r="V271">
        <v>2</v>
      </c>
      <c r="W271" t="s">
        <v>616</v>
      </c>
      <c r="X271">
        <v>3</v>
      </c>
      <c r="Y271" t="s">
        <v>733</v>
      </c>
      <c r="Z271">
        <v>3</v>
      </c>
    </row>
    <row r="272" spans="1:26" x14ac:dyDescent="0.4">
      <c r="A272" t="s">
        <v>648</v>
      </c>
      <c r="B272" t="s">
        <v>849</v>
      </c>
      <c r="C272" t="s">
        <v>153</v>
      </c>
      <c r="D272">
        <v>3.22</v>
      </c>
      <c r="E272" t="s">
        <v>850</v>
      </c>
      <c r="F272">
        <v>2</v>
      </c>
      <c r="G272" t="s">
        <v>577</v>
      </c>
      <c r="H272">
        <v>4</v>
      </c>
      <c r="I272" t="s">
        <v>928</v>
      </c>
      <c r="J272">
        <v>4</v>
      </c>
      <c r="K272" t="s">
        <v>1003</v>
      </c>
      <c r="L272">
        <v>5</v>
      </c>
      <c r="M272" t="s">
        <v>846</v>
      </c>
      <c r="N272">
        <v>4</v>
      </c>
      <c r="O272">
        <v>63.1</v>
      </c>
      <c r="P272">
        <v>3</v>
      </c>
      <c r="Q272" t="s">
        <v>715</v>
      </c>
      <c r="R272">
        <v>2</v>
      </c>
      <c r="S272" t="s">
        <v>760</v>
      </c>
      <c r="T272">
        <v>3</v>
      </c>
      <c r="U272" t="s">
        <v>1090</v>
      </c>
      <c r="V272">
        <v>2</v>
      </c>
      <c r="W272" t="s">
        <v>727</v>
      </c>
      <c r="X272">
        <v>2</v>
      </c>
      <c r="Y272" t="s">
        <v>762</v>
      </c>
      <c r="Z272">
        <v>2</v>
      </c>
    </row>
    <row r="273" spans="1:26" x14ac:dyDescent="0.4">
      <c r="A273" t="s">
        <v>658</v>
      </c>
      <c r="B273" t="s">
        <v>858</v>
      </c>
      <c r="C273" t="s">
        <v>206</v>
      </c>
      <c r="D273">
        <v>3.05</v>
      </c>
      <c r="E273" t="s">
        <v>1427</v>
      </c>
      <c r="F273">
        <v>5</v>
      </c>
      <c r="G273" t="s">
        <v>813</v>
      </c>
      <c r="H273">
        <v>1</v>
      </c>
      <c r="I273" t="s">
        <v>1021</v>
      </c>
      <c r="J273">
        <v>2</v>
      </c>
      <c r="K273" t="s">
        <v>655</v>
      </c>
      <c r="L273">
        <v>5</v>
      </c>
      <c r="M273" t="s">
        <v>1266</v>
      </c>
      <c r="N273">
        <v>5</v>
      </c>
      <c r="O273">
        <v>54.2</v>
      </c>
      <c r="P273">
        <v>1</v>
      </c>
      <c r="Q273" t="s">
        <v>625</v>
      </c>
      <c r="R273">
        <v>2</v>
      </c>
      <c r="S273" t="s">
        <v>564</v>
      </c>
      <c r="T273">
        <v>2</v>
      </c>
      <c r="U273" t="s">
        <v>626</v>
      </c>
      <c r="V273">
        <v>2</v>
      </c>
      <c r="W273" t="s">
        <v>1428</v>
      </c>
      <c r="X273">
        <v>2</v>
      </c>
      <c r="Y273" t="s">
        <v>690</v>
      </c>
      <c r="Z273">
        <v>4</v>
      </c>
    </row>
    <row r="274" spans="1:26" x14ac:dyDescent="0.4">
      <c r="A274" t="s">
        <v>668</v>
      </c>
      <c r="B274" t="s">
        <v>865</v>
      </c>
      <c r="C274" t="s">
        <v>131</v>
      </c>
      <c r="D274">
        <v>3.28</v>
      </c>
      <c r="E274" t="s">
        <v>1429</v>
      </c>
      <c r="F274">
        <v>5</v>
      </c>
      <c r="G274" t="s">
        <v>882</v>
      </c>
      <c r="H274">
        <v>4</v>
      </c>
      <c r="I274" t="s">
        <v>860</v>
      </c>
      <c r="J274">
        <v>4</v>
      </c>
      <c r="K274" t="s">
        <v>693</v>
      </c>
      <c r="L274">
        <v>1</v>
      </c>
      <c r="M274" t="s">
        <v>1027</v>
      </c>
      <c r="N274">
        <v>4</v>
      </c>
      <c r="O274">
        <v>76.7</v>
      </c>
      <c r="P274">
        <v>5</v>
      </c>
      <c r="Q274" t="s">
        <v>602</v>
      </c>
      <c r="R274">
        <v>4</v>
      </c>
      <c r="S274" t="s">
        <v>734</v>
      </c>
      <c r="T274">
        <v>2</v>
      </c>
      <c r="U274" t="s">
        <v>1003</v>
      </c>
      <c r="V274">
        <v>2</v>
      </c>
      <c r="W274" t="s">
        <v>604</v>
      </c>
      <c r="X274">
        <v>1</v>
      </c>
      <c r="Y274" t="s">
        <v>562</v>
      </c>
      <c r="Z274">
        <v>4</v>
      </c>
    </row>
    <row r="275" spans="1:26" x14ac:dyDescent="0.4">
      <c r="A275" t="s">
        <v>678</v>
      </c>
      <c r="B275" t="s">
        <v>870</v>
      </c>
      <c r="C275" t="s">
        <v>238</v>
      </c>
      <c r="D275">
        <v>2.96</v>
      </c>
      <c r="E275" t="s">
        <v>1430</v>
      </c>
      <c r="F275">
        <v>5</v>
      </c>
      <c r="G275" t="s">
        <v>906</v>
      </c>
      <c r="H275">
        <v>1</v>
      </c>
      <c r="I275" t="s">
        <v>1259</v>
      </c>
      <c r="J275">
        <v>2</v>
      </c>
      <c r="K275" t="s">
        <v>719</v>
      </c>
      <c r="L275">
        <v>5</v>
      </c>
      <c r="M275" t="s">
        <v>1072</v>
      </c>
      <c r="N275">
        <v>5</v>
      </c>
      <c r="O275">
        <v>53.8</v>
      </c>
      <c r="P275">
        <v>1</v>
      </c>
      <c r="Q275" t="s">
        <v>604</v>
      </c>
      <c r="R275">
        <v>2</v>
      </c>
      <c r="S275" t="s">
        <v>1140</v>
      </c>
      <c r="T275">
        <v>2</v>
      </c>
      <c r="U275" t="s">
        <v>1050</v>
      </c>
      <c r="V275">
        <v>2</v>
      </c>
      <c r="W275" t="s">
        <v>1038</v>
      </c>
      <c r="X275">
        <v>1</v>
      </c>
      <c r="Y275" t="s">
        <v>1058</v>
      </c>
      <c r="Z275">
        <v>4</v>
      </c>
    </row>
    <row r="276" spans="1:26" x14ac:dyDescent="0.4">
      <c r="A276" t="s">
        <v>687</v>
      </c>
      <c r="B276" t="s">
        <v>879</v>
      </c>
      <c r="C276" t="s">
        <v>239</v>
      </c>
      <c r="D276">
        <v>2.96</v>
      </c>
      <c r="E276" t="s">
        <v>1431</v>
      </c>
      <c r="F276">
        <v>3</v>
      </c>
      <c r="G276" t="s">
        <v>1104</v>
      </c>
      <c r="H276">
        <v>1</v>
      </c>
      <c r="I276" t="s">
        <v>1116</v>
      </c>
      <c r="J276">
        <v>2</v>
      </c>
      <c r="K276" t="s">
        <v>963</v>
      </c>
      <c r="L276">
        <v>1</v>
      </c>
      <c r="M276" t="s">
        <v>978</v>
      </c>
      <c r="N276">
        <v>5</v>
      </c>
      <c r="O276">
        <v>70.7</v>
      </c>
      <c r="P276">
        <v>5</v>
      </c>
      <c r="Q276" t="s">
        <v>771</v>
      </c>
      <c r="R276">
        <v>1</v>
      </c>
      <c r="S276" t="s">
        <v>558</v>
      </c>
      <c r="T276">
        <v>2</v>
      </c>
      <c r="U276" t="s">
        <v>1218</v>
      </c>
      <c r="V276">
        <v>3</v>
      </c>
      <c r="W276" t="s">
        <v>821</v>
      </c>
      <c r="X276">
        <v>4</v>
      </c>
      <c r="Y276" t="s">
        <v>1137</v>
      </c>
      <c r="Z276">
        <v>4</v>
      </c>
    </row>
    <row r="277" spans="1:26" x14ac:dyDescent="0.4">
      <c r="A277" t="s">
        <v>698</v>
      </c>
      <c r="B277" t="s">
        <v>887</v>
      </c>
      <c r="C277" t="s">
        <v>187</v>
      </c>
      <c r="D277">
        <v>3.1</v>
      </c>
      <c r="E277" t="s">
        <v>927</v>
      </c>
      <c r="F277">
        <v>5</v>
      </c>
      <c r="G277" t="s">
        <v>868</v>
      </c>
      <c r="H277">
        <v>1</v>
      </c>
      <c r="I277" t="s">
        <v>1264</v>
      </c>
      <c r="J277">
        <v>2</v>
      </c>
      <c r="K277" t="s">
        <v>656</v>
      </c>
      <c r="L277">
        <v>3</v>
      </c>
      <c r="M277" t="s">
        <v>553</v>
      </c>
      <c r="N277">
        <v>5</v>
      </c>
      <c r="O277">
        <v>76.8</v>
      </c>
      <c r="P277">
        <v>5</v>
      </c>
      <c r="Q277" t="s">
        <v>575</v>
      </c>
      <c r="R277">
        <v>2</v>
      </c>
      <c r="S277" t="s">
        <v>1311</v>
      </c>
      <c r="T277">
        <v>4</v>
      </c>
      <c r="U277" t="s">
        <v>1170</v>
      </c>
      <c r="V277">
        <v>2</v>
      </c>
      <c r="W277" t="s">
        <v>953</v>
      </c>
      <c r="X277">
        <v>3</v>
      </c>
      <c r="Y277" t="s">
        <v>576</v>
      </c>
      <c r="Z277">
        <v>1</v>
      </c>
    </row>
    <row r="278" spans="1:26" x14ac:dyDescent="0.4">
      <c r="A278" t="s">
        <v>706</v>
      </c>
      <c r="B278" t="s">
        <v>896</v>
      </c>
      <c r="C278" t="s">
        <v>76</v>
      </c>
      <c r="D278">
        <v>3.52</v>
      </c>
      <c r="E278" t="s">
        <v>1432</v>
      </c>
      <c r="F278">
        <v>5</v>
      </c>
      <c r="G278" t="s">
        <v>697</v>
      </c>
      <c r="H278">
        <v>2</v>
      </c>
      <c r="I278" t="s">
        <v>1433</v>
      </c>
      <c r="J278">
        <v>5</v>
      </c>
      <c r="K278" t="s">
        <v>705</v>
      </c>
      <c r="L278">
        <v>5</v>
      </c>
      <c r="M278" t="s">
        <v>891</v>
      </c>
      <c r="N278">
        <v>5</v>
      </c>
      <c r="O278">
        <v>54.5</v>
      </c>
      <c r="P278">
        <v>1</v>
      </c>
      <c r="Q278" t="s">
        <v>1205</v>
      </c>
      <c r="R278">
        <v>2</v>
      </c>
      <c r="S278" t="s">
        <v>1375</v>
      </c>
      <c r="T278">
        <v>2</v>
      </c>
      <c r="U278" t="s">
        <v>960</v>
      </c>
      <c r="V278">
        <v>2</v>
      </c>
      <c r="W278" t="s">
        <v>1142</v>
      </c>
      <c r="X278">
        <v>5</v>
      </c>
      <c r="Y278" t="s">
        <v>665</v>
      </c>
      <c r="Z278">
        <v>3</v>
      </c>
    </row>
    <row r="279" spans="1:26" x14ac:dyDescent="0.4">
      <c r="A279" t="s">
        <v>716</v>
      </c>
      <c r="B279" t="s">
        <v>901</v>
      </c>
      <c r="C279" t="s">
        <v>322</v>
      </c>
      <c r="D279">
        <v>2.7</v>
      </c>
      <c r="E279" t="s">
        <v>1434</v>
      </c>
      <c r="F279">
        <v>2</v>
      </c>
      <c r="G279" t="s">
        <v>878</v>
      </c>
      <c r="H279">
        <v>1</v>
      </c>
      <c r="I279" t="s">
        <v>1435</v>
      </c>
      <c r="J279">
        <v>2</v>
      </c>
      <c r="K279" t="s">
        <v>1033</v>
      </c>
      <c r="L279">
        <v>5</v>
      </c>
      <c r="M279" t="s">
        <v>930</v>
      </c>
      <c r="N279">
        <v>2</v>
      </c>
      <c r="O279">
        <v>75.8</v>
      </c>
      <c r="P279">
        <v>5</v>
      </c>
      <c r="Q279" t="s">
        <v>603</v>
      </c>
      <c r="R279">
        <v>1</v>
      </c>
      <c r="S279" t="s">
        <v>557</v>
      </c>
      <c r="T279">
        <v>1</v>
      </c>
      <c r="U279" t="s">
        <v>685</v>
      </c>
      <c r="V279">
        <v>2</v>
      </c>
      <c r="W279" t="s">
        <v>838</v>
      </c>
      <c r="X279">
        <v>5</v>
      </c>
      <c r="Y279" t="s">
        <v>677</v>
      </c>
      <c r="Z279">
        <v>1</v>
      </c>
    </row>
    <row r="280" spans="1:26" x14ac:dyDescent="0.4">
      <c r="A280" t="s">
        <v>728</v>
      </c>
      <c r="B280" t="s">
        <v>909</v>
      </c>
      <c r="C280" t="s">
        <v>78</v>
      </c>
      <c r="D280">
        <v>3.51</v>
      </c>
      <c r="E280" t="s">
        <v>1436</v>
      </c>
      <c r="F280">
        <v>3</v>
      </c>
      <c r="G280" t="s">
        <v>741</v>
      </c>
      <c r="H280">
        <v>4</v>
      </c>
      <c r="I280" t="s">
        <v>1195</v>
      </c>
      <c r="J280">
        <v>4</v>
      </c>
      <c r="K280" t="s">
        <v>624</v>
      </c>
      <c r="L280">
        <v>5</v>
      </c>
      <c r="M280" t="s">
        <v>826</v>
      </c>
      <c r="N280">
        <v>5</v>
      </c>
      <c r="O280">
        <v>68.7</v>
      </c>
      <c r="P280">
        <v>4</v>
      </c>
      <c r="Q280" t="s">
        <v>1070</v>
      </c>
      <c r="R280">
        <v>2</v>
      </c>
      <c r="S280" t="s">
        <v>751</v>
      </c>
      <c r="T280">
        <v>3</v>
      </c>
      <c r="U280" t="s">
        <v>864</v>
      </c>
      <c r="V280">
        <v>3</v>
      </c>
      <c r="W280" t="s">
        <v>672</v>
      </c>
      <c r="X280">
        <v>2</v>
      </c>
      <c r="Y280" t="s">
        <v>908</v>
      </c>
      <c r="Z280">
        <v>1</v>
      </c>
    </row>
    <row r="281" spans="1:26" x14ac:dyDescent="0.4">
      <c r="A281" t="s">
        <v>736</v>
      </c>
      <c r="B281" t="s">
        <v>918</v>
      </c>
      <c r="C281" t="s">
        <v>297</v>
      </c>
      <c r="D281">
        <v>2.77</v>
      </c>
      <c r="E281" t="s">
        <v>1193</v>
      </c>
      <c r="F281">
        <v>2</v>
      </c>
      <c r="G281" t="s">
        <v>1212</v>
      </c>
      <c r="H281">
        <v>1</v>
      </c>
      <c r="I281" t="s">
        <v>1315</v>
      </c>
      <c r="J281">
        <v>3</v>
      </c>
      <c r="K281" t="s">
        <v>1190</v>
      </c>
      <c r="L281">
        <v>4</v>
      </c>
      <c r="M281" t="s">
        <v>830</v>
      </c>
      <c r="N281">
        <v>5</v>
      </c>
      <c r="O281">
        <v>75.7</v>
      </c>
      <c r="P281">
        <v>5</v>
      </c>
      <c r="Q281" t="s">
        <v>1106</v>
      </c>
      <c r="R281">
        <v>3</v>
      </c>
      <c r="S281" t="s">
        <v>1184</v>
      </c>
      <c r="T281">
        <v>2</v>
      </c>
      <c r="U281" t="s">
        <v>982</v>
      </c>
      <c r="V281">
        <v>1</v>
      </c>
      <c r="W281" t="s">
        <v>957</v>
      </c>
      <c r="X281">
        <v>1</v>
      </c>
      <c r="Y281" t="s">
        <v>793</v>
      </c>
      <c r="Z281">
        <v>1</v>
      </c>
    </row>
    <row r="282" spans="1:26" x14ac:dyDescent="0.4">
      <c r="A282" t="s">
        <v>746</v>
      </c>
      <c r="B282" t="s">
        <v>548</v>
      </c>
      <c r="C282" t="s">
        <v>93</v>
      </c>
      <c r="D282">
        <v>3.45</v>
      </c>
      <c r="E282" t="s">
        <v>1437</v>
      </c>
      <c r="F282">
        <v>4</v>
      </c>
      <c r="G282" t="s">
        <v>1168</v>
      </c>
      <c r="H282">
        <v>1</v>
      </c>
      <c r="I282" t="s">
        <v>1306</v>
      </c>
      <c r="J282">
        <v>1</v>
      </c>
      <c r="K282" t="s">
        <v>608</v>
      </c>
      <c r="L282">
        <v>5</v>
      </c>
      <c r="M282" t="s">
        <v>665</v>
      </c>
      <c r="N282">
        <v>5</v>
      </c>
      <c r="O282">
        <v>72.5</v>
      </c>
      <c r="P282">
        <v>5</v>
      </c>
      <c r="Q282" t="s">
        <v>960</v>
      </c>
      <c r="R282">
        <v>2</v>
      </c>
      <c r="S282" t="s">
        <v>690</v>
      </c>
      <c r="T282">
        <v>4</v>
      </c>
      <c r="U282" t="s">
        <v>844</v>
      </c>
      <c r="V282">
        <v>2</v>
      </c>
      <c r="W282" t="s">
        <v>978</v>
      </c>
      <c r="X282">
        <v>2</v>
      </c>
      <c r="Y282" t="s">
        <v>970</v>
      </c>
      <c r="Z282">
        <v>4</v>
      </c>
    </row>
    <row r="283" spans="1:26" x14ac:dyDescent="0.4">
      <c r="A283" t="s">
        <v>757</v>
      </c>
      <c r="B283" t="s">
        <v>560</v>
      </c>
      <c r="C283" t="s">
        <v>70</v>
      </c>
      <c r="D283">
        <v>3.54</v>
      </c>
      <c r="E283" t="s">
        <v>1438</v>
      </c>
      <c r="F283">
        <v>5</v>
      </c>
      <c r="G283" t="s">
        <v>1089</v>
      </c>
      <c r="H283">
        <v>4</v>
      </c>
      <c r="I283" t="s">
        <v>1246</v>
      </c>
      <c r="J283">
        <v>2</v>
      </c>
      <c r="K283" t="s">
        <v>1234</v>
      </c>
      <c r="L283">
        <v>5</v>
      </c>
      <c r="M283" t="s">
        <v>634</v>
      </c>
      <c r="N283">
        <v>5</v>
      </c>
      <c r="O283">
        <v>58.4</v>
      </c>
      <c r="P283">
        <v>2</v>
      </c>
      <c r="Q283" t="s">
        <v>586</v>
      </c>
      <c r="R283">
        <v>3</v>
      </c>
      <c r="S283" t="s">
        <v>926</v>
      </c>
      <c r="T283">
        <v>2</v>
      </c>
      <c r="U283" t="s">
        <v>647</v>
      </c>
      <c r="V283">
        <v>2</v>
      </c>
      <c r="W283" t="s">
        <v>996</v>
      </c>
      <c r="X283">
        <v>5</v>
      </c>
      <c r="Y283" t="s">
        <v>1139</v>
      </c>
      <c r="Z283">
        <v>1</v>
      </c>
    </row>
    <row r="284" spans="1:26" x14ac:dyDescent="0.4">
      <c r="A284" t="s">
        <v>765</v>
      </c>
      <c r="B284" t="s">
        <v>570</v>
      </c>
      <c r="C284" t="s">
        <v>254</v>
      </c>
      <c r="D284">
        <v>2.92</v>
      </c>
      <c r="E284" t="s">
        <v>1439</v>
      </c>
      <c r="F284">
        <v>5</v>
      </c>
      <c r="G284" t="s">
        <v>1234</v>
      </c>
      <c r="H284">
        <v>4</v>
      </c>
      <c r="I284" t="s">
        <v>1378</v>
      </c>
      <c r="J284">
        <v>2</v>
      </c>
      <c r="K284" t="s">
        <v>851</v>
      </c>
      <c r="L284">
        <v>1</v>
      </c>
      <c r="M284" t="s">
        <v>1146</v>
      </c>
      <c r="N284">
        <v>5</v>
      </c>
      <c r="O284">
        <v>63.9</v>
      </c>
      <c r="P284">
        <v>3</v>
      </c>
      <c r="Q284" t="s">
        <v>673</v>
      </c>
      <c r="R284">
        <v>2</v>
      </c>
      <c r="S284" t="s">
        <v>675</v>
      </c>
      <c r="T284">
        <v>2</v>
      </c>
      <c r="U284" t="s">
        <v>1196</v>
      </c>
      <c r="V284">
        <v>3</v>
      </c>
      <c r="W284" t="s">
        <v>1024</v>
      </c>
      <c r="X284">
        <v>3</v>
      </c>
      <c r="Y284" t="s">
        <v>1036</v>
      </c>
      <c r="Z284">
        <v>1</v>
      </c>
    </row>
    <row r="285" spans="1:26" x14ac:dyDescent="0.4">
      <c r="A285" t="s">
        <v>775</v>
      </c>
      <c r="B285" t="s">
        <v>582</v>
      </c>
      <c r="C285" t="s">
        <v>368</v>
      </c>
      <c r="D285">
        <v>2.4700000000000002</v>
      </c>
      <c r="E285" t="s">
        <v>1440</v>
      </c>
      <c r="F285">
        <v>3</v>
      </c>
      <c r="G285" t="s">
        <v>552</v>
      </c>
      <c r="H285">
        <v>3</v>
      </c>
      <c r="I285" t="s">
        <v>1435</v>
      </c>
      <c r="J285">
        <v>2</v>
      </c>
      <c r="K285" t="s">
        <v>837</v>
      </c>
      <c r="L285">
        <v>1</v>
      </c>
      <c r="M285" t="s">
        <v>694</v>
      </c>
      <c r="N285">
        <v>4</v>
      </c>
      <c r="O285">
        <v>57.9</v>
      </c>
      <c r="P285">
        <v>2</v>
      </c>
      <c r="Q285" t="s">
        <v>1197</v>
      </c>
      <c r="R285">
        <v>2</v>
      </c>
      <c r="S285" t="s">
        <v>1196</v>
      </c>
      <c r="T285">
        <v>3</v>
      </c>
      <c r="U285" t="s">
        <v>568</v>
      </c>
      <c r="V285">
        <v>2</v>
      </c>
      <c r="W285" t="s">
        <v>602</v>
      </c>
      <c r="X285">
        <v>4</v>
      </c>
      <c r="Y285" t="s">
        <v>1084</v>
      </c>
      <c r="Z285">
        <v>1</v>
      </c>
    </row>
    <row r="286" spans="1:26" x14ac:dyDescent="0.4">
      <c r="A286" t="s">
        <v>785</v>
      </c>
      <c r="B286" t="s">
        <v>594</v>
      </c>
      <c r="C286" t="s">
        <v>396</v>
      </c>
      <c r="D286">
        <v>2.29</v>
      </c>
      <c r="E286" t="s">
        <v>1395</v>
      </c>
      <c r="F286">
        <v>5</v>
      </c>
      <c r="G286" t="s">
        <v>1292</v>
      </c>
      <c r="H286">
        <v>1</v>
      </c>
      <c r="I286" t="s">
        <v>1264</v>
      </c>
      <c r="J286">
        <v>2</v>
      </c>
      <c r="K286" t="s">
        <v>614</v>
      </c>
      <c r="L286">
        <v>2</v>
      </c>
      <c r="M286" t="s">
        <v>1146</v>
      </c>
      <c r="N286">
        <v>5</v>
      </c>
      <c r="O286">
        <v>56.3</v>
      </c>
      <c r="P286">
        <v>1</v>
      </c>
      <c r="Q286" t="s">
        <v>1053</v>
      </c>
      <c r="R286">
        <v>3</v>
      </c>
      <c r="S286" t="s">
        <v>1161</v>
      </c>
      <c r="T286">
        <v>2</v>
      </c>
      <c r="U286" t="s">
        <v>893</v>
      </c>
      <c r="V286">
        <v>2</v>
      </c>
      <c r="W286" t="s">
        <v>1050</v>
      </c>
      <c r="X286">
        <v>1</v>
      </c>
      <c r="Y286" t="s">
        <v>1300</v>
      </c>
      <c r="Z286">
        <v>1</v>
      </c>
    </row>
    <row r="287" spans="1:26" x14ac:dyDescent="0.4">
      <c r="A287" t="s">
        <v>796</v>
      </c>
      <c r="B287" t="s">
        <v>606</v>
      </c>
      <c r="C287" t="s">
        <v>281</v>
      </c>
      <c r="D287">
        <v>2.85</v>
      </c>
      <c r="E287" t="s">
        <v>1207</v>
      </c>
      <c r="F287">
        <v>3</v>
      </c>
      <c r="G287" t="s">
        <v>1088</v>
      </c>
      <c r="H287">
        <v>2</v>
      </c>
      <c r="I287" t="s">
        <v>1131</v>
      </c>
      <c r="J287">
        <v>4</v>
      </c>
      <c r="K287" t="s">
        <v>577</v>
      </c>
      <c r="L287">
        <v>5</v>
      </c>
      <c r="M287" t="s">
        <v>612</v>
      </c>
      <c r="N287">
        <v>2</v>
      </c>
      <c r="O287">
        <v>64.099999999999994</v>
      </c>
      <c r="P287">
        <v>4</v>
      </c>
      <c r="Q287" t="s">
        <v>1174</v>
      </c>
      <c r="R287">
        <v>4</v>
      </c>
      <c r="S287" t="s">
        <v>623</v>
      </c>
      <c r="T287">
        <v>2</v>
      </c>
      <c r="U287" t="s">
        <v>1112</v>
      </c>
      <c r="V287">
        <v>2</v>
      </c>
      <c r="W287" t="s">
        <v>1247</v>
      </c>
      <c r="X287">
        <v>1</v>
      </c>
      <c r="Y287" t="s">
        <v>856</v>
      </c>
      <c r="Z287">
        <v>2</v>
      </c>
    </row>
    <row r="288" spans="1:26" x14ac:dyDescent="0.4">
      <c r="A288" t="s">
        <v>804</v>
      </c>
      <c r="B288" t="s">
        <v>618</v>
      </c>
      <c r="C288" t="s">
        <v>175</v>
      </c>
      <c r="D288">
        <v>3.15</v>
      </c>
      <c r="E288" t="s">
        <v>1441</v>
      </c>
      <c r="F288">
        <v>5</v>
      </c>
      <c r="G288" t="s">
        <v>1181</v>
      </c>
      <c r="H288">
        <v>1</v>
      </c>
      <c r="I288" t="s">
        <v>1275</v>
      </c>
      <c r="J288">
        <v>5</v>
      </c>
      <c r="K288" t="s">
        <v>830</v>
      </c>
      <c r="L288">
        <v>5</v>
      </c>
      <c r="M288" t="s">
        <v>1052</v>
      </c>
      <c r="N288">
        <v>4</v>
      </c>
      <c r="O288">
        <v>68.400000000000006</v>
      </c>
      <c r="P288">
        <v>4</v>
      </c>
      <c r="Q288" t="s">
        <v>1225</v>
      </c>
      <c r="R288">
        <v>2</v>
      </c>
      <c r="S288" t="s">
        <v>783</v>
      </c>
      <c r="T288">
        <v>2</v>
      </c>
      <c r="U288" t="s">
        <v>800</v>
      </c>
      <c r="V288">
        <v>1</v>
      </c>
      <c r="W288" t="s">
        <v>1103</v>
      </c>
      <c r="X288">
        <v>3</v>
      </c>
      <c r="Y288" t="s">
        <v>854</v>
      </c>
      <c r="Z288">
        <v>1</v>
      </c>
    </row>
    <row r="289" spans="1:26" x14ac:dyDescent="0.4">
      <c r="A289" t="s">
        <v>814</v>
      </c>
      <c r="B289" t="s">
        <v>628</v>
      </c>
      <c r="C289" t="s">
        <v>369</v>
      </c>
      <c r="D289">
        <v>2.4700000000000002</v>
      </c>
      <c r="E289" t="s">
        <v>1442</v>
      </c>
      <c r="F289">
        <v>5</v>
      </c>
      <c r="G289" t="s">
        <v>1375</v>
      </c>
      <c r="H289">
        <v>1</v>
      </c>
      <c r="I289" t="s">
        <v>761</v>
      </c>
      <c r="J289">
        <v>1</v>
      </c>
      <c r="K289" t="s">
        <v>760</v>
      </c>
      <c r="L289">
        <v>5</v>
      </c>
      <c r="M289" t="s">
        <v>1111</v>
      </c>
      <c r="N289">
        <v>2</v>
      </c>
      <c r="O289">
        <v>54.1</v>
      </c>
      <c r="P289">
        <v>1</v>
      </c>
      <c r="Q289" t="s">
        <v>1061</v>
      </c>
      <c r="R289">
        <v>4</v>
      </c>
      <c r="S289" t="s">
        <v>1206</v>
      </c>
      <c r="T289">
        <v>2</v>
      </c>
      <c r="U289" t="s">
        <v>856</v>
      </c>
      <c r="V289">
        <v>2</v>
      </c>
      <c r="W289" t="s">
        <v>1096</v>
      </c>
      <c r="X289">
        <v>2</v>
      </c>
      <c r="Y289" t="s">
        <v>893</v>
      </c>
      <c r="Z289">
        <v>2</v>
      </c>
    </row>
    <row r="290" spans="1:26" x14ac:dyDescent="0.4">
      <c r="A290" t="s">
        <v>822</v>
      </c>
      <c r="B290" t="s">
        <v>638</v>
      </c>
      <c r="C290" t="s">
        <v>397</v>
      </c>
      <c r="D290">
        <v>2.29</v>
      </c>
      <c r="E290" t="s">
        <v>1443</v>
      </c>
      <c r="F290">
        <v>5</v>
      </c>
      <c r="G290" t="s">
        <v>623</v>
      </c>
      <c r="H290">
        <v>1</v>
      </c>
      <c r="I290" t="s">
        <v>1080</v>
      </c>
      <c r="J290">
        <v>2</v>
      </c>
      <c r="K290" t="s">
        <v>1077</v>
      </c>
      <c r="L290">
        <v>3</v>
      </c>
      <c r="M290" t="s">
        <v>632</v>
      </c>
      <c r="N290">
        <v>4</v>
      </c>
      <c r="O290">
        <v>58</v>
      </c>
      <c r="P290">
        <v>2</v>
      </c>
      <c r="Q290" t="s">
        <v>1444</v>
      </c>
      <c r="R290">
        <v>2</v>
      </c>
      <c r="S290" t="s">
        <v>1002</v>
      </c>
      <c r="T290">
        <v>2</v>
      </c>
      <c r="U290" t="s">
        <v>1084</v>
      </c>
      <c r="V290">
        <v>1</v>
      </c>
      <c r="W290" t="s">
        <v>818</v>
      </c>
      <c r="X290">
        <v>1</v>
      </c>
      <c r="Y290" t="s">
        <v>956</v>
      </c>
      <c r="Z290">
        <v>1</v>
      </c>
    </row>
    <row r="291" spans="1:26" x14ac:dyDescent="0.4">
      <c r="A291" t="s">
        <v>831</v>
      </c>
      <c r="B291" t="s">
        <v>649</v>
      </c>
      <c r="C291" t="s">
        <v>188</v>
      </c>
      <c r="D291">
        <v>3.1</v>
      </c>
      <c r="E291" t="s">
        <v>1445</v>
      </c>
      <c r="F291">
        <v>3</v>
      </c>
      <c r="G291" t="s">
        <v>651</v>
      </c>
      <c r="H291">
        <v>1</v>
      </c>
      <c r="I291" t="s">
        <v>1391</v>
      </c>
      <c r="J291">
        <v>2</v>
      </c>
      <c r="K291" t="s">
        <v>1052</v>
      </c>
      <c r="L291">
        <v>4</v>
      </c>
      <c r="M291" t="s">
        <v>751</v>
      </c>
      <c r="N291">
        <v>5</v>
      </c>
      <c r="O291">
        <v>74.7</v>
      </c>
      <c r="P291">
        <v>5</v>
      </c>
      <c r="Q291" t="s">
        <v>867</v>
      </c>
      <c r="R291">
        <v>2</v>
      </c>
      <c r="S291" t="s">
        <v>1188</v>
      </c>
      <c r="T291">
        <v>4</v>
      </c>
      <c r="U291" t="s">
        <v>572</v>
      </c>
      <c r="V291">
        <v>2</v>
      </c>
      <c r="W291" t="s">
        <v>991</v>
      </c>
      <c r="X291">
        <v>1</v>
      </c>
      <c r="Y291" t="s">
        <v>755</v>
      </c>
      <c r="Z291">
        <v>3</v>
      </c>
    </row>
    <row r="292" spans="1:26" x14ac:dyDescent="0.4">
      <c r="A292" t="s">
        <v>547</v>
      </c>
      <c r="B292" t="s">
        <v>659</v>
      </c>
      <c r="C292" t="s">
        <v>304</v>
      </c>
      <c r="D292">
        <v>2.75</v>
      </c>
      <c r="E292" t="s">
        <v>1345</v>
      </c>
      <c r="F292">
        <v>5</v>
      </c>
      <c r="G292" t="s">
        <v>656</v>
      </c>
      <c r="H292">
        <v>1</v>
      </c>
      <c r="I292" t="s">
        <v>983</v>
      </c>
      <c r="J292">
        <v>3</v>
      </c>
      <c r="K292" t="s">
        <v>972</v>
      </c>
      <c r="L292">
        <v>4</v>
      </c>
      <c r="M292" t="s">
        <v>620</v>
      </c>
      <c r="N292">
        <v>4</v>
      </c>
      <c r="O292">
        <v>63.3</v>
      </c>
      <c r="P292">
        <v>3</v>
      </c>
      <c r="Q292" t="s">
        <v>763</v>
      </c>
      <c r="R292">
        <v>3</v>
      </c>
      <c r="S292" t="s">
        <v>994</v>
      </c>
      <c r="T292">
        <v>1</v>
      </c>
      <c r="U292" t="s">
        <v>1090</v>
      </c>
      <c r="V292">
        <v>2</v>
      </c>
      <c r="W292" t="s">
        <v>926</v>
      </c>
      <c r="X292">
        <v>2</v>
      </c>
      <c r="Y292" t="s">
        <v>1041</v>
      </c>
      <c r="Z292">
        <v>1</v>
      </c>
    </row>
    <row r="293" spans="1:26" x14ac:dyDescent="0.4">
      <c r="A293" t="s">
        <v>559</v>
      </c>
      <c r="B293" t="s">
        <v>669</v>
      </c>
      <c r="C293" t="s">
        <v>223</v>
      </c>
      <c r="D293">
        <v>3.02</v>
      </c>
      <c r="E293" t="s">
        <v>1136</v>
      </c>
      <c r="F293">
        <v>2</v>
      </c>
      <c r="G293" t="s">
        <v>1280</v>
      </c>
      <c r="H293">
        <v>1</v>
      </c>
      <c r="I293" t="s">
        <v>1344</v>
      </c>
      <c r="J293">
        <v>4</v>
      </c>
      <c r="K293" t="s">
        <v>780</v>
      </c>
      <c r="L293">
        <v>5</v>
      </c>
      <c r="M293" t="s">
        <v>625</v>
      </c>
      <c r="N293">
        <v>2</v>
      </c>
      <c r="O293">
        <v>65.2</v>
      </c>
      <c r="P293">
        <v>4</v>
      </c>
      <c r="Q293" t="s">
        <v>1019</v>
      </c>
      <c r="R293">
        <v>3</v>
      </c>
      <c r="S293" t="s">
        <v>572</v>
      </c>
      <c r="T293">
        <v>2</v>
      </c>
      <c r="U293" t="s">
        <v>1152</v>
      </c>
      <c r="V293">
        <v>3</v>
      </c>
      <c r="W293" t="s">
        <v>802</v>
      </c>
      <c r="X293">
        <v>5</v>
      </c>
      <c r="Y293" t="s">
        <v>558</v>
      </c>
      <c r="Z293">
        <v>2</v>
      </c>
    </row>
    <row r="294" spans="1:26" x14ac:dyDescent="0.4">
      <c r="A294" t="s">
        <v>569</v>
      </c>
      <c r="B294" t="s">
        <v>679</v>
      </c>
      <c r="C294" t="s">
        <v>362</v>
      </c>
      <c r="D294">
        <v>2.52</v>
      </c>
      <c r="E294" t="s">
        <v>1446</v>
      </c>
      <c r="F294">
        <v>4</v>
      </c>
      <c r="G294" t="s">
        <v>1019</v>
      </c>
      <c r="H294">
        <v>3</v>
      </c>
      <c r="I294" t="s">
        <v>710</v>
      </c>
      <c r="J294">
        <v>4</v>
      </c>
      <c r="K294" t="s">
        <v>1266</v>
      </c>
      <c r="L294">
        <v>5</v>
      </c>
      <c r="M294" t="s">
        <v>685</v>
      </c>
      <c r="N294">
        <v>1</v>
      </c>
      <c r="O294">
        <v>55</v>
      </c>
      <c r="P294">
        <v>1</v>
      </c>
      <c r="Q294" t="s">
        <v>960</v>
      </c>
      <c r="R294">
        <v>2</v>
      </c>
      <c r="S294" t="s">
        <v>934</v>
      </c>
      <c r="T294">
        <v>3</v>
      </c>
      <c r="U294" t="s">
        <v>574</v>
      </c>
      <c r="V294">
        <v>2</v>
      </c>
      <c r="W294" t="s">
        <v>762</v>
      </c>
      <c r="X294">
        <v>2</v>
      </c>
      <c r="Y294" t="s">
        <v>567</v>
      </c>
      <c r="Z294">
        <v>1</v>
      </c>
    </row>
    <row r="295" spans="1:26" x14ac:dyDescent="0.4">
      <c r="A295" t="s">
        <v>581</v>
      </c>
      <c r="B295" t="s">
        <v>688</v>
      </c>
      <c r="C295" t="s">
        <v>372</v>
      </c>
      <c r="D295">
        <v>2.4500000000000002</v>
      </c>
      <c r="E295" t="s">
        <v>1422</v>
      </c>
      <c r="F295">
        <v>4</v>
      </c>
      <c r="G295" t="s">
        <v>1004</v>
      </c>
      <c r="H295">
        <v>1</v>
      </c>
      <c r="I295" t="s">
        <v>1447</v>
      </c>
      <c r="J295">
        <v>1</v>
      </c>
      <c r="K295" t="s">
        <v>963</v>
      </c>
      <c r="L295">
        <v>1</v>
      </c>
      <c r="M295" t="s">
        <v>975</v>
      </c>
      <c r="N295">
        <v>5</v>
      </c>
      <c r="O295">
        <v>63.4</v>
      </c>
      <c r="P295">
        <v>3</v>
      </c>
      <c r="Q295" t="s">
        <v>616</v>
      </c>
      <c r="R295">
        <v>3</v>
      </c>
      <c r="S295" t="s">
        <v>1104</v>
      </c>
      <c r="T295">
        <v>1</v>
      </c>
      <c r="U295" t="s">
        <v>1243</v>
      </c>
      <c r="V295">
        <v>2</v>
      </c>
      <c r="W295" t="s">
        <v>894</v>
      </c>
      <c r="X295">
        <v>4</v>
      </c>
      <c r="Y295" t="s">
        <v>1186</v>
      </c>
      <c r="Z295">
        <v>1</v>
      </c>
    </row>
    <row r="296" spans="1:26" x14ac:dyDescent="0.4">
      <c r="A296" t="s">
        <v>593</v>
      </c>
      <c r="B296" t="s">
        <v>699</v>
      </c>
      <c r="C296" t="s">
        <v>259</v>
      </c>
      <c r="D296">
        <v>2.9</v>
      </c>
      <c r="E296" t="s">
        <v>1448</v>
      </c>
      <c r="F296">
        <v>5</v>
      </c>
      <c r="G296" t="s">
        <v>705</v>
      </c>
      <c r="H296">
        <v>4</v>
      </c>
      <c r="I296" t="s">
        <v>1406</v>
      </c>
      <c r="J296">
        <v>2</v>
      </c>
      <c r="K296" t="s">
        <v>1277</v>
      </c>
      <c r="L296">
        <v>4</v>
      </c>
      <c r="M296" t="s">
        <v>851</v>
      </c>
      <c r="N296">
        <v>1</v>
      </c>
      <c r="O296">
        <v>77.2</v>
      </c>
      <c r="P296">
        <v>5</v>
      </c>
      <c r="Q296" t="s">
        <v>610</v>
      </c>
      <c r="R296">
        <v>3</v>
      </c>
      <c r="S296" t="s">
        <v>1043</v>
      </c>
      <c r="T296">
        <v>2</v>
      </c>
      <c r="U296" t="s">
        <v>665</v>
      </c>
      <c r="V296">
        <v>2</v>
      </c>
      <c r="W296" t="s">
        <v>620</v>
      </c>
      <c r="X296">
        <v>2</v>
      </c>
      <c r="Y296" t="s">
        <v>982</v>
      </c>
      <c r="Z296">
        <v>1</v>
      </c>
    </row>
    <row r="297" spans="1:26" x14ac:dyDescent="0.4">
      <c r="A297" t="s">
        <v>605</v>
      </c>
      <c r="B297" t="s">
        <v>707</v>
      </c>
      <c r="C297" t="s">
        <v>301</v>
      </c>
      <c r="D297">
        <v>2.76</v>
      </c>
      <c r="E297" t="s">
        <v>1449</v>
      </c>
      <c r="F297">
        <v>2</v>
      </c>
      <c r="G297" t="s">
        <v>1139</v>
      </c>
      <c r="H297">
        <v>1</v>
      </c>
      <c r="I297" t="s">
        <v>1180</v>
      </c>
      <c r="J297">
        <v>4</v>
      </c>
      <c r="K297" t="s">
        <v>1103</v>
      </c>
      <c r="L297">
        <v>5</v>
      </c>
      <c r="M297" t="s">
        <v>734</v>
      </c>
      <c r="N297">
        <v>5</v>
      </c>
      <c r="O297">
        <v>55.3</v>
      </c>
      <c r="P297">
        <v>1</v>
      </c>
      <c r="Q297" t="s">
        <v>1313</v>
      </c>
      <c r="R297">
        <v>2</v>
      </c>
      <c r="S297" t="s">
        <v>1093</v>
      </c>
      <c r="T297">
        <v>4</v>
      </c>
      <c r="U297" t="s">
        <v>1097</v>
      </c>
      <c r="V297">
        <v>1</v>
      </c>
      <c r="W297" t="s">
        <v>733</v>
      </c>
      <c r="X297">
        <v>3</v>
      </c>
      <c r="Y297" t="s">
        <v>1081</v>
      </c>
      <c r="Z297">
        <v>1</v>
      </c>
    </row>
    <row r="298" spans="1:26" x14ac:dyDescent="0.4">
      <c r="A298" t="s">
        <v>617</v>
      </c>
      <c r="B298" t="s">
        <v>717</v>
      </c>
      <c r="C298" t="s">
        <v>141</v>
      </c>
      <c r="D298">
        <v>3.25</v>
      </c>
      <c r="E298" t="s">
        <v>1450</v>
      </c>
      <c r="F298">
        <v>5</v>
      </c>
      <c r="G298" t="s">
        <v>788</v>
      </c>
      <c r="H298">
        <v>2</v>
      </c>
      <c r="I298" t="s">
        <v>1095</v>
      </c>
      <c r="J298">
        <v>3</v>
      </c>
      <c r="K298" t="s">
        <v>863</v>
      </c>
      <c r="L298">
        <v>1</v>
      </c>
      <c r="M298" t="s">
        <v>923</v>
      </c>
      <c r="N298">
        <v>5</v>
      </c>
      <c r="O298">
        <v>74.7</v>
      </c>
      <c r="P298">
        <v>5</v>
      </c>
      <c r="Q298" t="s">
        <v>794</v>
      </c>
      <c r="R298">
        <v>2</v>
      </c>
      <c r="S298" t="s">
        <v>634</v>
      </c>
      <c r="T298">
        <v>3</v>
      </c>
      <c r="U298" t="s">
        <v>1329</v>
      </c>
      <c r="V298">
        <v>2</v>
      </c>
      <c r="W298" t="s">
        <v>953</v>
      </c>
      <c r="X298">
        <v>3</v>
      </c>
      <c r="Y298" t="s">
        <v>1223</v>
      </c>
      <c r="Z298">
        <v>4</v>
      </c>
    </row>
    <row r="299" spans="1:26" x14ac:dyDescent="0.4">
      <c r="A299" t="s">
        <v>627</v>
      </c>
      <c r="B299" t="s">
        <v>729</v>
      </c>
      <c r="C299" t="s">
        <v>283</v>
      </c>
      <c r="D299">
        <v>2.84</v>
      </c>
      <c r="E299" t="s">
        <v>1451</v>
      </c>
      <c r="F299">
        <v>4</v>
      </c>
      <c r="G299" t="s">
        <v>1204</v>
      </c>
      <c r="H299">
        <v>4</v>
      </c>
      <c r="I299" t="s">
        <v>1252</v>
      </c>
      <c r="J299">
        <v>1</v>
      </c>
      <c r="K299" t="s">
        <v>1013</v>
      </c>
      <c r="L299">
        <v>2</v>
      </c>
      <c r="M299" t="s">
        <v>1013</v>
      </c>
      <c r="N299">
        <v>1</v>
      </c>
      <c r="O299">
        <v>70.900000000000006</v>
      </c>
      <c r="P299">
        <v>5</v>
      </c>
      <c r="Q299" t="s">
        <v>1247</v>
      </c>
      <c r="R299">
        <v>2</v>
      </c>
      <c r="S299" t="s">
        <v>692</v>
      </c>
      <c r="T299">
        <v>5</v>
      </c>
      <c r="U299" t="s">
        <v>1146</v>
      </c>
      <c r="V299">
        <v>3</v>
      </c>
      <c r="W299" t="s">
        <v>1428</v>
      </c>
      <c r="X299">
        <v>2</v>
      </c>
      <c r="Y299" t="s">
        <v>1059</v>
      </c>
      <c r="Z299">
        <v>3</v>
      </c>
    </row>
    <row r="300" spans="1:26" x14ac:dyDescent="0.4">
      <c r="A300" t="s">
        <v>637</v>
      </c>
      <c r="B300" t="s">
        <v>737</v>
      </c>
      <c r="C300" t="s">
        <v>384</v>
      </c>
      <c r="D300">
        <v>2.4</v>
      </c>
      <c r="E300" t="s">
        <v>1452</v>
      </c>
      <c r="F300">
        <v>4</v>
      </c>
      <c r="G300" t="s">
        <v>743</v>
      </c>
      <c r="H300">
        <v>2</v>
      </c>
      <c r="I300" t="s">
        <v>1447</v>
      </c>
      <c r="J300">
        <v>1</v>
      </c>
      <c r="K300" t="s">
        <v>1453</v>
      </c>
      <c r="L300">
        <v>2</v>
      </c>
      <c r="M300" t="s">
        <v>1277</v>
      </c>
      <c r="N300">
        <v>3</v>
      </c>
      <c r="O300">
        <v>56.2</v>
      </c>
      <c r="P300">
        <v>1</v>
      </c>
      <c r="Q300" t="s">
        <v>869</v>
      </c>
      <c r="R300">
        <v>3</v>
      </c>
      <c r="S300" t="s">
        <v>782</v>
      </c>
      <c r="T300">
        <v>3</v>
      </c>
      <c r="U300" t="s">
        <v>1067</v>
      </c>
      <c r="V300">
        <v>3</v>
      </c>
      <c r="W300" t="s">
        <v>1036</v>
      </c>
      <c r="X300">
        <v>1</v>
      </c>
      <c r="Y300" t="s">
        <v>655</v>
      </c>
      <c r="Z300">
        <v>4</v>
      </c>
    </row>
    <row r="301" spans="1:26" x14ac:dyDescent="0.4">
      <c r="A301" t="s">
        <v>648</v>
      </c>
      <c r="B301" t="s">
        <v>747</v>
      </c>
      <c r="C301" t="s">
        <v>79</v>
      </c>
      <c r="D301">
        <v>3.51</v>
      </c>
      <c r="E301" t="s">
        <v>1454</v>
      </c>
      <c r="F301">
        <v>5</v>
      </c>
      <c r="G301" t="s">
        <v>562</v>
      </c>
      <c r="H301">
        <v>4</v>
      </c>
      <c r="I301" t="s">
        <v>1412</v>
      </c>
      <c r="J301">
        <v>2</v>
      </c>
      <c r="K301" t="s">
        <v>1037</v>
      </c>
      <c r="L301">
        <v>5</v>
      </c>
      <c r="M301" t="s">
        <v>675</v>
      </c>
      <c r="N301">
        <v>5</v>
      </c>
      <c r="O301">
        <v>74.599999999999994</v>
      </c>
      <c r="P301">
        <v>5</v>
      </c>
      <c r="Q301" t="s">
        <v>956</v>
      </c>
      <c r="R301">
        <v>2</v>
      </c>
      <c r="S301" t="s">
        <v>1126</v>
      </c>
      <c r="T301">
        <v>1</v>
      </c>
      <c r="U301" t="s">
        <v>660</v>
      </c>
      <c r="V301">
        <v>2</v>
      </c>
      <c r="W301" t="s">
        <v>1184</v>
      </c>
      <c r="X301">
        <v>1</v>
      </c>
      <c r="Y301" t="s">
        <v>774</v>
      </c>
      <c r="Z301">
        <v>2</v>
      </c>
    </row>
    <row r="302" spans="1:26" x14ac:dyDescent="0.4">
      <c r="A302" t="s">
        <v>658</v>
      </c>
      <c r="B302" t="s">
        <v>758</v>
      </c>
      <c r="C302" t="s">
        <v>381</v>
      </c>
      <c r="D302">
        <v>2.42</v>
      </c>
      <c r="E302" t="s">
        <v>1455</v>
      </c>
      <c r="F302">
        <v>4</v>
      </c>
      <c r="G302" t="s">
        <v>898</v>
      </c>
      <c r="H302">
        <v>1</v>
      </c>
      <c r="I302" t="s">
        <v>928</v>
      </c>
      <c r="J302">
        <v>4</v>
      </c>
      <c r="K302" t="s">
        <v>635</v>
      </c>
      <c r="L302">
        <v>1</v>
      </c>
      <c r="M302" t="s">
        <v>1073</v>
      </c>
      <c r="N302">
        <v>1</v>
      </c>
      <c r="O302">
        <v>68.2</v>
      </c>
      <c r="P302">
        <v>4</v>
      </c>
      <c r="Q302" t="s">
        <v>1079</v>
      </c>
      <c r="R302">
        <v>3</v>
      </c>
      <c r="S302" t="s">
        <v>791</v>
      </c>
      <c r="T302">
        <v>4</v>
      </c>
      <c r="U302" t="s">
        <v>1041</v>
      </c>
      <c r="V302">
        <v>2</v>
      </c>
      <c r="W302" t="s">
        <v>1134</v>
      </c>
      <c r="X302">
        <v>5</v>
      </c>
      <c r="Y302" t="s">
        <v>1157</v>
      </c>
      <c r="Z302">
        <v>1</v>
      </c>
    </row>
    <row r="303" spans="1:26" x14ac:dyDescent="0.4">
      <c r="A303" t="s">
        <v>668</v>
      </c>
      <c r="B303" t="s">
        <v>766</v>
      </c>
      <c r="C303" t="s">
        <v>391</v>
      </c>
      <c r="D303">
        <v>2.3199999999999998</v>
      </c>
      <c r="E303" t="s">
        <v>1456</v>
      </c>
      <c r="F303">
        <v>2</v>
      </c>
      <c r="G303" t="s">
        <v>1257</v>
      </c>
      <c r="H303">
        <v>1</v>
      </c>
      <c r="I303" t="s">
        <v>661</v>
      </c>
      <c r="J303">
        <v>2</v>
      </c>
      <c r="K303" t="s">
        <v>592</v>
      </c>
      <c r="L303">
        <v>5</v>
      </c>
      <c r="M303" t="s">
        <v>956</v>
      </c>
      <c r="N303">
        <v>2</v>
      </c>
      <c r="O303">
        <v>63.2</v>
      </c>
      <c r="P303">
        <v>3</v>
      </c>
      <c r="Q303" t="s">
        <v>754</v>
      </c>
      <c r="R303">
        <v>2</v>
      </c>
      <c r="S303" t="s">
        <v>958</v>
      </c>
      <c r="T303">
        <v>1</v>
      </c>
      <c r="U303" t="s">
        <v>829</v>
      </c>
      <c r="V303">
        <v>3</v>
      </c>
      <c r="W303" t="s">
        <v>715</v>
      </c>
      <c r="X303">
        <v>2</v>
      </c>
      <c r="Y303" t="s">
        <v>711</v>
      </c>
      <c r="Z303">
        <v>1</v>
      </c>
    </row>
    <row r="304" spans="1:26" x14ac:dyDescent="0.4">
      <c r="A304" t="s">
        <v>678</v>
      </c>
      <c r="B304" t="s">
        <v>776</v>
      </c>
      <c r="C304" t="s">
        <v>365</v>
      </c>
      <c r="D304">
        <v>2.4900000000000002</v>
      </c>
      <c r="E304" t="s">
        <v>1457</v>
      </c>
      <c r="F304">
        <v>2</v>
      </c>
      <c r="G304" t="s">
        <v>1058</v>
      </c>
      <c r="H304">
        <v>5</v>
      </c>
      <c r="I304" t="s">
        <v>1458</v>
      </c>
      <c r="J304">
        <v>1</v>
      </c>
      <c r="K304" t="s">
        <v>1086</v>
      </c>
      <c r="L304">
        <v>5</v>
      </c>
      <c r="M304" t="s">
        <v>663</v>
      </c>
      <c r="N304">
        <v>1</v>
      </c>
      <c r="O304">
        <v>55.5</v>
      </c>
      <c r="P304">
        <v>1</v>
      </c>
      <c r="Q304" t="s">
        <v>1018</v>
      </c>
      <c r="R304">
        <v>1</v>
      </c>
      <c r="S304" t="s">
        <v>625</v>
      </c>
      <c r="T304">
        <v>2</v>
      </c>
      <c r="U304" t="s">
        <v>666</v>
      </c>
      <c r="V304">
        <v>3</v>
      </c>
      <c r="W304" t="s">
        <v>1036</v>
      </c>
      <c r="X304">
        <v>1</v>
      </c>
      <c r="Y304" t="s">
        <v>1459</v>
      </c>
      <c r="Z304">
        <v>3</v>
      </c>
    </row>
    <row r="305" spans="1:26" x14ac:dyDescent="0.4">
      <c r="A305" t="s">
        <v>687</v>
      </c>
      <c r="B305" t="s">
        <v>786</v>
      </c>
      <c r="C305" t="s">
        <v>418</v>
      </c>
      <c r="D305">
        <v>2</v>
      </c>
      <c r="E305" t="s">
        <v>1460</v>
      </c>
      <c r="F305">
        <v>3</v>
      </c>
      <c r="G305" t="s">
        <v>1145</v>
      </c>
      <c r="H305">
        <v>1</v>
      </c>
      <c r="I305" t="s">
        <v>967</v>
      </c>
      <c r="J305">
        <v>2</v>
      </c>
      <c r="K305" t="s">
        <v>1280</v>
      </c>
      <c r="L305">
        <v>2</v>
      </c>
      <c r="M305" t="s">
        <v>1140</v>
      </c>
      <c r="N305">
        <v>2</v>
      </c>
      <c r="O305">
        <v>58.6</v>
      </c>
      <c r="P305">
        <v>2</v>
      </c>
      <c r="Q305" t="s">
        <v>1088</v>
      </c>
      <c r="R305">
        <v>2</v>
      </c>
      <c r="S305" t="s">
        <v>940</v>
      </c>
      <c r="T305">
        <v>3</v>
      </c>
      <c r="U305" t="s">
        <v>925</v>
      </c>
      <c r="V305">
        <v>2</v>
      </c>
      <c r="W305" t="s">
        <v>911</v>
      </c>
      <c r="X305">
        <v>3</v>
      </c>
      <c r="Y305" t="s">
        <v>1126</v>
      </c>
      <c r="Z305">
        <v>1</v>
      </c>
    </row>
    <row r="306" spans="1:26" x14ac:dyDescent="0.4">
      <c r="A306" t="s">
        <v>698</v>
      </c>
      <c r="B306" t="s">
        <v>797</v>
      </c>
      <c r="C306" t="s">
        <v>308</v>
      </c>
      <c r="D306">
        <v>2.74</v>
      </c>
      <c r="E306" t="s">
        <v>1291</v>
      </c>
      <c r="F306">
        <v>5</v>
      </c>
      <c r="G306" t="s">
        <v>1238</v>
      </c>
      <c r="H306">
        <v>1</v>
      </c>
      <c r="I306" t="s">
        <v>1318</v>
      </c>
      <c r="J306">
        <v>2</v>
      </c>
      <c r="K306" t="s">
        <v>1002</v>
      </c>
      <c r="L306">
        <v>2</v>
      </c>
      <c r="M306" t="s">
        <v>1135</v>
      </c>
      <c r="N306">
        <v>5</v>
      </c>
      <c r="O306">
        <v>61.2</v>
      </c>
      <c r="P306">
        <v>3</v>
      </c>
      <c r="Q306" t="s">
        <v>1347</v>
      </c>
      <c r="R306">
        <v>3</v>
      </c>
      <c r="S306" t="s">
        <v>681</v>
      </c>
      <c r="T306">
        <v>2</v>
      </c>
      <c r="U306" t="s">
        <v>693</v>
      </c>
      <c r="V306">
        <v>1</v>
      </c>
      <c r="W306" t="s">
        <v>1088</v>
      </c>
      <c r="X306">
        <v>2</v>
      </c>
      <c r="Y306" t="s">
        <v>1199</v>
      </c>
      <c r="Z306">
        <v>3</v>
      </c>
    </row>
    <row r="307" spans="1:26" x14ac:dyDescent="0.4">
      <c r="A307" t="s">
        <v>706</v>
      </c>
      <c r="B307" t="s">
        <v>805</v>
      </c>
      <c r="C307" t="s">
        <v>387</v>
      </c>
      <c r="D307">
        <v>2.36</v>
      </c>
      <c r="E307" t="s">
        <v>1432</v>
      </c>
      <c r="F307">
        <v>5</v>
      </c>
      <c r="G307" t="s">
        <v>587</v>
      </c>
      <c r="H307">
        <v>1</v>
      </c>
      <c r="I307" t="s">
        <v>1461</v>
      </c>
      <c r="J307">
        <v>2</v>
      </c>
      <c r="K307" t="s">
        <v>1073</v>
      </c>
      <c r="L307">
        <v>1</v>
      </c>
      <c r="M307" t="s">
        <v>908</v>
      </c>
      <c r="N307">
        <v>3</v>
      </c>
      <c r="O307">
        <v>76.900000000000006</v>
      </c>
      <c r="P307">
        <v>5</v>
      </c>
      <c r="Q307" t="s">
        <v>1022</v>
      </c>
      <c r="R307">
        <v>2</v>
      </c>
      <c r="S307" t="s">
        <v>1044</v>
      </c>
      <c r="T307">
        <v>2</v>
      </c>
      <c r="U307" t="s">
        <v>788</v>
      </c>
      <c r="V307">
        <v>2</v>
      </c>
      <c r="W307" t="s">
        <v>794</v>
      </c>
      <c r="X307">
        <v>1</v>
      </c>
      <c r="Y307" t="s">
        <v>1228</v>
      </c>
      <c r="Z307">
        <v>2</v>
      </c>
    </row>
    <row r="308" spans="1:26" x14ac:dyDescent="0.4">
      <c r="A308" t="s">
        <v>716</v>
      </c>
      <c r="B308" t="s">
        <v>815</v>
      </c>
      <c r="C308" t="s">
        <v>217</v>
      </c>
      <c r="D308">
        <v>3.03</v>
      </c>
      <c r="E308" t="s">
        <v>1462</v>
      </c>
      <c r="F308">
        <v>5</v>
      </c>
      <c r="G308" t="s">
        <v>1243</v>
      </c>
      <c r="H308">
        <v>1</v>
      </c>
      <c r="I308" t="s">
        <v>1463</v>
      </c>
      <c r="J308">
        <v>3</v>
      </c>
      <c r="K308" t="s">
        <v>590</v>
      </c>
      <c r="L308">
        <v>5</v>
      </c>
      <c r="M308" t="s">
        <v>645</v>
      </c>
      <c r="N308">
        <v>5</v>
      </c>
      <c r="O308">
        <v>63.7</v>
      </c>
      <c r="P308">
        <v>3</v>
      </c>
      <c r="Q308" t="s">
        <v>838</v>
      </c>
      <c r="R308">
        <v>5</v>
      </c>
      <c r="S308" t="s">
        <v>773</v>
      </c>
      <c r="T308">
        <v>2</v>
      </c>
      <c r="U308" t="s">
        <v>587</v>
      </c>
      <c r="V308">
        <v>1</v>
      </c>
      <c r="W308" t="s">
        <v>1073</v>
      </c>
      <c r="X308">
        <v>1</v>
      </c>
      <c r="Y308" t="s">
        <v>1038</v>
      </c>
      <c r="Z308">
        <v>1</v>
      </c>
    </row>
    <row r="309" spans="1:26" x14ac:dyDescent="0.4">
      <c r="A309" t="s">
        <v>728</v>
      </c>
      <c r="B309" t="s">
        <v>823</v>
      </c>
      <c r="C309" t="s">
        <v>364</v>
      </c>
      <c r="D309">
        <v>2.5099999999999998</v>
      </c>
      <c r="E309" t="s">
        <v>1464</v>
      </c>
      <c r="F309">
        <v>5</v>
      </c>
      <c r="G309" t="s">
        <v>643</v>
      </c>
      <c r="H309">
        <v>1</v>
      </c>
      <c r="I309" t="s">
        <v>989</v>
      </c>
      <c r="J309">
        <v>1</v>
      </c>
      <c r="K309" t="s">
        <v>749</v>
      </c>
      <c r="L309">
        <v>4</v>
      </c>
      <c r="M309" t="s">
        <v>945</v>
      </c>
      <c r="N309">
        <v>5</v>
      </c>
      <c r="O309">
        <v>53</v>
      </c>
      <c r="P309">
        <v>1</v>
      </c>
      <c r="Q309" t="s">
        <v>1104</v>
      </c>
      <c r="R309">
        <v>1</v>
      </c>
      <c r="S309" t="s">
        <v>795</v>
      </c>
      <c r="T309">
        <v>1</v>
      </c>
      <c r="U309" t="s">
        <v>1152</v>
      </c>
      <c r="V309">
        <v>3</v>
      </c>
      <c r="W309" t="s">
        <v>1043</v>
      </c>
      <c r="X309">
        <v>2</v>
      </c>
      <c r="Y309" t="s">
        <v>675</v>
      </c>
      <c r="Z309">
        <v>1</v>
      </c>
    </row>
    <row r="310" spans="1:26" x14ac:dyDescent="0.4">
      <c r="A310" t="s">
        <v>736</v>
      </c>
      <c r="B310" t="s">
        <v>832</v>
      </c>
      <c r="C310" t="s">
        <v>211</v>
      </c>
      <c r="D310">
        <v>3.04</v>
      </c>
      <c r="E310" t="s">
        <v>1465</v>
      </c>
      <c r="F310">
        <v>3</v>
      </c>
      <c r="G310" t="s">
        <v>622</v>
      </c>
      <c r="H310">
        <v>1</v>
      </c>
      <c r="I310" t="s">
        <v>1220</v>
      </c>
      <c r="J310">
        <v>4</v>
      </c>
      <c r="K310" t="s">
        <v>703</v>
      </c>
      <c r="L310">
        <v>5</v>
      </c>
      <c r="M310" t="s">
        <v>973</v>
      </c>
      <c r="N310">
        <v>5</v>
      </c>
      <c r="O310">
        <v>63.9</v>
      </c>
      <c r="P310">
        <v>3</v>
      </c>
      <c r="Q310" t="s">
        <v>1140</v>
      </c>
      <c r="R310">
        <v>2</v>
      </c>
      <c r="S310" t="s">
        <v>1228</v>
      </c>
      <c r="T310">
        <v>2</v>
      </c>
      <c r="U310" t="s">
        <v>651</v>
      </c>
      <c r="V310">
        <v>2</v>
      </c>
      <c r="W310" t="s">
        <v>794</v>
      </c>
      <c r="X310">
        <v>1</v>
      </c>
      <c r="Y310" t="s">
        <v>1146</v>
      </c>
      <c r="Z310">
        <v>3</v>
      </c>
    </row>
    <row r="311" spans="1:26" x14ac:dyDescent="0.4">
      <c r="A311" t="s">
        <v>746</v>
      </c>
      <c r="B311" t="s">
        <v>840</v>
      </c>
      <c r="C311" t="s">
        <v>35</v>
      </c>
      <c r="D311">
        <v>3.78</v>
      </c>
      <c r="E311" t="s">
        <v>1466</v>
      </c>
      <c r="F311">
        <v>4</v>
      </c>
      <c r="G311" t="s">
        <v>565</v>
      </c>
      <c r="H311">
        <v>5</v>
      </c>
      <c r="I311" t="s">
        <v>1410</v>
      </c>
      <c r="J311">
        <v>4</v>
      </c>
      <c r="K311" t="s">
        <v>915</v>
      </c>
      <c r="L311">
        <v>5</v>
      </c>
      <c r="M311" t="s">
        <v>1019</v>
      </c>
      <c r="N311">
        <v>5</v>
      </c>
      <c r="O311">
        <v>68.599999999999994</v>
      </c>
      <c r="P311">
        <v>4</v>
      </c>
      <c r="Q311" t="s">
        <v>1321</v>
      </c>
      <c r="R311">
        <v>3</v>
      </c>
      <c r="S311" t="s">
        <v>603</v>
      </c>
      <c r="T311">
        <v>1</v>
      </c>
      <c r="U311" t="s">
        <v>694</v>
      </c>
      <c r="V311">
        <v>2</v>
      </c>
      <c r="W311" t="s">
        <v>562</v>
      </c>
      <c r="X311">
        <v>4</v>
      </c>
      <c r="Y311" t="s">
        <v>654</v>
      </c>
      <c r="Z311">
        <v>1</v>
      </c>
    </row>
    <row r="312" spans="1:26" x14ac:dyDescent="0.4">
      <c r="A312" t="s">
        <v>757</v>
      </c>
      <c r="B312" t="s">
        <v>849</v>
      </c>
      <c r="C312" t="s">
        <v>134</v>
      </c>
      <c r="D312">
        <v>3.27</v>
      </c>
      <c r="E312" t="s">
        <v>1094</v>
      </c>
      <c r="F312">
        <v>5</v>
      </c>
      <c r="G312" t="s">
        <v>1212</v>
      </c>
      <c r="H312">
        <v>1</v>
      </c>
      <c r="I312" t="s">
        <v>1467</v>
      </c>
      <c r="J312">
        <v>5</v>
      </c>
      <c r="K312" t="s">
        <v>1137</v>
      </c>
      <c r="L312">
        <v>5</v>
      </c>
      <c r="M312" t="s">
        <v>862</v>
      </c>
      <c r="N312">
        <v>5</v>
      </c>
      <c r="O312">
        <v>57.9</v>
      </c>
      <c r="P312">
        <v>2</v>
      </c>
      <c r="Q312" t="s">
        <v>899</v>
      </c>
      <c r="R312">
        <v>3</v>
      </c>
      <c r="S312" t="s">
        <v>1028</v>
      </c>
      <c r="T312">
        <v>2</v>
      </c>
      <c r="U312" t="s">
        <v>726</v>
      </c>
      <c r="V312">
        <v>2</v>
      </c>
      <c r="W312" t="s">
        <v>1107</v>
      </c>
      <c r="X312">
        <v>4</v>
      </c>
      <c r="Y312" t="s">
        <v>863</v>
      </c>
      <c r="Z312">
        <v>1</v>
      </c>
    </row>
    <row r="313" spans="1:26" x14ac:dyDescent="0.4">
      <c r="A313" t="s">
        <v>765</v>
      </c>
      <c r="B313" t="s">
        <v>858</v>
      </c>
      <c r="C313" t="s">
        <v>342</v>
      </c>
      <c r="D313">
        <v>2.61</v>
      </c>
      <c r="E313" t="s">
        <v>1468</v>
      </c>
      <c r="F313">
        <v>2</v>
      </c>
      <c r="G313" t="s">
        <v>1161</v>
      </c>
      <c r="H313">
        <v>1</v>
      </c>
      <c r="I313" t="s">
        <v>661</v>
      </c>
      <c r="J313">
        <v>2</v>
      </c>
      <c r="K313" t="s">
        <v>1196</v>
      </c>
      <c r="L313">
        <v>5</v>
      </c>
      <c r="M313" t="s">
        <v>1081</v>
      </c>
      <c r="N313">
        <v>5</v>
      </c>
      <c r="O313">
        <v>53.9</v>
      </c>
      <c r="P313">
        <v>1</v>
      </c>
      <c r="Q313" t="s">
        <v>886</v>
      </c>
      <c r="R313">
        <v>2</v>
      </c>
      <c r="S313" t="s">
        <v>891</v>
      </c>
      <c r="T313">
        <v>4</v>
      </c>
      <c r="U313" t="s">
        <v>1002</v>
      </c>
      <c r="V313">
        <v>2</v>
      </c>
      <c r="W313" t="s">
        <v>681</v>
      </c>
      <c r="X313">
        <v>2</v>
      </c>
      <c r="Y313" t="s">
        <v>693</v>
      </c>
      <c r="Z313">
        <v>1</v>
      </c>
    </row>
    <row r="314" spans="1:26" x14ac:dyDescent="0.4">
      <c r="A314" t="s">
        <v>775</v>
      </c>
      <c r="B314" t="s">
        <v>865</v>
      </c>
      <c r="C314" t="s">
        <v>160</v>
      </c>
      <c r="D314">
        <v>3.2</v>
      </c>
      <c r="E314" t="s">
        <v>1469</v>
      </c>
      <c r="F314">
        <v>4</v>
      </c>
      <c r="G314" t="s">
        <v>1119</v>
      </c>
      <c r="H314">
        <v>2</v>
      </c>
      <c r="I314" t="s">
        <v>1387</v>
      </c>
      <c r="J314">
        <v>3</v>
      </c>
      <c r="K314" t="s">
        <v>599</v>
      </c>
      <c r="L314">
        <v>1</v>
      </c>
      <c r="M314" t="s">
        <v>883</v>
      </c>
      <c r="N314">
        <v>5</v>
      </c>
      <c r="O314">
        <v>76.5</v>
      </c>
      <c r="P314">
        <v>5</v>
      </c>
      <c r="Q314" t="s">
        <v>1068</v>
      </c>
      <c r="R314">
        <v>5</v>
      </c>
      <c r="S314" t="s">
        <v>1164</v>
      </c>
      <c r="T314">
        <v>3</v>
      </c>
      <c r="U314" t="s">
        <v>942</v>
      </c>
      <c r="V314">
        <v>3</v>
      </c>
      <c r="W314" t="s">
        <v>557</v>
      </c>
      <c r="X314">
        <v>1</v>
      </c>
      <c r="Y314" t="s">
        <v>701</v>
      </c>
      <c r="Z314">
        <v>4</v>
      </c>
    </row>
    <row r="315" spans="1:26" x14ac:dyDescent="0.4">
      <c r="A315" t="s">
        <v>785</v>
      </c>
      <c r="B315" t="s">
        <v>870</v>
      </c>
      <c r="C315" t="s">
        <v>197</v>
      </c>
      <c r="D315">
        <v>3.07</v>
      </c>
      <c r="E315" t="s">
        <v>1470</v>
      </c>
      <c r="F315">
        <v>5</v>
      </c>
      <c r="G315" t="s">
        <v>1126</v>
      </c>
      <c r="H315">
        <v>1</v>
      </c>
      <c r="I315" t="s">
        <v>621</v>
      </c>
      <c r="J315">
        <v>5</v>
      </c>
      <c r="K315" t="s">
        <v>676</v>
      </c>
      <c r="L315">
        <v>4</v>
      </c>
      <c r="M315" t="s">
        <v>867</v>
      </c>
      <c r="N315">
        <v>5</v>
      </c>
      <c r="O315">
        <v>57.5</v>
      </c>
      <c r="P315">
        <v>2</v>
      </c>
      <c r="Q315" t="s">
        <v>812</v>
      </c>
      <c r="R315">
        <v>2</v>
      </c>
      <c r="S315" t="s">
        <v>553</v>
      </c>
      <c r="T315">
        <v>4</v>
      </c>
      <c r="U315" t="s">
        <v>941</v>
      </c>
      <c r="V315">
        <v>3</v>
      </c>
      <c r="W315" t="s">
        <v>895</v>
      </c>
      <c r="X315">
        <v>1</v>
      </c>
      <c r="Y315" t="s">
        <v>1023</v>
      </c>
      <c r="Z315">
        <v>2</v>
      </c>
    </row>
    <row r="316" spans="1:26" x14ac:dyDescent="0.4">
      <c r="A316" t="s">
        <v>796</v>
      </c>
      <c r="B316" t="s">
        <v>879</v>
      </c>
      <c r="C316" t="s">
        <v>310</v>
      </c>
      <c r="D316">
        <v>2.73</v>
      </c>
      <c r="E316" t="s">
        <v>1471</v>
      </c>
      <c r="F316">
        <v>2</v>
      </c>
      <c r="G316" t="s">
        <v>837</v>
      </c>
      <c r="H316">
        <v>1</v>
      </c>
      <c r="I316" t="s">
        <v>597</v>
      </c>
      <c r="J316">
        <v>3</v>
      </c>
      <c r="K316" t="s">
        <v>1010</v>
      </c>
      <c r="L316">
        <v>3</v>
      </c>
      <c r="M316" t="s">
        <v>1206</v>
      </c>
      <c r="N316">
        <v>3</v>
      </c>
      <c r="O316">
        <v>72.599999999999994</v>
      </c>
      <c r="P316">
        <v>5</v>
      </c>
      <c r="Q316" t="s">
        <v>1018</v>
      </c>
      <c r="R316">
        <v>1</v>
      </c>
      <c r="S316" t="s">
        <v>904</v>
      </c>
      <c r="T316">
        <v>4</v>
      </c>
      <c r="U316" t="s">
        <v>1057</v>
      </c>
      <c r="V316">
        <v>1</v>
      </c>
      <c r="W316" t="s">
        <v>941</v>
      </c>
      <c r="X316">
        <v>3</v>
      </c>
      <c r="Y316" t="s">
        <v>839</v>
      </c>
      <c r="Z316">
        <v>3</v>
      </c>
    </row>
    <row r="317" spans="1:26" x14ac:dyDescent="0.4">
      <c r="A317" t="s">
        <v>804</v>
      </c>
      <c r="B317" t="s">
        <v>887</v>
      </c>
      <c r="C317" t="s">
        <v>298</v>
      </c>
      <c r="D317">
        <v>2.77</v>
      </c>
      <c r="E317" t="s">
        <v>816</v>
      </c>
      <c r="F317">
        <v>2</v>
      </c>
      <c r="G317" t="s">
        <v>1197</v>
      </c>
      <c r="H317">
        <v>1</v>
      </c>
      <c r="I317" t="s">
        <v>1246</v>
      </c>
      <c r="J317">
        <v>2</v>
      </c>
      <c r="K317" t="s">
        <v>1472</v>
      </c>
      <c r="L317">
        <v>4</v>
      </c>
      <c r="M317" t="s">
        <v>1082</v>
      </c>
      <c r="N317">
        <v>5</v>
      </c>
      <c r="O317">
        <v>55.5</v>
      </c>
      <c r="P317">
        <v>1</v>
      </c>
      <c r="Q317" t="s">
        <v>936</v>
      </c>
      <c r="R317">
        <v>5</v>
      </c>
      <c r="S317" t="s">
        <v>634</v>
      </c>
      <c r="T317">
        <v>3</v>
      </c>
      <c r="U317" t="s">
        <v>818</v>
      </c>
      <c r="V317">
        <v>2</v>
      </c>
      <c r="W317" t="s">
        <v>1086</v>
      </c>
      <c r="X317">
        <v>2</v>
      </c>
      <c r="Y317" t="s">
        <v>1146</v>
      </c>
      <c r="Z317">
        <v>3</v>
      </c>
    </row>
    <row r="318" spans="1:26" x14ac:dyDescent="0.4">
      <c r="A318" t="s">
        <v>814</v>
      </c>
      <c r="B318" t="s">
        <v>896</v>
      </c>
      <c r="C318" t="s">
        <v>135</v>
      </c>
      <c r="D318">
        <v>3.27</v>
      </c>
      <c r="E318" t="s">
        <v>1124</v>
      </c>
      <c r="F318">
        <v>4</v>
      </c>
      <c r="G318" t="s">
        <v>684</v>
      </c>
      <c r="H318">
        <v>5</v>
      </c>
      <c r="I318" t="s">
        <v>1378</v>
      </c>
      <c r="J318">
        <v>2</v>
      </c>
      <c r="K318" t="s">
        <v>1209</v>
      </c>
      <c r="L318">
        <v>5</v>
      </c>
      <c r="M318" t="s">
        <v>685</v>
      </c>
      <c r="N318">
        <v>1</v>
      </c>
      <c r="O318">
        <v>69.900000000000006</v>
      </c>
      <c r="P318">
        <v>5</v>
      </c>
      <c r="Q318" t="s">
        <v>1054</v>
      </c>
      <c r="R318">
        <v>4</v>
      </c>
      <c r="S318" t="s">
        <v>622</v>
      </c>
      <c r="T318">
        <v>1</v>
      </c>
      <c r="U318" t="s">
        <v>936</v>
      </c>
      <c r="V318">
        <v>5</v>
      </c>
      <c r="W318" t="s">
        <v>966</v>
      </c>
      <c r="X318">
        <v>1</v>
      </c>
      <c r="Y318" t="s">
        <v>1261</v>
      </c>
      <c r="Z318">
        <v>2</v>
      </c>
    </row>
    <row r="319" spans="1:26" x14ac:dyDescent="0.4">
      <c r="A319" t="s">
        <v>822</v>
      </c>
      <c r="B319" t="s">
        <v>901</v>
      </c>
      <c r="C319" t="s">
        <v>182</v>
      </c>
      <c r="D319">
        <v>3.12</v>
      </c>
      <c r="E319" t="s">
        <v>1473</v>
      </c>
      <c r="F319">
        <v>4</v>
      </c>
      <c r="G319" t="s">
        <v>1119</v>
      </c>
      <c r="H319">
        <v>2</v>
      </c>
      <c r="I319" t="s">
        <v>1056</v>
      </c>
      <c r="J319">
        <v>5</v>
      </c>
      <c r="K319" t="s">
        <v>1228</v>
      </c>
      <c r="L319">
        <v>5</v>
      </c>
      <c r="M319" t="s">
        <v>555</v>
      </c>
      <c r="N319">
        <v>5</v>
      </c>
      <c r="O319">
        <v>54.9</v>
      </c>
      <c r="P319">
        <v>1</v>
      </c>
      <c r="Q319" t="s">
        <v>876</v>
      </c>
      <c r="R319">
        <v>2</v>
      </c>
      <c r="S319" t="s">
        <v>1104</v>
      </c>
      <c r="T319">
        <v>1</v>
      </c>
      <c r="U319" t="s">
        <v>923</v>
      </c>
      <c r="V319">
        <v>2</v>
      </c>
      <c r="W319" t="s">
        <v>1023</v>
      </c>
      <c r="X319">
        <v>2</v>
      </c>
      <c r="Y319" t="s">
        <v>924</v>
      </c>
      <c r="Z319">
        <v>3</v>
      </c>
    </row>
    <row r="320" spans="1:26" x14ac:dyDescent="0.4">
      <c r="A320" t="s">
        <v>831</v>
      </c>
      <c r="B320" t="s">
        <v>909</v>
      </c>
      <c r="C320" t="s">
        <v>165</v>
      </c>
      <c r="D320">
        <v>3.18</v>
      </c>
      <c r="E320" t="s">
        <v>1474</v>
      </c>
      <c r="F320">
        <v>4</v>
      </c>
      <c r="G320" t="s">
        <v>1186</v>
      </c>
      <c r="H320">
        <v>1</v>
      </c>
      <c r="I320" t="s">
        <v>1026</v>
      </c>
      <c r="J320">
        <v>5</v>
      </c>
      <c r="K320" t="s">
        <v>1181</v>
      </c>
      <c r="L320">
        <v>3</v>
      </c>
      <c r="M320" t="s">
        <v>1106</v>
      </c>
      <c r="N320">
        <v>5</v>
      </c>
      <c r="O320">
        <v>72.900000000000006</v>
      </c>
      <c r="P320">
        <v>5</v>
      </c>
      <c r="Q320" t="s">
        <v>612</v>
      </c>
      <c r="R320">
        <v>2</v>
      </c>
      <c r="S320" t="s">
        <v>813</v>
      </c>
      <c r="T320">
        <v>2</v>
      </c>
      <c r="U320" t="s">
        <v>1208</v>
      </c>
      <c r="V320">
        <v>3</v>
      </c>
      <c r="W320" t="s">
        <v>1308</v>
      </c>
      <c r="X320">
        <v>1</v>
      </c>
      <c r="Y320" t="s">
        <v>645</v>
      </c>
      <c r="Z320">
        <v>3</v>
      </c>
    </row>
    <row r="321" spans="1:26" x14ac:dyDescent="0.4">
      <c r="A321" t="s">
        <v>547</v>
      </c>
      <c r="B321" t="s">
        <v>918</v>
      </c>
      <c r="C321" t="s">
        <v>287</v>
      </c>
      <c r="D321">
        <v>2.83</v>
      </c>
      <c r="E321" t="s">
        <v>1475</v>
      </c>
      <c r="F321">
        <v>5</v>
      </c>
      <c r="G321" t="s">
        <v>567</v>
      </c>
      <c r="H321">
        <v>1</v>
      </c>
      <c r="I321" t="s">
        <v>1476</v>
      </c>
      <c r="J321">
        <v>1</v>
      </c>
      <c r="K321" t="s">
        <v>1077</v>
      </c>
      <c r="L321">
        <v>3</v>
      </c>
      <c r="M321" t="s">
        <v>726</v>
      </c>
      <c r="N321">
        <v>5</v>
      </c>
      <c r="O321">
        <v>55</v>
      </c>
      <c r="P321">
        <v>1</v>
      </c>
      <c r="Q321" t="s">
        <v>550</v>
      </c>
      <c r="R321">
        <v>4</v>
      </c>
      <c r="S321" t="s">
        <v>1075</v>
      </c>
      <c r="T321">
        <v>3</v>
      </c>
      <c r="U321" t="s">
        <v>957</v>
      </c>
      <c r="V321">
        <v>2</v>
      </c>
      <c r="W321" t="s">
        <v>951</v>
      </c>
      <c r="X321">
        <v>5</v>
      </c>
      <c r="Y321" t="s">
        <v>749</v>
      </c>
      <c r="Z321">
        <v>1</v>
      </c>
    </row>
    <row r="322" spans="1:26" x14ac:dyDescent="0.4">
      <c r="A322" t="s">
        <v>559</v>
      </c>
      <c r="B322" t="s">
        <v>548</v>
      </c>
      <c r="C322" t="s">
        <v>288</v>
      </c>
      <c r="D322">
        <v>2.83</v>
      </c>
      <c r="E322" t="s">
        <v>1477</v>
      </c>
      <c r="F322">
        <v>1</v>
      </c>
      <c r="G322" t="s">
        <v>1401</v>
      </c>
      <c r="H322">
        <v>3</v>
      </c>
      <c r="I322" t="s">
        <v>1080</v>
      </c>
      <c r="J322">
        <v>2</v>
      </c>
      <c r="K322" t="s">
        <v>558</v>
      </c>
      <c r="L322">
        <v>5</v>
      </c>
      <c r="M322" t="s">
        <v>792</v>
      </c>
      <c r="N322">
        <v>5</v>
      </c>
      <c r="O322">
        <v>60.9</v>
      </c>
      <c r="P322">
        <v>2</v>
      </c>
      <c r="Q322" t="s">
        <v>1060</v>
      </c>
      <c r="R322">
        <v>3</v>
      </c>
      <c r="S322" t="s">
        <v>935</v>
      </c>
      <c r="T322">
        <v>2</v>
      </c>
      <c r="U322" t="s">
        <v>905</v>
      </c>
      <c r="V322">
        <v>2</v>
      </c>
      <c r="W322" t="s">
        <v>1065</v>
      </c>
      <c r="X322">
        <v>2</v>
      </c>
      <c r="Y322" t="s">
        <v>818</v>
      </c>
      <c r="Z322">
        <v>1</v>
      </c>
    </row>
    <row r="323" spans="1:26" x14ac:dyDescent="0.4">
      <c r="A323" t="s">
        <v>569</v>
      </c>
      <c r="B323" t="s">
        <v>560</v>
      </c>
      <c r="C323" t="s">
        <v>343</v>
      </c>
      <c r="D323">
        <v>2.61</v>
      </c>
      <c r="E323" t="s">
        <v>1478</v>
      </c>
      <c r="F323">
        <v>5</v>
      </c>
      <c r="G323" t="s">
        <v>893</v>
      </c>
      <c r="H323">
        <v>1</v>
      </c>
      <c r="I323" t="s">
        <v>1227</v>
      </c>
      <c r="J323">
        <v>1</v>
      </c>
      <c r="K323" t="s">
        <v>1010</v>
      </c>
      <c r="L323">
        <v>3</v>
      </c>
      <c r="M323" t="s">
        <v>1024</v>
      </c>
      <c r="N323">
        <v>5</v>
      </c>
      <c r="O323">
        <v>59.9</v>
      </c>
      <c r="P323">
        <v>2</v>
      </c>
      <c r="Q323" t="s">
        <v>642</v>
      </c>
      <c r="R323">
        <v>2</v>
      </c>
      <c r="S323" t="s">
        <v>1002</v>
      </c>
      <c r="T323">
        <v>2</v>
      </c>
      <c r="U323" t="s">
        <v>752</v>
      </c>
      <c r="V323">
        <v>5</v>
      </c>
      <c r="W323" t="s">
        <v>855</v>
      </c>
      <c r="X323">
        <v>1</v>
      </c>
      <c r="Y323" t="s">
        <v>1251</v>
      </c>
      <c r="Z323">
        <v>1</v>
      </c>
    </row>
    <row r="324" spans="1:26" x14ac:dyDescent="0.4">
      <c r="A324" t="s">
        <v>581</v>
      </c>
      <c r="B324" t="s">
        <v>570</v>
      </c>
      <c r="C324" t="s">
        <v>375</v>
      </c>
      <c r="D324">
        <v>2.44</v>
      </c>
      <c r="E324" t="s">
        <v>1479</v>
      </c>
      <c r="F324">
        <v>2</v>
      </c>
      <c r="G324" t="s">
        <v>745</v>
      </c>
      <c r="H324">
        <v>1</v>
      </c>
      <c r="I324" t="s">
        <v>1151</v>
      </c>
      <c r="J324">
        <v>4</v>
      </c>
      <c r="K324" t="s">
        <v>1096</v>
      </c>
      <c r="L324">
        <v>5</v>
      </c>
      <c r="M324" t="s">
        <v>1057</v>
      </c>
      <c r="N324">
        <v>1</v>
      </c>
      <c r="O324">
        <v>55.5</v>
      </c>
      <c r="P324">
        <v>1</v>
      </c>
      <c r="Q324" t="s">
        <v>1076</v>
      </c>
      <c r="R324">
        <v>1</v>
      </c>
      <c r="S324" t="s">
        <v>616</v>
      </c>
      <c r="T324">
        <v>3</v>
      </c>
      <c r="U324" t="s">
        <v>719</v>
      </c>
      <c r="V324">
        <v>5</v>
      </c>
      <c r="W324" t="s">
        <v>755</v>
      </c>
      <c r="X324">
        <v>3</v>
      </c>
      <c r="Y324" t="s">
        <v>1031</v>
      </c>
      <c r="Z324">
        <v>2</v>
      </c>
    </row>
    <row r="325" spans="1:26" x14ac:dyDescent="0.4">
      <c r="A325" t="s">
        <v>593</v>
      </c>
      <c r="B325" t="s">
        <v>582</v>
      </c>
      <c r="C325" t="s">
        <v>179</v>
      </c>
      <c r="D325">
        <v>3.14</v>
      </c>
      <c r="E325" t="s">
        <v>1480</v>
      </c>
      <c r="F325">
        <v>1</v>
      </c>
      <c r="G325" t="s">
        <v>1209</v>
      </c>
      <c r="H325">
        <v>3</v>
      </c>
      <c r="I325" t="s">
        <v>938</v>
      </c>
      <c r="J325">
        <v>2</v>
      </c>
      <c r="K325" t="s">
        <v>1077</v>
      </c>
      <c r="L325">
        <v>3</v>
      </c>
      <c r="M325" t="s">
        <v>762</v>
      </c>
      <c r="N325">
        <v>5</v>
      </c>
      <c r="O325">
        <v>74</v>
      </c>
      <c r="P325">
        <v>5</v>
      </c>
      <c r="Q325" t="s">
        <v>644</v>
      </c>
      <c r="R325">
        <v>4</v>
      </c>
      <c r="S325" t="s">
        <v>1070</v>
      </c>
      <c r="T325">
        <v>2</v>
      </c>
      <c r="U325" t="s">
        <v>935</v>
      </c>
      <c r="V325">
        <v>2</v>
      </c>
      <c r="W325" t="s">
        <v>575</v>
      </c>
      <c r="X325">
        <v>1</v>
      </c>
      <c r="Y325" t="s">
        <v>1102</v>
      </c>
      <c r="Z325">
        <v>4</v>
      </c>
    </row>
    <row r="326" spans="1:26" x14ac:dyDescent="0.4">
      <c r="A326" t="s">
        <v>605</v>
      </c>
      <c r="B326" t="s">
        <v>594</v>
      </c>
      <c r="C326" t="s">
        <v>142</v>
      </c>
      <c r="D326">
        <v>3.25</v>
      </c>
      <c r="E326" t="s">
        <v>1481</v>
      </c>
      <c r="F326">
        <v>5</v>
      </c>
      <c r="G326" t="s">
        <v>642</v>
      </c>
      <c r="H326">
        <v>1</v>
      </c>
      <c r="I326" t="s">
        <v>1482</v>
      </c>
      <c r="J326">
        <v>2</v>
      </c>
      <c r="K326" t="s">
        <v>576</v>
      </c>
      <c r="L326">
        <v>5</v>
      </c>
      <c r="M326" t="s">
        <v>1209</v>
      </c>
      <c r="N326">
        <v>5</v>
      </c>
      <c r="O326">
        <v>58</v>
      </c>
      <c r="P326">
        <v>2</v>
      </c>
      <c r="Q326" t="s">
        <v>987</v>
      </c>
      <c r="R326">
        <v>1</v>
      </c>
      <c r="S326" t="s">
        <v>900</v>
      </c>
      <c r="T326">
        <v>3</v>
      </c>
      <c r="U326" t="s">
        <v>923</v>
      </c>
      <c r="V326">
        <v>2</v>
      </c>
      <c r="W326" t="s">
        <v>941</v>
      </c>
      <c r="X326">
        <v>3</v>
      </c>
      <c r="Y326" t="s">
        <v>949</v>
      </c>
      <c r="Z326">
        <v>4</v>
      </c>
    </row>
    <row r="327" spans="1:26" x14ac:dyDescent="0.4">
      <c r="A327" t="s">
        <v>617</v>
      </c>
      <c r="B327" t="s">
        <v>606</v>
      </c>
      <c r="C327" t="s">
        <v>357</v>
      </c>
      <c r="D327">
        <v>2.56</v>
      </c>
      <c r="E327" t="s">
        <v>1483</v>
      </c>
      <c r="F327">
        <v>2</v>
      </c>
      <c r="G327" t="s">
        <v>877</v>
      </c>
      <c r="H327">
        <v>1</v>
      </c>
      <c r="I327" t="s">
        <v>1467</v>
      </c>
      <c r="J327">
        <v>5</v>
      </c>
      <c r="K327" t="s">
        <v>868</v>
      </c>
      <c r="L327">
        <v>3</v>
      </c>
      <c r="M327" t="s">
        <v>769</v>
      </c>
      <c r="N327">
        <v>3</v>
      </c>
      <c r="O327">
        <v>60.8</v>
      </c>
      <c r="P327">
        <v>2</v>
      </c>
      <c r="Q327" t="s">
        <v>1188</v>
      </c>
      <c r="R327">
        <v>5</v>
      </c>
      <c r="S327" t="s">
        <v>1238</v>
      </c>
      <c r="T327">
        <v>2</v>
      </c>
      <c r="U327" t="s">
        <v>1401</v>
      </c>
      <c r="V327">
        <v>3</v>
      </c>
      <c r="W327" t="s">
        <v>745</v>
      </c>
      <c r="X327">
        <v>1</v>
      </c>
      <c r="Y327" t="s">
        <v>552</v>
      </c>
      <c r="Z327">
        <v>3</v>
      </c>
    </row>
    <row r="328" spans="1:26" x14ac:dyDescent="0.4">
      <c r="A328" t="s">
        <v>627</v>
      </c>
      <c r="B328" t="s">
        <v>618</v>
      </c>
      <c r="C328" t="s">
        <v>260</v>
      </c>
      <c r="D328">
        <v>2.9</v>
      </c>
      <c r="E328" t="s">
        <v>1129</v>
      </c>
      <c r="F328">
        <v>5</v>
      </c>
      <c r="G328" t="s">
        <v>949</v>
      </c>
      <c r="H328">
        <v>5</v>
      </c>
      <c r="I328" t="s">
        <v>1220</v>
      </c>
      <c r="J328">
        <v>4</v>
      </c>
      <c r="K328" t="s">
        <v>847</v>
      </c>
      <c r="L328">
        <v>2</v>
      </c>
      <c r="M328" t="s">
        <v>567</v>
      </c>
      <c r="N328">
        <v>1</v>
      </c>
      <c r="O328">
        <v>62.5</v>
      </c>
      <c r="P328">
        <v>3</v>
      </c>
      <c r="Q328" t="s">
        <v>923</v>
      </c>
      <c r="R328">
        <v>3</v>
      </c>
      <c r="S328" t="s">
        <v>939</v>
      </c>
      <c r="T328">
        <v>3</v>
      </c>
      <c r="U328" t="s">
        <v>1188</v>
      </c>
      <c r="V328">
        <v>4</v>
      </c>
      <c r="W328" t="s">
        <v>1321</v>
      </c>
      <c r="X328">
        <v>3</v>
      </c>
      <c r="Y328" t="s">
        <v>1084</v>
      </c>
      <c r="Z328">
        <v>1</v>
      </c>
    </row>
    <row r="329" spans="1:26" x14ac:dyDescent="0.4">
      <c r="A329" t="s">
        <v>637</v>
      </c>
      <c r="B329" t="s">
        <v>628</v>
      </c>
      <c r="C329" t="s">
        <v>66</v>
      </c>
      <c r="D329">
        <v>3.55</v>
      </c>
      <c r="E329" t="s">
        <v>1484</v>
      </c>
      <c r="F329">
        <v>2</v>
      </c>
      <c r="G329" t="s">
        <v>1068</v>
      </c>
      <c r="H329">
        <v>5</v>
      </c>
      <c r="I329" t="s">
        <v>1195</v>
      </c>
      <c r="J329">
        <v>4</v>
      </c>
      <c r="K329" t="s">
        <v>1001</v>
      </c>
      <c r="L329">
        <v>5</v>
      </c>
      <c r="M329" t="s">
        <v>876</v>
      </c>
      <c r="N329">
        <v>5</v>
      </c>
      <c r="O329">
        <v>58.4</v>
      </c>
      <c r="P329">
        <v>2</v>
      </c>
      <c r="Q329" t="s">
        <v>1308</v>
      </c>
      <c r="R329">
        <v>1</v>
      </c>
      <c r="S329" t="s">
        <v>968</v>
      </c>
      <c r="T329">
        <v>2</v>
      </c>
      <c r="U329" t="s">
        <v>762</v>
      </c>
      <c r="V329">
        <v>2</v>
      </c>
      <c r="W329" t="s">
        <v>939</v>
      </c>
      <c r="X329">
        <v>4</v>
      </c>
      <c r="Y329" t="s">
        <v>942</v>
      </c>
      <c r="Z329">
        <v>3</v>
      </c>
    </row>
    <row r="330" spans="1:26" x14ac:dyDescent="0.4">
      <c r="A330" t="s">
        <v>648</v>
      </c>
      <c r="B330" t="s">
        <v>638</v>
      </c>
      <c r="C330" t="s">
        <v>40</v>
      </c>
      <c r="D330">
        <v>3.74</v>
      </c>
      <c r="E330" t="s">
        <v>1485</v>
      </c>
      <c r="F330">
        <v>5</v>
      </c>
      <c r="G330" t="s">
        <v>598</v>
      </c>
      <c r="H330">
        <v>2</v>
      </c>
      <c r="I330" t="s">
        <v>1222</v>
      </c>
      <c r="J330">
        <v>5</v>
      </c>
      <c r="K330" t="s">
        <v>1225</v>
      </c>
      <c r="L330">
        <v>3</v>
      </c>
      <c r="M330" t="s">
        <v>726</v>
      </c>
      <c r="N330">
        <v>5</v>
      </c>
      <c r="O330">
        <v>68.8</v>
      </c>
      <c r="P330">
        <v>4</v>
      </c>
      <c r="Q330" t="s">
        <v>647</v>
      </c>
      <c r="R330">
        <v>3</v>
      </c>
      <c r="S330" t="s">
        <v>874</v>
      </c>
      <c r="T330">
        <v>5</v>
      </c>
      <c r="U330" t="s">
        <v>1058</v>
      </c>
      <c r="V330">
        <v>3</v>
      </c>
      <c r="W330" t="s">
        <v>1266</v>
      </c>
      <c r="X330">
        <v>4</v>
      </c>
      <c r="Y330" t="s">
        <v>756</v>
      </c>
      <c r="Z330">
        <v>3</v>
      </c>
    </row>
    <row r="331" spans="1:26" x14ac:dyDescent="0.4">
      <c r="A331" t="s">
        <v>658</v>
      </c>
      <c r="B331" t="s">
        <v>649</v>
      </c>
      <c r="C331" t="s">
        <v>189</v>
      </c>
      <c r="D331">
        <v>3.1</v>
      </c>
      <c r="E331" t="s">
        <v>1400</v>
      </c>
      <c r="F331">
        <v>3</v>
      </c>
      <c r="G331" t="s">
        <v>726</v>
      </c>
      <c r="H331">
        <v>2</v>
      </c>
      <c r="I331" t="s">
        <v>1461</v>
      </c>
      <c r="J331">
        <v>2</v>
      </c>
      <c r="K331" t="s">
        <v>962</v>
      </c>
      <c r="L331">
        <v>3</v>
      </c>
      <c r="M331" t="s">
        <v>692</v>
      </c>
      <c r="N331">
        <v>5</v>
      </c>
      <c r="O331">
        <v>75</v>
      </c>
      <c r="P331">
        <v>5</v>
      </c>
      <c r="Q331" t="s">
        <v>1156</v>
      </c>
      <c r="R331">
        <v>2</v>
      </c>
      <c r="S331" t="s">
        <v>770</v>
      </c>
      <c r="T331">
        <v>2</v>
      </c>
      <c r="U331" t="s">
        <v>565</v>
      </c>
      <c r="V331">
        <v>4</v>
      </c>
      <c r="W331" t="s">
        <v>600</v>
      </c>
      <c r="X331">
        <v>1</v>
      </c>
      <c r="Y331" t="s">
        <v>1019</v>
      </c>
      <c r="Z331">
        <v>3</v>
      </c>
    </row>
    <row r="332" spans="1:26" x14ac:dyDescent="0.4">
      <c r="A332" t="s">
        <v>668</v>
      </c>
      <c r="B332" t="s">
        <v>659</v>
      </c>
      <c r="C332" t="s">
        <v>195</v>
      </c>
      <c r="D332">
        <v>3.08</v>
      </c>
      <c r="E332" t="s">
        <v>1486</v>
      </c>
      <c r="F332">
        <v>5</v>
      </c>
      <c r="G332" t="s">
        <v>890</v>
      </c>
      <c r="H332">
        <v>2</v>
      </c>
      <c r="I332" t="s">
        <v>652</v>
      </c>
      <c r="J332">
        <v>3</v>
      </c>
      <c r="K332" t="s">
        <v>855</v>
      </c>
      <c r="L332">
        <v>4</v>
      </c>
      <c r="M332" t="s">
        <v>957</v>
      </c>
      <c r="N332">
        <v>3</v>
      </c>
      <c r="O332">
        <v>63.9</v>
      </c>
      <c r="P332">
        <v>3</v>
      </c>
      <c r="Q332" t="s">
        <v>820</v>
      </c>
      <c r="R332">
        <v>2</v>
      </c>
      <c r="S332" t="s">
        <v>634</v>
      </c>
      <c r="T332">
        <v>3</v>
      </c>
      <c r="U332" t="s">
        <v>993</v>
      </c>
      <c r="V332">
        <v>2</v>
      </c>
      <c r="W332" t="s">
        <v>893</v>
      </c>
      <c r="X332">
        <v>2</v>
      </c>
      <c r="Y332" t="s">
        <v>951</v>
      </c>
      <c r="Z332">
        <v>4</v>
      </c>
    </row>
    <row r="333" spans="1:26" x14ac:dyDescent="0.4">
      <c r="A333" t="s">
        <v>678</v>
      </c>
      <c r="B333" t="s">
        <v>669</v>
      </c>
      <c r="C333" t="s">
        <v>112</v>
      </c>
      <c r="D333">
        <v>3.34</v>
      </c>
      <c r="E333" t="s">
        <v>1487</v>
      </c>
      <c r="F333">
        <v>3</v>
      </c>
      <c r="G333" t="s">
        <v>612</v>
      </c>
      <c r="H333">
        <v>1</v>
      </c>
      <c r="I333" t="s">
        <v>1095</v>
      </c>
      <c r="J333">
        <v>3</v>
      </c>
      <c r="K333" t="s">
        <v>838</v>
      </c>
      <c r="L333">
        <v>5</v>
      </c>
      <c r="M333" t="s">
        <v>1401</v>
      </c>
      <c r="N333">
        <v>5</v>
      </c>
      <c r="O333">
        <v>73.7</v>
      </c>
      <c r="P333">
        <v>5</v>
      </c>
      <c r="Q333" t="s">
        <v>555</v>
      </c>
      <c r="R333">
        <v>3</v>
      </c>
      <c r="S333" t="s">
        <v>1137</v>
      </c>
      <c r="T333">
        <v>4</v>
      </c>
      <c r="U333" t="s">
        <v>1121</v>
      </c>
      <c r="V333">
        <v>2</v>
      </c>
      <c r="W333" t="s">
        <v>764</v>
      </c>
      <c r="X333">
        <v>2</v>
      </c>
      <c r="Y333" t="s">
        <v>809</v>
      </c>
      <c r="Z333">
        <v>2</v>
      </c>
    </row>
    <row r="334" spans="1:26" x14ac:dyDescent="0.4">
      <c r="A334" t="s">
        <v>687</v>
      </c>
      <c r="B334" t="s">
        <v>679</v>
      </c>
      <c r="C334" t="s">
        <v>96</v>
      </c>
      <c r="D334">
        <v>3.44</v>
      </c>
      <c r="E334" t="s">
        <v>1316</v>
      </c>
      <c r="F334">
        <v>5</v>
      </c>
      <c r="G334" t="s">
        <v>1192</v>
      </c>
      <c r="H334">
        <v>5</v>
      </c>
      <c r="I334" t="s">
        <v>1172</v>
      </c>
      <c r="J334">
        <v>2</v>
      </c>
      <c r="K334" t="s">
        <v>614</v>
      </c>
      <c r="L334">
        <v>2</v>
      </c>
      <c r="M334" t="s">
        <v>770</v>
      </c>
      <c r="N334">
        <v>5</v>
      </c>
      <c r="O334">
        <v>76.599999999999994</v>
      </c>
      <c r="P334">
        <v>5</v>
      </c>
      <c r="Q334" t="s">
        <v>1199</v>
      </c>
      <c r="R334">
        <v>3</v>
      </c>
      <c r="S334" t="s">
        <v>917</v>
      </c>
      <c r="T334">
        <v>3</v>
      </c>
      <c r="U334" t="s">
        <v>1170</v>
      </c>
      <c r="V334">
        <v>2</v>
      </c>
      <c r="W334" t="s">
        <v>1119</v>
      </c>
      <c r="X334">
        <v>3</v>
      </c>
      <c r="Y334" t="s">
        <v>926</v>
      </c>
      <c r="Z334">
        <v>1</v>
      </c>
    </row>
    <row r="335" spans="1:26" x14ac:dyDescent="0.4">
      <c r="A335" t="s">
        <v>698</v>
      </c>
      <c r="B335" t="s">
        <v>688</v>
      </c>
      <c r="C335" t="s">
        <v>171</v>
      </c>
      <c r="D335">
        <v>3.16</v>
      </c>
      <c r="E335" t="s">
        <v>1488</v>
      </c>
      <c r="F335">
        <v>5</v>
      </c>
      <c r="G335" t="s">
        <v>1099</v>
      </c>
      <c r="H335">
        <v>5</v>
      </c>
      <c r="I335" t="s">
        <v>1114</v>
      </c>
      <c r="J335">
        <v>4</v>
      </c>
      <c r="K335" t="s">
        <v>744</v>
      </c>
      <c r="L335">
        <v>1</v>
      </c>
      <c r="M335" t="s">
        <v>1079</v>
      </c>
      <c r="N335">
        <v>5</v>
      </c>
      <c r="O335">
        <v>61.3</v>
      </c>
      <c r="P335">
        <v>3</v>
      </c>
      <c r="Q335" t="s">
        <v>1215</v>
      </c>
      <c r="R335">
        <v>2</v>
      </c>
      <c r="S335" t="s">
        <v>982</v>
      </c>
      <c r="T335">
        <v>1</v>
      </c>
      <c r="U335" t="s">
        <v>997</v>
      </c>
      <c r="V335">
        <v>2</v>
      </c>
      <c r="W335" t="s">
        <v>1148</v>
      </c>
      <c r="X335">
        <v>2</v>
      </c>
      <c r="Y335" t="s">
        <v>578</v>
      </c>
      <c r="Z335">
        <v>3</v>
      </c>
    </row>
    <row r="336" spans="1:26" x14ac:dyDescent="0.4">
      <c r="A336" t="s">
        <v>706</v>
      </c>
      <c r="B336" t="s">
        <v>699</v>
      </c>
      <c r="C336" t="s">
        <v>156</v>
      </c>
      <c r="D336">
        <v>3.21</v>
      </c>
      <c r="E336" t="s">
        <v>1489</v>
      </c>
      <c r="F336">
        <v>5</v>
      </c>
      <c r="G336" t="s">
        <v>972</v>
      </c>
      <c r="H336">
        <v>1</v>
      </c>
      <c r="I336" t="s">
        <v>1398</v>
      </c>
      <c r="J336">
        <v>2</v>
      </c>
      <c r="K336" t="s">
        <v>602</v>
      </c>
      <c r="L336">
        <v>5</v>
      </c>
      <c r="M336" t="s">
        <v>771</v>
      </c>
      <c r="N336">
        <v>1</v>
      </c>
      <c r="O336">
        <v>74</v>
      </c>
      <c r="P336">
        <v>5</v>
      </c>
      <c r="Q336" t="s">
        <v>1212</v>
      </c>
      <c r="R336">
        <v>2</v>
      </c>
      <c r="S336" t="s">
        <v>1065</v>
      </c>
      <c r="T336">
        <v>2</v>
      </c>
      <c r="U336" t="s">
        <v>1181</v>
      </c>
      <c r="V336">
        <v>2</v>
      </c>
      <c r="W336" t="s">
        <v>1146</v>
      </c>
      <c r="X336">
        <v>4</v>
      </c>
      <c r="Y336" t="s">
        <v>1068</v>
      </c>
      <c r="Z336">
        <v>5</v>
      </c>
    </row>
    <row r="337" spans="1:26" x14ac:dyDescent="0.4">
      <c r="A337" t="s">
        <v>716</v>
      </c>
      <c r="B337" t="s">
        <v>707</v>
      </c>
      <c r="C337" t="s">
        <v>139</v>
      </c>
      <c r="D337">
        <v>3.26</v>
      </c>
      <c r="E337" t="s">
        <v>1490</v>
      </c>
      <c r="F337">
        <v>5</v>
      </c>
      <c r="G337" t="s">
        <v>686</v>
      </c>
      <c r="H337">
        <v>4</v>
      </c>
      <c r="I337" t="s">
        <v>955</v>
      </c>
      <c r="J337">
        <v>4</v>
      </c>
      <c r="K337" t="s">
        <v>568</v>
      </c>
      <c r="L337">
        <v>5</v>
      </c>
      <c r="M337" t="s">
        <v>1157</v>
      </c>
      <c r="N337">
        <v>4</v>
      </c>
      <c r="O337">
        <v>60.3</v>
      </c>
      <c r="P337">
        <v>2</v>
      </c>
      <c r="Q337" t="s">
        <v>862</v>
      </c>
      <c r="R337">
        <v>3</v>
      </c>
      <c r="S337" t="s">
        <v>1134</v>
      </c>
      <c r="T337">
        <v>4</v>
      </c>
      <c r="U337" t="s">
        <v>657</v>
      </c>
      <c r="V337">
        <v>2</v>
      </c>
      <c r="W337" t="s">
        <v>1257</v>
      </c>
      <c r="X337">
        <v>1</v>
      </c>
      <c r="Y337" t="s">
        <v>811</v>
      </c>
      <c r="Z337">
        <v>1</v>
      </c>
    </row>
    <row r="338" spans="1:26" x14ac:dyDescent="0.4">
      <c r="A338" t="s">
        <v>728</v>
      </c>
      <c r="B338" t="s">
        <v>717</v>
      </c>
      <c r="C338" t="s">
        <v>250</v>
      </c>
      <c r="D338">
        <v>2.93</v>
      </c>
      <c r="E338" t="s">
        <v>1491</v>
      </c>
      <c r="F338">
        <v>5</v>
      </c>
      <c r="G338" t="s">
        <v>1027</v>
      </c>
      <c r="H338">
        <v>1</v>
      </c>
      <c r="I338" t="s">
        <v>1328</v>
      </c>
      <c r="J338">
        <v>5</v>
      </c>
      <c r="K338" t="s">
        <v>951</v>
      </c>
      <c r="L338">
        <v>5</v>
      </c>
      <c r="M338" t="s">
        <v>963</v>
      </c>
      <c r="N338">
        <v>1</v>
      </c>
      <c r="O338">
        <v>76.5</v>
      </c>
      <c r="P338">
        <v>5</v>
      </c>
      <c r="Q338" t="s">
        <v>1251</v>
      </c>
      <c r="R338">
        <v>2</v>
      </c>
      <c r="S338" t="s">
        <v>828</v>
      </c>
      <c r="T338">
        <v>3</v>
      </c>
      <c r="U338" t="s">
        <v>1089</v>
      </c>
      <c r="V338">
        <v>3</v>
      </c>
      <c r="W338" t="s">
        <v>623</v>
      </c>
      <c r="X338">
        <v>1</v>
      </c>
      <c r="Y338" t="s">
        <v>1031</v>
      </c>
      <c r="Z338">
        <v>2</v>
      </c>
    </row>
    <row r="339" spans="1:26" x14ac:dyDescent="0.4">
      <c r="A339" t="s">
        <v>736</v>
      </c>
      <c r="B339" t="s">
        <v>729</v>
      </c>
      <c r="C339" t="s">
        <v>161</v>
      </c>
      <c r="D339">
        <v>3.2</v>
      </c>
      <c r="E339" t="s">
        <v>1492</v>
      </c>
      <c r="F339">
        <v>2</v>
      </c>
      <c r="G339" t="s">
        <v>763</v>
      </c>
      <c r="H339">
        <v>4</v>
      </c>
      <c r="I339" t="s">
        <v>955</v>
      </c>
      <c r="J339">
        <v>4</v>
      </c>
      <c r="K339" t="s">
        <v>572</v>
      </c>
      <c r="L339">
        <v>4</v>
      </c>
      <c r="M339" t="s">
        <v>1036</v>
      </c>
      <c r="N339">
        <v>4</v>
      </c>
      <c r="O339">
        <v>73.5</v>
      </c>
      <c r="P339">
        <v>5</v>
      </c>
      <c r="Q339" t="s">
        <v>1102</v>
      </c>
      <c r="R339">
        <v>4</v>
      </c>
      <c r="S339" t="s">
        <v>1076</v>
      </c>
      <c r="T339">
        <v>1</v>
      </c>
      <c r="U339" t="s">
        <v>558</v>
      </c>
      <c r="V339">
        <v>2</v>
      </c>
      <c r="W339" t="s">
        <v>1022</v>
      </c>
      <c r="X339">
        <v>2</v>
      </c>
      <c r="Y339" t="s">
        <v>844</v>
      </c>
      <c r="Z339">
        <v>1</v>
      </c>
    </row>
    <row r="340" spans="1:26" x14ac:dyDescent="0.4">
      <c r="A340" t="s">
        <v>746</v>
      </c>
      <c r="B340" t="s">
        <v>737</v>
      </c>
      <c r="C340" t="s">
        <v>60</v>
      </c>
      <c r="D340">
        <v>3.58</v>
      </c>
      <c r="E340" t="s">
        <v>1493</v>
      </c>
      <c r="F340">
        <v>2</v>
      </c>
      <c r="G340" t="s">
        <v>1143</v>
      </c>
      <c r="H340">
        <v>5</v>
      </c>
      <c r="I340" t="s">
        <v>691</v>
      </c>
      <c r="J340">
        <v>2</v>
      </c>
      <c r="K340" t="s">
        <v>826</v>
      </c>
      <c r="L340">
        <v>5</v>
      </c>
      <c r="M340" t="s">
        <v>749</v>
      </c>
      <c r="N340">
        <v>4</v>
      </c>
      <c r="O340">
        <v>73</v>
      </c>
      <c r="P340">
        <v>5</v>
      </c>
      <c r="Q340" t="s">
        <v>1036</v>
      </c>
      <c r="R340">
        <v>2</v>
      </c>
      <c r="S340" t="s">
        <v>754</v>
      </c>
      <c r="T340">
        <v>2</v>
      </c>
      <c r="U340" t="s">
        <v>676</v>
      </c>
      <c r="V340">
        <v>2</v>
      </c>
      <c r="W340" t="s">
        <v>1079</v>
      </c>
      <c r="X340">
        <v>3</v>
      </c>
      <c r="Y340" t="s">
        <v>1459</v>
      </c>
      <c r="Z340">
        <v>3</v>
      </c>
    </row>
    <row r="341" spans="1:26" x14ac:dyDescent="0.4">
      <c r="A341" t="s">
        <v>757</v>
      </c>
      <c r="B341" t="s">
        <v>747</v>
      </c>
      <c r="C341" t="s">
        <v>23</v>
      </c>
      <c r="D341">
        <v>3.83</v>
      </c>
      <c r="E341" t="s">
        <v>1494</v>
      </c>
      <c r="F341">
        <v>5</v>
      </c>
      <c r="G341" t="s">
        <v>666</v>
      </c>
      <c r="H341">
        <v>4</v>
      </c>
      <c r="I341" t="s">
        <v>825</v>
      </c>
      <c r="J341">
        <v>5</v>
      </c>
      <c r="K341" t="s">
        <v>598</v>
      </c>
      <c r="L341">
        <v>5</v>
      </c>
      <c r="M341" t="s">
        <v>1027</v>
      </c>
      <c r="N341">
        <v>4</v>
      </c>
      <c r="O341">
        <v>64.099999999999994</v>
      </c>
      <c r="P341">
        <v>4</v>
      </c>
      <c r="Q341" t="s">
        <v>1495</v>
      </c>
      <c r="R341">
        <v>2</v>
      </c>
      <c r="S341" t="s">
        <v>1164</v>
      </c>
      <c r="T341">
        <v>3</v>
      </c>
      <c r="U341" t="s">
        <v>790</v>
      </c>
      <c r="V341">
        <v>4</v>
      </c>
      <c r="W341" t="s">
        <v>821</v>
      </c>
      <c r="X341">
        <v>4</v>
      </c>
      <c r="Y341" t="s">
        <v>812</v>
      </c>
      <c r="Z341">
        <v>1</v>
      </c>
    </row>
    <row r="342" spans="1:26" x14ac:dyDescent="0.4">
      <c r="A342" t="s">
        <v>765</v>
      </c>
      <c r="B342" t="s">
        <v>758</v>
      </c>
      <c r="C342" t="s">
        <v>228</v>
      </c>
      <c r="D342">
        <v>3</v>
      </c>
      <c r="E342" t="s">
        <v>1496</v>
      </c>
      <c r="F342">
        <v>5</v>
      </c>
      <c r="G342" t="s">
        <v>884</v>
      </c>
      <c r="H342">
        <v>1</v>
      </c>
      <c r="I342" t="s">
        <v>817</v>
      </c>
      <c r="J342">
        <v>2</v>
      </c>
      <c r="K342" t="s">
        <v>979</v>
      </c>
      <c r="L342">
        <v>5</v>
      </c>
      <c r="M342" t="s">
        <v>1038</v>
      </c>
      <c r="N342">
        <v>1</v>
      </c>
      <c r="O342">
        <v>65.099999999999994</v>
      </c>
      <c r="P342">
        <v>4</v>
      </c>
      <c r="Q342" t="s">
        <v>895</v>
      </c>
      <c r="R342">
        <v>2</v>
      </c>
      <c r="S342" t="s">
        <v>760</v>
      </c>
      <c r="T342">
        <v>3</v>
      </c>
      <c r="U342" t="s">
        <v>555</v>
      </c>
      <c r="V342">
        <v>3</v>
      </c>
      <c r="W342" t="s">
        <v>684</v>
      </c>
      <c r="X342">
        <v>5</v>
      </c>
      <c r="Y342" t="s">
        <v>1119</v>
      </c>
      <c r="Z342">
        <v>2</v>
      </c>
    </row>
    <row r="343" spans="1:26" x14ac:dyDescent="0.4">
      <c r="A343" t="s">
        <v>775</v>
      </c>
      <c r="B343" t="s">
        <v>766</v>
      </c>
      <c r="C343" t="s">
        <v>289</v>
      </c>
      <c r="D343">
        <v>2.83</v>
      </c>
      <c r="E343" t="s">
        <v>1497</v>
      </c>
      <c r="F343">
        <v>3</v>
      </c>
      <c r="G343" t="s">
        <v>1050</v>
      </c>
      <c r="H343">
        <v>1</v>
      </c>
      <c r="I343" t="s">
        <v>1151</v>
      </c>
      <c r="J343">
        <v>4</v>
      </c>
      <c r="K343" t="s">
        <v>1111</v>
      </c>
      <c r="L343">
        <v>2</v>
      </c>
      <c r="M343" t="s">
        <v>1161</v>
      </c>
      <c r="N343">
        <v>5</v>
      </c>
      <c r="O343">
        <v>70.599999999999994</v>
      </c>
      <c r="P343">
        <v>5</v>
      </c>
      <c r="Q343" t="s">
        <v>558</v>
      </c>
      <c r="R343">
        <v>2</v>
      </c>
      <c r="S343" t="s">
        <v>769</v>
      </c>
      <c r="T343">
        <v>2</v>
      </c>
      <c r="U343" t="s">
        <v>734</v>
      </c>
      <c r="V343">
        <v>2</v>
      </c>
      <c r="W343" t="s">
        <v>574</v>
      </c>
      <c r="X343">
        <v>2</v>
      </c>
      <c r="Y343" t="s">
        <v>1119</v>
      </c>
      <c r="Z343">
        <v>2</v>
      </c>
    </row>
    <row r="344" spans="1:26" x14ac:dyDescent="0.4">
      <c r="A344" t="s">
        <v>785</v>
      </c>
      <c r="B344" t="s">
        <v>776</v>
      </c>
      <c r="C344" t="s">
        <v>224</v>
      </c>
      <c r="D344">
        <v>3.02</v>
      </c>
      <c r="E344" t="s">
        <v>1498</v>
      </c>
      <c r="F344">
        <v>3</v>
      </c>
      <c r="G344" t="s">
        <v>920</v>
      </c>
      <c r="H344">
        <v>1</v>
      </c>
      <c r="I344" t="s">
        <v>563</v>
      </c>
      <c r="J344">
        <v>4</v>
      </c>
      <c r="K344" t="s">
        <v>874</v>
      </c>
      <c r="L344">
        <v>5</v>
      </c>
      <c r="M344" t="s">
        <v>562</v>
      </c>
      <c r="N344">
        <v>5</v>
      </c>
      <c r="O344">
        <v>58.1</v>
      </c>
      <c r="P344">
        <v>2</v>
      </c>
      <c r="Q344" t="s">
        <v>1244</v>
      </c>
      <c r="R344">
        <v>1</v>
      </c>
      <c r="S344" t="s">
        <v>1347</v>
      </c>
      <c r="T344">
        <v>3</v>
      </c>
      <c r="U344" t="s">
        <v>651</v>
      </c>
      <c r="V344">
        <v>2</v>
      </c>
      <c r="W344" t="s">
        <v>856</v>
      </c>
      <c r="X344">
        <v>2</v>
      </c>
      <c r="Y344" t="s">
        <v>862</v>
      </c>
      <c r="Z344">
        <v>3</v>
      </c>
    </row>
    <row r="345" spans="1:26" x14ac:dyDescent="0.4">
      <c r="A345" t="s">
        <v>796</v>
      </c>
      <c r="B345" t="s">
        <v>786</v>
      </c>
      <c r="C345" t="s">
        <v>203</v>
      </c>
      <c r="D345">
        <v>3.06</v>
      </c>
      <c r="E345" t="s">
        <v>1487</v>
      </c>
      <c r="F345">
        <v>3</v>
      </c>
      <c r="G345" t="s">
        <v>952</v>
      </c>
      <c r="H345">
        <v>1</v>
      </c>
      <c r="I345" t="s">
        <v>799</v>
      </c>
      <c r="J345">
        <v>4</v>
      </c>
      <c r="K345" t="s">
        <v>755</v>
      </c>
      <c r="L345">
        <v>5</v>
      </c>
      <c r="M345" t="s">
        <v>564</v>
      </c>
      <c r="N345">
        <v>2</v>
      </c>
      <c r="O345">
        <v>67</v>
      </c>
      <c r="P345">
        <v>4</v>
      </c>
      <c r="Q345" t="s">
        <v>1329</v>
      </c>
      <c r="R345">
        <v>3</v>
      </c>
      <c r="S345" t="s">
        <v>975</v>
      </c>
      <c r="T345">
        <v>4</v>
      </c>
      <c r="U345" t="s">
        <v>651</v>
      </c>
      <c r="V345">
        <v>2</v>
      </c>
      <c r="W345" t="s">
        <v>723</v>
      </c>
      <c r="X345">
        <v>3</v>
      </c>
      <c r="Y345" t="s">
        <v>1204</v>
      </c>
      <c r="Z345">
        <v>3</v>
      </c>
    </row>
    <row r="346" spans="1:26" x14ac:dyDescent="0.4">
      <c r="A346" t="s">
        <v>804</v>
      </c>
      <c r="B346" t="s">
        <v>797</v>
      </c>
      <c r="C346" t="s">
        <v>344</v>
      </c>
      <c r="D346">
        <v>2.61</v>
      </c>
      <c r="E346" t="s">
        <v>1499</v>
      </c>
      <c r="F346">
        <v>2</v>
      </c>
      <c r="G346" t="s">
        <v>635</v>
      </c>
      <c r="H346">
        <v>1</v>
      </c>
      <c r="I346" t="s">
        <v>955</v>
      </c>
      <c r="J346">
        <v>4</v>
      </c>
      <c r="K346" t="s">
        <v>1148</v>
      </c>
      <c r="L346">
        <v>5</v>
      </c>
      <c r="M346" t="s">
        <v>643</v>
      </c>
      <c r="N346">
        <v>2</v>
      </c>
      <c r="O346">
        <v>75</v>
      </c>
      <c r="P346">
        <v>5</v>
      </c>
      <c r="Q346" t="s">
        <v>764</v>
      </c>
      <c r="R346">
        <v>2</v>
      </c>
      <c r="S346" t="s">
        <v>588</v>
      </c>
      <c r="T346">
        <v>3</v>
      </c>
      <c r="U346" t="s">
        <v>656</v>
      </c>
      <c r="V346">
        <v>2</v>
      </c>
      <c r="W346" t="s">
        <v>612</v>
      </c>
      <c r="X346">
        <v>1</v>
      </c>
      <c r="Y346" t="s">
        <v>663</v>
      </c>
      <c r="Z346">
        <v>1</v>
      </c>
    </row>
    <row r="347" spans="1:26" x14ac:dyDescent="0.4">
      <c r="A347" t="s">
        <v>814</v>
      </c>
      <c r="B347" t="s">
        <v>805</v>
      </c>
      <c r="C347" t="s">
        <v>351</v>
      </c>
      <c r="D347">
        <v>2.58</v>
      </c>
      <c r="E347" t="s">
        <v>897</v>
      </c>
      <c r="F347">
        <v>4</v>
      </c>
      <c r="G347" t="s">
        <v>645</v>
      </c>
      <c r="H347">
        <v>3</v>
      </c>
      <c r="I347" t="s">
        <v>1222</v>
      </c>
      <c r="J347">
        <v>5</v>
      </c>
      <c r="K347" t="s">
        <v>1099</v>
      </c>
      <c r="L347">
        <v>5</v>
      </c>
      <c r="M347" t="s">
        <v>623</v>
      </c>
      <c r="N347">
        <v>2</v>
      </c>
      <c r="O347">
        <v>52.7</v>
      </c>
      <c r="P347">
        <v>1</v>
      </c>
      <c r="Q347" t="s">
        <v>596</v>
      </c>
      <c r="R347">
        <v>3</v>
      </c>
      <c r="S347" t="s">
        <v>1076</v>
      </c>
      <c r="T347">
        <v>1</v>
      </c>
      <c r="U347" t="s">
        <v>756</v>
      </c>
      <c r="V347">
        <v>2</v>
      </c>
      <c r="W347" t="s">
        <v>1300</v>
      </c>
      <c r="X347">
        <v>1</v>
      </c>
      <c r="Y347" t="s">
        <v>667</v>
      </c>
      <c r="Z347">
        <v>1</v>
      </c>
    </row>
    <row r="348" spans="1:26" x14ac:dyDescent="0.4">
      <c r="A348" t="s">
        <v>822</v>
      </c>
      <c r="B348" t="s">
        <v>815</v>
      </c>
      <c r="C348" t="s">
        <v>326</v>
      </c>
      <c r="D348">
        <v>2.69</v>
      </c>
      <c r="E348" t="s">
        <v>1366</v>
      </c>
      <c r="F348">
        <v>1</v>
      </c>
      <c r="G348" t="s">
        <v>942</v>
      </c>
      <c r="H348">
        <v>4</v>
      </c>
      <c r="I348" t="s">
        <v>881</v>
      </c>
      <c r="J348">
        <v>3</v>
      </c>
      <c r="K348" t="s">
        <v>1208</v>
      </c>
      <c r="L348">
        <v>5</v>
      </c>
      <c r="M348" t="s">
        <v>982</v>
      </c>
      <c r="N348">
        <v>1</v>
      </c>
      <c r="O348">
        <v>64.5</v>
      </c>
      <c r="P348">
        <v>4</v>
      </c>
      <c r="Q348" t="s">
        <v>844</v>
      </c>
      <c r="R348">
        <v>2</v>
      </c>
      <c r="S348" t="s">
        <v>898</v>
      </c>
      <c r="T348">
        <v>1</v>
      </c>
      <c r="U348" t="s">
        <v>1380</v>
      </c>
      <c r="V348">
        <v>4</v>
      </c>
      <c r="W348" t="s">
        <v>1428</v>
      </c>
      <c r="X348">
        <v>2</v>
      </c>
      <c r="Y348" t="s">
        <v>1238</v>
      </c>
      <c r="Z348">
        <v>1</v>
      </c>
    </row>
    <row r="349" spans="1:26" x14ac:dyDescent="0.4">
      <c r="A349" t="s">
        <v>831</v>
      </c>
      <c r="B349" t="s">
        <v>823</v>
      </c>
      <c r="C349" t="s">
        <v>176</v>
      </c>
      <c r="D349">
        <v>3.15</v>
      </c>
      <c r="E349" t="s">
        <v>1500</v>
      </c>
      <c r="F349">
        <v>4</v>
      </c>
      <c r="G349" t="s">
        <v>577</v>
      </c>
      <c r="H349">
        <v>4</v>
      </c>
      <c r="I349" t="s">
        <v>889</v>
      </c>
      <c r="J349">
        <v>5</v>
      </c>
      <c r="K349" t="s">
        <v>655</v>
      </c>
      <c r="L349">
        <v>5</v>
      </c>
      <c r="M349" t="s">
        <v>1010</v>
      </c>
      <c r="N349">
        <v>3</v>
      </c>
      <c r="O349">
        <v>54.7</v>
      </c>
      <c r="P349">
        <v>1</v>
      </c>
      <c r="Q349" t="s">
        <v>1317</v>
      </c>
      <c r="R349">
        <v>2</v>
      </c>
      <c r="S349" t="s">
        <v>934</v>
      </c>
      <c r="T349">
        <v>3</v>
      </c>
      <c r="U349" t="s">
        <v>940</v>
      </c>
      <c r="V349">
        <v>3</v>
      </c>
      <c r="W349" t="s">
        <v>611</v>
      </c>
      <c r="X349">
        <v>1</v>
      </c>
      <c r="Y349" t="s">
        <v>741</v>
      </c>
      <c r="Z349">
        <v>3</v>
      </c>
    </row>
    <row r="350" spans="1:26" x14ac:dyDescent="0.4">
      <c r="A350" t="s">
        <v>547</v>
      </c>
      <c r="B350" t="s">
        <v>832</v>
      </c>
      <c r="C350" t="s">
        <v>243</v>
      </c>
      <c r="D350">
        <v>2.95</v>
      </c>
      <c r="E350" t="s">
        <v>1501</v>
      </c>
      <c r="F350">
        <v>3</v>
      </c>
      <c r="G350" t="s">
        <v>1190</v>
      </c>
      <c r="H350">
        <v>1</v>
      </c>
      <c r="I350" t="s">
        <v>682</v>
      </c>
      <c r="J350">
        <v>5</v>
      </c>
      <c r="K350" t="s">
        <v>1292</v>
      </c>
      <c r="L350">
        <v>3</v>
      </c>
      <c r="M350" t="s">
        <v>741</v>
      </c>
      <c r="N350">
        <v>5</v>
      </c>
      <c r="O350">
        <v>55.5</v>
      </c>
      <c r="P350">
        <v>1</v>
      </c>
      <c r="Q350" t="s">
        <v>653</v>
      </c>
      <c r="R350">
        <v>4</v>
      </c>
      <c r="S350" t="s">
        <v>942</v>
      </c>
      <c r="T350">
        <v>3</v>
      </c>
      <c r="U350" t="s">
        <v>1215</v>
      </c>
      <c r="V350">
        <v>2</v>
      </c>
      <c r="W350" t="s">
        <v>990</v>
      </c>
      <c r="X350">
        <v>1</v>
      </c>
      <c r="Y350" t="s">
        <v>838</v>
      </c>
      <c r="Z350">
        <v>5</v>
      </c>
    </row>
    <row r="351" spans="1:26" x14ac:dyDescent="0.4">
      <c r="A351" t="s">
        <v>559</v>
      </c>
      <c r="B351" t="s">
        <v>840</v>
      </c>
      <c r="C351" t="s">
        <v>62</v>
      </c>
      <c r="D351">
        <v>3.57</v>
      </c>
      <c r="E351" t="s">
        <v>1502</v>
      </c>
      <c r="F351">
        <v>5</v>
      </c>
      <c r="G351" t="s">
        <v>1261</v>
      </c>
      <c r="H351">
        <v>3</v>
      </c>
      <c r="I351" t="s">
        <v>1476</v>
      </c>
      <c r="J351">
        <v>1</v>
      </c>
      <c r="K351" t="s">
        <v>1070</v>
      </c>
      <c r="L351">
        <v>3</v>
      </c>
      <c r="M351" t="s">
        <v>1164</v>
      </c>
      <c r="N351">
        <v>5</v>
      </c>
      <c r="O351">
        <v>72.8</v>
      </c>
      <c r="P351">
        <v>5</v>
      </c>
      <c r="Q351" t="s">
        <v>984</v>
      </c>
      <c r="R351">
        <v>2</v>
      </c>
      <c r="S351" t="s">
        <v>1013</v>
      </c>
      <c r="T351">
        <v>2</v>
      </c>
      <c r="U351" t="s">
        <v>778</v>
      </c>
      <c r="V351">
        <v>2</v>
      </c>
      <c r="W351" t="s">
        <v>821</v>
      </c>
      <c r="X351">
        <v>4</v>
      </c>
      <c r="Y351" t="s">
        <v>1102</v>
      </c>
      <c r="Z351">
        <v>4</v>
      </c>
    </row>
    <row r="352" spans="1:26" x14ac:dyDescent="0.4">
      <c r="A352" t="s">
        <v>569</v>
      </c>
      <c r="B352" t="s">
        <v>849</v>
      </c>
      <c r="C352" t="s">
        <v>284</v>
      </c>
      <c r="D352">
        <v>2.84</v>
      </c>
      <c r="E352" t="s">
        <v>1503</v>
      </c>
      <c r="F352">
        <v>2</v>
      </c>
      <c r="G352" t="s">
        <v>1164</v>
      </c>
      <c r="H352">
        <v>3</v>
      </c>
      <c r="I352" t="s">
        <v>1504</v>
      </c>
      <c r="J352">
        <v>2</v>
      </c>
      <c r="K352" t="s">
        <v>1139</v>
      </c>
      <c r="L352">
        <v>2</v>
      </c>
      <c r="M352" t="s">
        <v>1215</v>
      </c>
      <c r="N352">
        <v>5</v>
      </c>
      <c r="O352">
        <v>64.8</v>
      </c>
      <c r="P352">
        <v>4</v>
      </c>
      <c r="Q352" t="s">
        <v>1023</v>
      </c>
      <c r="R352">
        <v>2</v>
      </c>
      <c r="S352" t="s">
        <v>1121</v>
      </c>
      <c r="T352">
        <v>3</v>
      </c>
      <c r="U352" t="s">
        <v>1232</v>
      </c>
      <c r="V352">
        <v>1</v>
      </c>
      <c r="W352" t="s">
        <v>1413</v>
      </c>
      <c r="X352">
        <v>3</v>
      </c>
      <c r="Y352" t="s">
        <v>915</v>
      </c>
      <c r="Z352">
        <v>2</v>
      </c>
    </row>
    <row r="353" spans="1:26" x14ac:dyDescent="0.4">
      <c r="A353" t="s">
        <v>581</v>
      </c>
      <c r="B353" t="s">
        <v>858</v>
      </c>
      <c r="C353" t="s">
        <v>181</v>
      </c>
      <c r="D353">
        <v>3.13</v>
      </c>
      <c r="E353" t="s">
        <v>1505</v>
      </c>
      <c r="F353">
        <v>2</v>
      </c>
      <c r="G353" t="s">
        <v>1010</v>
      </c>
      <c r="H353">
        <v>1</v>
      </c>
      <c r="I353" t="s">
        <v>1048</v>
      </c>
      <c r="J353">
        <v>5</v>
      </c>
      <c r="K353" t="s">
        <v>1088</v>
      </c>
      <c r="L353">
        <v>5</v>
      </c>
      <c r="M353" t="s">
        <v>612</v>
      </c>
      <c r="N353">
        <v>2</v>
      </c>
      <c r="O353">
        <v>66.5</v>
      </c>
      <c r="P353">
        <v>4</v>
      </c>
      <c r="Q353" t="s">
        <v>568</v>
      </c>
      <c r="R353">
        <v>2</v>
      </c>
      <c r="S353" t="s">
        <v>1137</v>
      </c>
      <c r="T353">
        <v>4</v>
      </c>
      <c r="U353" t="s">
        <v>714</v>
      </c>
      <c r="V353">
        <v>4</v>
      </c>
      <c r="W353" t="s">
        <v>1004</v>
      </c>
      <c r="X353">
        <v>1</v>
      </c>
      <c r="Y353" t="s">
        <v>1143</v>
      </c>
      <c r="Z353">
        <v>5</v>
      </c>
    </row>
    <row r="354" spans="1:26" x14ac:dyDescent="0.4">
      <c r="A354" t="s">
        <v>593</v>
      </c>
      <c r="B354" t="s">
        <v>865</v>
      </c>
      <c r="C354" t="s">
        <v>113</v>
      </c>
      <c r="D354">
        <v>3.34</v>
      </c>
      <c r="E354" t="s">
        <v>1506</v>
      </c>
      <c r="F354">
        <v>4</v>
      </c>
      <c r="G354" t="s">
        <v>953</v>
      </c>
      <c r="H354">
        <v>3</v>
      </c>
      <c r="I354" t="s">
        <v>1101</v>
      </c>
      <c r="J354">
        <v>2</v>
      </c>
      <c r="K354" t="s">
        <v>1082</v>
      </c>
      <c r="L354">
        <v>5</v>
      </c>
      <c r="M354" t="s">
        <v>1061</v>
      </c>
      <c r="N354">
        <v>5</v>
      </c>
      <c r="O354">
        <v>73.2</v>
      </c>
      <c r="P354">
        <v>5</v>
      </c>
      <c r="Q354" t="s">
        <v>1197</v>
      </c>
      <c r="R354">
        <v>2</v>
      </c>
      <c r="S354" t="s">
        <v>894</v>
      </c>
      <c r="T354">
        <v>3</v>
      </c>
      <c r="U354" t="s">
        <v>1004</v>
      </c>
      <c r="V354">
        <v>1</v>
      </c>
      <c r="W354" t="s">
        <v>984</v>
      </c>
      <c r="X354">
        <v>2</v>
      </c>
      <c r="Y354" t="s">
        <v>614</v>
      </c>
      <c r="Z354">
        <v>1</v>
      </c>
    </row>
    <row r="355" spans="1:26" x14ac:dyDescent="0.4">
      <c r="A355" t="s">
        <v>605</v>
      </c>
      <c r="B355" t="s">
        <v>870</v>
      </c>
      <c r="C355" t="s">
        <v>251</v>
      </c>
      <c r="D355">
        <v>2.93</v>
      </c>
      <c r="E355" t="s">
        <v>1507</v>
      </c>
      <c r="F355">
        <v>5</v>
      </c>
      <c r="G355" t="s">
        <v>1041</v>
      </c>
      <c r="H355">
        <v>1</v>
      </c>
      <c r="I355" t="s">
        <v>609</v>
      </c>
      <c r="J355">
        <v>1</v>
      </c>
      <c r="K355" t="s">
        <v>923</v>
      </c>
      <c r="L355">
        <v>5</v>
      </c>
      <c r="M355" t="s">
        <v>762</v>
      </c>
      <c r="N355">
        <v>5</v>
      </c>
      <c r="O355">
        <v>59.3</v>
      </c>
      <c r="P355">
        <v>2</v>
      </c>
      <c r="Q355" t="s">
        <v>803</v>
      </c>
      <c r="R355">
        <v>3</v>
      </c>
      <c r="S355" t="s">
        <v>819</v>
      </c>
      <c r="T355">
        <v>1</v>
      </c>
      <c r="U355" t="s">
        <v>1380</v>
      </c>
      <c r="V355">
        <v>4</v>
      </c>
      <c r="W355" t="s">
        <v>677</v>
      </c>
      <c r="X355">
        <v>1</v>
      </c>
      <c r="Y355" t="s">
        <v>770</v>
      </c>
      <c r="Z355">
        <v>2</v>
      </c>
    </row>
    <row r="356" spans="1:26" x14ac:dyDescent="0.4">
      <c r="A356" t="s">
        <v>617</v>
      </c>
      <c r="B356" t="s">
        <v>879</v>
      </c>
      <c r="C356" t="s">
        <v>119</v>
      </c>
      <c r="D356">
        <v>3.31</v>
      </c>
      <c r="E356" t="s">
        <v>1508</v>
      </c>
      <c r="F356">
        <v>5</v>
      </c>
      <c r="G356" t="s">
        <v>957</v>
      </c>
      <c r="H356">
        <v>1</v>
      </c>
      <c r="I356" t="s">
        <v>1269</v>
      </c>
      <c r="J356">
        <v>2</v>
      </c>
      <c r="K356" t="s">
        <v>773</v>
      </c>
      <c r="L356">
        <v>5</v>
      </c>
      <c r="M356" t="s">
        <v>692</v>
      </c>
      <c r="N356">
        <v>5</v>
      </c>
      <c r="O356">
        <v>57.1</v>
      </c>
      <c r="P356">
        <v>2</v>
      </c>
      <c r="Q356" t="s">
        <v>1039</v>
      </c>
      <c r="R356">
        <v>2</v>
      </c>
      <c r="S356" t="s">
        <v>882</v>
      </c>
      <c r="T356">
        <v>3</v>
      </c>
      <c r="U356" t="s">
        <v>1428</v>
      </c>
      <c r="V356">
        <v>2</v>
      </c>
      <c r="W356" t="s">
        <v>1360</v>
      </c>
      <c r="X356">
        <v>2</v>
      </c>
      <c r="Y356" t="s">
        <v>1143</v>
      </c>
      <c r="Z356">
        <v>5</v>
      </c>
    </row>
    <row r="357" spans="1:26" x14ac:dyDescent="0.4">
      <c r="A357" t="s">
        <v>627</v>
      </c>
      <c r="B357" t="s">
        <v>887</v>
      </c>
      <c r="C357" t="s">
        <v>408</v>
      </c>
      <c r="D357">
        <v>2.17</v>
      </c>
      <c r="E357" t="s">
        <v>1509</v>
      </c>
      <c r="F357">
        <v>3</v>
      </c>
      <c r="G357" t="s">
        <v>829</v>
      </c>
      <c r="H357">
        <v>4</v>
      </c>
      <c r="I357" t="s">
        <v>1333</v>
      </c>
      <c r="J357">
        <v>2</v>
      </c>
      <c r="K357" t="s">
        <v>861</v>
      </c>
      <c r="L357">
        <v>1</v>
      </c>
      <c r="M357" t="s">
        <v>795</v>
      </c>
      <c r="N357">
        <v>1</v>
      </c>
      <c r="O357">
        <v>62.1</v>
      </c>
      <c r="P357">
        <v>3</v>
      </c>
      <c r="Q357" t="s">
        <v>986</v>
      </c>
      <c r="R357">
        <v>1</v>
      </c>
      <c r="S357" t="s">
        <v>984</v>
      </c>
      <c r="T357">
        <v>2</v>
      </c>
      <c r="U357" t="s">
        <v>899</v>
      </c>
      <c r="V357">
        <v>3</v>
      </c>
      <c r="W357" t="s">
        <v>1104</v>
      </c>
      <c r="X357">
        <v>1</v>
      </c>
      <c r="Y357" t="s">
        <v>704</v>
      </c>
      <c r="Z357">
        <v>3</v>
      </c>
    </row>
    <row r="358" spans="1:26" x14ac:dyDescent="0.4">
      <c r="A358" t="s">
        <v>637</v>
      </c>
      <c r="B358" t="s">
        <v>896</v>
      </c>
      <c r="C358" t="s">
        <v>198</v>
      </c>
      <c r="D358">
        <v>3.07</v>
      </c>
      <c r="E358" t="s">
        <v>1510</v>
      </c>
      <c r="F358">
        <v>5</v>
      </c>
      <c r="G358" t="s">
        <v>1027</v>
      </c>
      <c r="H358">
        <v>1</v>
      </c>
      <c r="I358" t="s">
        <v>731</v>
      </c>
      <c r="J358">
        <v>3</v>
      </c>
      <c r="K358" t="s">
        <v>991</v>
      </c>
      <c r="L358">
        <v>4</v>
      </c>
      <c r="M358" t="s">
        <v>968</v>
      </c>
      <c r="N358">
        <v>5</v>
      </c>
      <c r="O358">
        <v>72.7</v>
      </c>
      <c r="P358">
        <v>5</v>
      </c>
      <c r="Q358" t="s">
        <v>1313</v>
      </c>
      <c r="R358">
        <v>2</v>
      </c>
      <c r="S358" t="s">
        <v>1329</v>
      </c>
      <c r="T358">
        <v>3</v>
      </c>
      <c r="U358" t="s">
        <v>1016</v>
      </c>
      <c r="V358">
        <v>2</v>
      </c>
      <c r="W358" t="s">
        <v>963</v>
      </c>
      <c r="X358">
        <v>1</v>
      </c>
      <c r="Y358" t="s">
        <v>1036</v>
      </c>
      <c r="Z358">
        <v>1</v>
      </c>
    </row>
    <row r="359" spans="1:26" x14ac:dyDescent="0.4">
      <c r="A359" t="s">
        <v>648</v>
      </c>
      <c r="B359" t="s">
        <v>901</v>
      </c>
      <c r="C359" t="s">
        <v>167</v>
      </c>
      <c r="D359">
        <v>3.17</v>
      </c>
      <c r="E359" t="s">
        <v>1198</v>
      </c>
      <c r="F359">
        <v>5</v>
      </c>
      <c r="G359" t="s">
        <v>1173</v>
      </c>
      <c r="H359">
        <v>1</v>
      </c>
      <c r="I359" t="s">
        <v>912</v>
      </c>
      <c r="J359">
        <v>5</v>
      </c>
      <c r="K359" t="s">
        <v>1238</v>
      </c>
      <c r="L359">
        <v>3</v>
      </c>
      <c r="M359" t="s">
        <v>1031</v>
      </c>
      <c r="N359">
        <v>5</v>
      </c>
      <c r="O359">
        <v>64.5</v>
      </c>
      <c r="P359">
        <v>4</v>
      </c>
      <c r="Q359" t="s">
        <v>987</v>
      </c>
      <c r="R359">
        <v>1</v>
      </c>
      <c r="S359" t="s">
        <v>991</v>
      </c>
      <c r="T359">
        <v>2</v>
      </c>
      <c r="U359" t="s">
        <v>1253</v>
      </c>
      <c r="V359">
        <v>3</v>
      </c>
      <c r="W359" t="s">
        <v>857</v>
      </c>
      <c r="X359">
        <v>4</v>
      </c>
      <c r="Y359" t="s">
        <v>753</v>
      </c>
      <c r="Z359">
        <v>1</v>
      </c>
    </row>
    <row r="360" spans="1:26" x14ac:dyDescent="0.4">
      <c r="A360" t="s">
        <v>658</v>
      </c>
      <c r="B360" t="s">
        <v>909</v>
      </c>
      <c r="C360" t="s">
        <v>28</v>
      </c>
      <c r="D360">
        <v>3.82</v>
      </c>
      <c r="E360" t="s">
        <v>1365</v>
      </c>
      <c r="F360">
        <v>4</v>
      </c>
      <c r="G360" t="s">
        <v>915</v>
      </c>
      <c r="H360">
        <v>2</v>
      </c>
      <c r="I360" t="s">
        <v>710</v>
      </c>
      <c r="J360">
        <v>4</v>
      </c>
      <c r="K360" t="s">
        <v>734</v>
      </c>
      <c r="L360">
        <v>5</v>
      </c>
      <c r="M360" t="s">
        <v>993</v>
      </c>
      <c r="N360">
        <v>5</v>
      </c>
      <c r="O360">
        <v>69.599999999999994</v>
      </c>
      <c r="P360">
        <v>5</v>
      </c>
      <c r="Q360" t="s">
        <v>683</v>
      </c>
      <c r="R360">
        <v>5</v>
      </c>
      <c r="S360" t="s">
        <v>911</v>
      </c>
      <c r="T360">
        <v>3</v>
      </c>
      <c r="U360" t="s">
        <v>732</v>
      </c>
      <c r="V360">
        <v>3</v>
      </c>
      <c r="W360" t="s">
        <v>745</v>
      </c>
      <c r="X360">
        <v>1</v>
      </c>
      <c r="Y360" t="s">
        <v>996</v>
      </c>
      <c r="Z360">
        <v>4</v>
      </c>
    </row>
    <row r="361" spans="1:26" x14ac:dyDescent="0.4">
      <c r="A361" t="s">
        <v>668</v>
      </c>
      <c r="B361" t="s">
        <v>918</v>
      </c>
      <c r="C361" t="s">
        <v>82</v>
      </c>
      <c r="D361">
        <v>3.5</v>
      </c>
      <c r="E361" t="s">
        <v>1468</v>
      </c>
      <c r="F361">
        <v>2</v>
      </c>
      <c r="G361" t="s">
        <v>803</v>
      </c>
      <c r="H361">
        <v>3</v>
      </c>
      <c r="I361" t="s">
        <v>1420</v>
      </c>
      <c r="J361">
        <v>1</v>
      </c>
      <c r="K361" t="s">
        <v>973</v>
      </c>
      <c r="L361">
        <v>5</v>
      </c>
      <c r="M361" t="s">
        <v>1072</v>
      </c>
      <c r="N361">
        <v>5</v>
      </c>
      <c r="O361">
        <v>76.900000000000006</v>
      </c>
      <c r="P361">
        <v>5</v>
      </c>
      <c r="Q361" t="s">
        <v>1313</v>
      </c>
      <c r="R361">
        <v>2</v>
      </c>
      <c r="S361" t="s">
        <v>802</v>
      </c>
      <c r="T361">
        <v>4</v>
      </c>
      <c r="U361" t="s">
        <v>968</v>
      </c>
      <c r="V361">
        <v>2</v>
      </c>
      <c r="W361" t="s">
        <v>1188</v>
      </c>
      <c r="X361">
        <v>5</v>
      </c>
      <c r="Y361" t="s">
        <v>861</v>
      </c>
      <c r="Z361">
        <v>1</v>
      </c>
    </row>
    <row r="362" spans="1:26" x14ac:dyDescent="0.4">
      <c r="A362" t="s">
        <v>678</v>
      </c>
      <c r="B362" t="s">
        <v>548</v>
      </c>
      <c r="C362" t="s">
        <v>19</v>
      </c>
      <c r="D362">
        <v>3.84</v>
      </c>
      <c r="E362" t="s">
        <v>1448</v>
      </c>
      <c r="F362">
        <v>5</v>
      </c>
      <c r="G362" t="s">
        <v>1093</v>
      </c>
      <c r="H362">
        <v>5</v>
      </c>
      <c r="I362" t="s">
        <v>1356</v>
      </c>
      <c r="J362">
        <v>2</v>
      </c>
      <c r="K362" t="s">
        <v>1253</v>
      </c>
      <c r="L362">
        <v>5</v>
      </c>
      <c r="M362" t="s">
        <v>1218</v>
      </c>
      <c r="N362">
        <v>5</v>
      </c>
      <c r="O362">
        <v>76.400000000000006</v>
      </c>
      <c r="P362">
        <v>5</v>
      </c>
      <c r="Q362" t="s">
        <v>1472</v>
      </c>
      <c r="R362">
        <v>2</v>
      </c>
      <c r="S362" t="s">
        <v>735</v>
      </c>
      <c r="T362">
        <v>3</v>
      </c>
      <c r="U362" t="s">
        <v>891</v>
      </c>
      <c r="V362">
        <v>4</v>
      </c>
      <c r="W362" t="s">
        <v>916</v>
      </c>
      <c r="X362">
        <v>2</v>
      </c>
      <c r="Y362" t="s">
        <v>1300</v>
      </c>
      <c r="Z362">
        <v>1</v>
      </c>
    </row>
    <row r="363" spans="1:26" x14ac:dyDescent="0.4">
      <c r="A363" t="s">
        <v>687</v>
      </c>
      <c r="B363" t="s">
        <v>560</v>
      </c>
      <c r="C363" t="s">
        <v>234</v>
      </c>
      <c r="D363">
        <v>2.97</v>
      </c>
      <c r="E363" t="s">
        <v>670</v>
      </c>
      <c r="F363">
        <v>5</v>
      </c>
      <c r="G363" t="s">
        <v>1313</v>
      </c>
      <c r="H363">
        <v>1</v>
      </c>
      <c r="I363" t="s">
        <v>1387</v>
      </c>
      <c r="J363">
        <v>3</v>
      </c>
      <c r="K363" t="s">
        <v>890</v>
      </c>
      <c r="L363">
        <v>5</v>
      </c>
      <c r="M363" t="s">
        <v>1472</v>
      </c>
      <c r="N363">
        <v>3</v>
      </c>
      <c r="O363">
        <v>77.099999999999994</v>
      </c>
      <c r="P363">
        <v>5</v>
      </c>
      <c r="Q363" t="s">
        <v>956</v>
      </c>
      <c r="R363">
        <v>2</v>
      </c>
      <c r="S363" t="s">
        <v>675</v>
      </c>
      <c r="T363">
        <v>2</v>
      </c>
      <c r="U363" t="s">
        <v>1225</v>
      </c>
      <c r="V363">
        <v>2</v>
      </c>
      <c r="W363" t="s">
        <v>764</v>
      </c>
      <c r="X363">
        <v>2</v>
      </c>
      <c r="Y363" t="s">
        <v>1010</v>
      </c>
      <c r="Z363">
        <v>1</v>
      </c>
    </row>
    <row r="364" spans="1:26" x14ac:dyDescent="0.4">
      <c r="A364" t="s">
        <v>698</v>
      </c>
      <c r="B364" t="s">
        <v>570</v>
      </c>
      <c r="C364" t="s">
        <v>53</v>
      </c>
      <c r="D364">
        <v>3.63</v>
      </c>
      <c r="E364" t="s">
        <v>1366</v>
      </c>
      <c r="F364">
        <v>1</v>
      </c>
      <c r="G364" t="s">
        <v>1157</v>
      </c>
      <c r="H364">
        <v>1</v>
      </c>
      <c r="I364" t="s">
        <v>1328</v>
      </c>
      <c r="J364">
        <v>5</v>
      </c>
      <c r="K364" t="s">
        <v>903</v>
      </c>
      <c r="L364">
        <v>5</v>
      </c>
      <c r="M364" t="s">
        <v>686</v>
      </c>
      <c r="N364">
        <v>5</v>
      </c>
      <c r="O364">
        <v>74</v>
      </c>
      <c r="P364">
        <v>5</v>
      </c>
      <c r="Q364" t="s">
        <v>743</v>
      </c>
      <c r="R364">
        <v>3</v>
      </c>
      <c r="S364" t="s">
        <v>1074</v>
      </c>
      <c r="T364">
        <v>5</v>
      </c>
      <c r="U364" t="s">
        <v>756</v>
      </c>
      <c r="V364">
        <v>2</v>
      </c>
      <c r="W364" t="s">
        <v>1106</v>
      </c>
      <c r="X364">
        <v>4</v>
      </c>
      <c r="Y364" t="s">
        <v>917</v>
      </c>
      <c r="Z364">
        <v>3</v>
      </c>
    </row>
    <row r="365" spans="1:26" x14ac:dyDescent="0.4">
      <c r="A365" t="s">
        <v>706</v>
      </c>
      <c r="B365" t="s">
        <v>582</v>
      </c>
      <c r="C365" t="s">
        <v>299</v>
      </c>
      <c r="D365">
        <v>2.77</v>
      </c>
      <c r="E365" t="s">
        <v>1511</v>
      </c>
      <c r="F365">
        <v>3</v>
      </c>
      <c r="G365" t="s">
        <v>784</v>
      </c>
      <c r="H365">
        <v>4</v>
      </c>
      <c r="I365" t="s">
        <v>1512</v>
      </c>
      <c r="J365">
        <v>2</v>
      </c>
      <c r="K365" t="s">
        <v>1063</v>
      </c>
      <c r="L365">
        <v>3</v>
      </c>
      <c r="M365" t="s">
        <v>837</v>
      </c>
      <c r="N365">
        <v>1</v>
      </c>
      <c r="O365">
        <v>62.7</v>
      </c>
      <c r="P365">
        <v>3</v>
      </c>
      <c r="Q365" t="s">
        <v>681</v>
      </c>
      <c r="R365">
        <v>3</v>
      </c>
      <c r="S365" t="s">
        <v>1202</v>
      </c>
      <c r="T365">
        <v>3</v>
      </c>
      <c r="U365" t="s">
        <v>640</v>
      </c>
      <c r="V365">
        <v>3</v>
      </c>
      <c r="W365" t="s">
        <v>791</v>
      </c>
      <c r="X365">
        <v>4</v>
      </c>
      <c r="Y365" t="s">
        <v>1228</v>
      </c>
      <c r="Z365">
        <v>2</v>
      </c>
    </row>
    <row r="366" spans="1:26" x14ac:dyDescent="0.4">
      <c r="A366" t="s">
        <v>716</v>
      </c>
      <c r="B366" t="s">
        <v>594</v>
      </c>
      <c r="C366" t="s">
        <v>419</v>
      </c>
      <c r="D366">
        <v>1.94</v>
      </c>
      <c r="E366" t="s">
        <v>1254</v>
      </c>
      <c r="F366">
        <v>1</v>
      </c>
      <c r="G366" t="s">
        <v>769</v>
      </c>
      <c r="H366">
        <v>1</v>
      </c>
      <c r="I366" t="s">
        <v>1026</v>
      </c>
      <c r="J366">
        <v>5</v>
      </c>
      <c r="K366" t="s">
        <v>1300</v>
      </c>
      <c r="L366">
        <v>4</v>
      </c>
      <c r="M366" t="s">
        <v>677</v>
      </c>
      <c r="N366">
        <v>1</v>
      </c>
      <c r="O366">
        <v>59.2</v>
      </c>
      <c r="P366">
        <v>2</v>
      </c>
      <c r="Q366" t="s">
        <v>1244</v>
      </c>
      <c r="R366">
        <v>1</v>
      </c>
      <c r="S366" t="s">
        <v>920</v>
      </c>
      <c r="T366">
        <v>2</v>
      </c>
      <c r="U366" t="s">
        <v>1256</v>
      </c>
      <c r="V366">
        <v>3</v>
      </c>
      <c r="W366" t="s">
        <v>1039</v>
      </c>
      <c r="X366">
        <v>1</v>
      </c>
      <c r="Y366" t="s">
        <v>1028</v>
      </c>
      <c r="Z366">
        <v>1</v>
      </c>
    </row>
    <row r="367" spans="1:26" x14ac:dyDescent="0.4">
      <c r="A367" t="s">
        <v>728</v>
      </c>
      <c r="B367" t="s">
        <v>606</v>
      </c>
      <c r="C367" t="s">
        <v>46</v>
      </c>
      <c r="D367">
        <v>3.71</v>
      </c>
      <c r="E367" t="s">
        <v>1513</v>
      </c>
      <c r="F367">
        <v>5</v>
      </c>
      <c r="G367" t="s">
        <v>1444</v>
      </c>
      <c r="H367">
        <v>2</v>
      </c>
      <c r="I367" t="s">
        <v>921</v>
      </c>
      <c r="J367">
        <v>5</v>
      </c>
      <c r="K367" t="s">
        <v>694</v>
      </c>
      <c r="L367">
        <v>4</v>
      </c>
      <c r="M367" t="s">
        <v>1024</v>
      </c>
      <c r="N367">
        <v>5</v>
      </c>
      <c r="O367">
        <v>68.3</v>
      </c>
      <c r="P367">
        <v>4</v>
      </c>
      <c r="Q367" t="s">
        <v>838</v>
      </c>
      <c r="R367">
        <v>5</v>
      </c>
      <c r="S367" t="s">
        <v>1054</v>
      </c>
      <c r="T367">
        <v>3</v>
      </c>
      <c r="U367" t="s">
        <v>936</v>
      </c>
      <c r="V367">
        <v>5</v>
      </c>
      <c r="W367" t="s">
        <v>723</v>
      </c>
      <c r="X367">
        <v>3</v>
      </c>
      <c r="Y367" t="s">
        <v>868</v>
      </c>
      <c r="Z367">
        <v>1</v>
      </c>
    </row>
    <row r="368" spans="1:26" x14ac:dyDescent="0.4">
      <c r="A368" t="s">
        <v>736</v>
      </c>
      <c r="B368" t="s">
        <v>618</v>
      </c>
      <c r="C368" t="s">
        <v>218</v>
      </c>
      <c r="D368">
        <v>3.03</v>
      </c>
      <c r="E368" t="s">
        <v>1506</v>
      </c>
      <c r="F368">
        <v>4</v>
      </c>
      <c r="G368" t="s">
        <v>666</v>
      </c>
      <c r="H368">
        <v>4</v>
      </c>
      <c r="I368" t="s">
        <v>1095</v>
      </c>
      <c r="J368">
        <v>3</v>
      </c>
      <c r="K368" t="s">
        <v>1225</v>
      </c>
      <c r="L368">
        <v>3</v>
      </c>
      <c r="M368" t="s">
        <v>576</v>
      </c>
      <c r="N368">
        <v>5</v>
      </c>
      <c r="O368">
        <v>61.2</v>
      </c>
      <c r="P368">
        <v>3</v>
      </c>
      <c r="Q368" t="s">
        <v>811</v>
      </c>
      <c r="R368">
        <v>2</v>
      </c>
      <c r="S368" t="s">
        <v>974</v>
      </c>
      <c r="T368">
        <v>3</v>
      </c>
      <c r="U368" t="s">
        <v>1244</v>
      </c>
      <c r="V368">
        <v>1</v>
      </c>
      <c r="W368" t="s">
        <v>1004</v>
      </c>
      <c r="X368">
        <v>1</v>
      </c>
      <c r="Y368" t="s">
        <v>673</v>
      </c>
      <c r="Z368">
        <v>2</v>
      </c>
    </row>
    <row r="369" spans="1:26" x14ac:dyDescent="0.4">
      <c r="A369" t="s">
        <v>746</v>
      </c>
      <c r="B369" t="s">
        <v>628</v>
      </c>
      <c r="C369" t="s">
        <v>390</v>
      </c>
      <c r="D369">
        <v>2.34</v>
      </c>
      <c r="E369" t="s">
        <v>1514</v>
      </c>
      <c r="F369">
        <v>2</v>
      </c>
      <c r="G369" t="s">
        <v>950</v>
      </c>
      <c r="H369">
        <v>1</v>
      </c>
      <c r="I369" t="s">
        <v>1356</v>
      </c>
      <c r="J369">
        <v>2</v>
      </c>
      <c r="K369" t="s">
        <v>819</v>
      </c>
      <c r="L369">
        <v>1</v>
      </c>
      <c r="M369" t="s">
        <v>993</v>
      </c>
      <c r="N369">
        <v>5</v>
      </c>
      <c r="O369">
        <v>74.599999999999994</v>
      </c>
      <c r="P369">
        <v>5</v>
      </c>
      <c r="Q369" t="s">
        <v>1192</v>
      </c>
      <c r="R369">
        <v>4</v>
      </c>
      <c r="S369" t="s">
        <v>660</v>
      </c>
      <c r="T369">
        <v>2</v>
      </c>
      <c r="U369" t="s">
        <v>963</v>
      </c>
      <c r="V369">
        <v>1</v>
      </c>
      <c r="W369" t="s">
        <v>623</v>
      </c>
      <c r="X369">
        <v>1</v>
      </c>
      <c r="Y369" t="s">
        <v>572</v>
      </c>
      <c r="Z369">
        <v>1</v>
      </c>
    </row>
    <row r="370" spans="1:26" x14ac:dyDescent="0.4">
      <c r="A370" t="s">
        <v>757</v>
      </c>
      <c r="B370" t="s">
        <v>638</v>
      </c>
      <c r="C370" t="s">
        <v>110</v>
      </c>
      <c r="D370">
        <v>3.35</v>
      </c>
      <c r="E370" t="s">
        <v>1515</v>
      </c>
      <c r="F370">
        <v>3</v>
      </c>
      <c r="G370" t="s">
        <v>1300</v>
      </c>
      <c r="H370">
        <v>1</v>
      </c>
      <c r="I370" t="s">
        <v>1463</v>
      </c>
      <c r="J370">
        <v>3</v>
      </c>
      <c r="K370" t="s">
        <v>869</v>
      </c>
      <c r="L370">
        <v>5</v>
      </c>
      <c r="M370" t="s">
        <v>872</v>
      </c>
      <c r="N370">
        <v>5</v>
      </c>
      <c r="O370">
        <v>57.2</v>
      </c>
      <c r="P370">
        <v>2</v>
      </c>
      <c r="Q370" t="s">
        <v>1067</v>
      </c>
      <c r="R370">
        <v>3</v>
      </c>
      <c r="S370" t="s">
        <v>994</v>
      </c>
      <c r="T370">
        <v>1</v>
      </c>
      <c r="U370" t="s">
        <v>701</v>
      </c>
      <c r="V370">
        <v>4</v>
      </c>
      <c r="W370" t="s">
        <v>640</v>
      </c>
      <c r="X370">
        <v>5</v>
      </c>
      <c r="Y370" t="s">
        <v>741</v>
      </c>
      <c r="Z370">
        <v>3</v>
      </c>
    </row>
    <row r="371" spans="1:26" x14ac:dyDescent="0.4">
      <c r="A371" t="s">
        <v>765</v>
      </c>
      <c r="B371" t="s">
        <v>649</v>
      </c>
      <c r="C371" t="s">
        <v>115</v>
      </c>
      <c r="D371">
        <v>3.32</v>
      </c>
      <c r="E371" t="s">
        <v>1516</v>
      </c>
      <c r="F371">
        <v>5</v>
      </c>
      <c r="G371" t="s">
        <v>1009</v>
      </c>
      <c r="H371">
        <v>1</v>
      </c>
      <c r="I371" t="s">
        <v>621</v>
      </c>
      <c r="J371">
        <v>5</v>
      </c>
      <c r="K371" t="s">
        <v>872</v>
      </c>
      <c r="L371">
        <v>5</v>
      </c>
      <c r="M371" t="s">
        <v>645</v>
      </c>
      <c r="N371">
        <v>5</v>
      </c>
      <c r="O371">
        <v>64.099999999999994</v>
      </c>
      <c r="P371">
        <v>4</v>
      </c>
      <c r="Q371" t="s">
        <v>1107</v>
      </c>
      <c r="R371">
        <v>4</v>
      </c>
      <c r="S371" t="s">
        <v>645</v>
      </c>
      <c r="T371">
        <v>3</v>
      </c>
      <c r="U371" t="s">
        <v>764</v>
      </c>
      <c r="V371">
        <v>2</v>
      </c>
      <c r="W371" t="s">
        <v>623</v>
      </c>
      <c r="X371">
        <v>1</v>
      </c>
      <c r="Y371" t="s">
        <v>834</v>
      </c>
      <c r="Z371">
        <v>1</v>
      </c>
    </row>
    <row r="372" spans="1:26" x14ac:dyDescent="0.4">
      <c r="A372" t="s">
        <v>775</v>
      </c>
      <c r="B372" t="s">
        <v>659</v>
      </c>
      <c r="C372" t="s">
        <v>52</v>
      </c>
      <c r="D372">
        <v>3.65</v>
      </c>
      <c r="E372" t="s">
        <v>1517</v>
      </c>
      <c r="F372">
        <v>3</v>
      </c>
      <c r="G372" t="s">
        <v>1208</v>
      </c>
      <c r="H372">
        <v>4</v>
      </c>
      <c r="I372" t="s">
        <v>1346</v>
      </c>
      <c r="J372">
        <v>1</v>
      </c>
      <c r="K372" t="s">
        <v>598</v>
      </c>
      <c r="L372">
        <v>5</v>
      </c>
      <c r="M372" t="s">
        <v>739</v>
      </c>
      <c r="N372">
        <v>5</v>
      </c>
      <c r="O372">
        <v>69.599999999999994</v>
      </c>
      <c r="P372">
        <v>5</v>
      </c>
      <c r="Q372" t="s">
        <v>1401</v>
      </c>
      <c r="R372">
        <v>3</v>
      </c>
      <c r="S372" t="s">
        <v>1295</v>
      </c>
      <c r="T372">
        <v>2</v>
      </c>
      <c r="U372" t="s">
        <v>633</v>
      </c>
      <c r="V372">
        <v>2</v>
      </c>
      <c r="W372" t="s">
        <v>1093</v>
      </c>
      <c r="X372">
        <v>5</v>
      </c>
      <c r="Y372" t="s">
        <v>1070</v>
      </c>
      <c r="Z372">
        <v>1</v>
      </c>
    </row>
    <row r="373" spans="1:26" x14ac:dyDescent="0.4">
      <c r="A373" t="s">
        <v>785</v>
      </c>
      <c r="B373" t="s">
        <v>669</v>
      </c>
      <c r="C373" t="s">
        <v>348</v>
      </c>
      <c r="D373">
        <v>2.6</v>
      </c>
      <c r="E373" t="s">
        <v>1339</v>
      </c>
      <c r="F373">
        <v>5</v>
      </c>
      <c r="G373" t="s">
        <v>905</v>
      </c>
      <c r="H373">
        <v>1</v>
      </c>
      <c r="I373" t="s">
        <v>652</v>
      </c>
      <c r="J373">
        <v>3</v>
      </c>
      <c r="K373" t="s">
        <v>1068</v>
      </c>
      <c r="L373">
        <v>5</v>
      </c>
      <c r="M373" t="s">
        <v>800</v>
      </c>
      <c r="N373">
        <v>1</v>
      </c>
      <c r="O373">
        <v>77.400000000000006</v>
      </c>
      <c r="P373">
        <v>5</v>
      </c>
      <c r="Q373" t="s">
        <v>614</v>
      </c>
      <c r="R373">
        <v>2</v>
      </c>
      <c r="S373" t="s">
        <v>1077</v>
      </c>
      <c r="T373">
        <v>2</v>
      </c>
      <c r="U373" t="s">
        <v>1154</v>
      </c>
      <c r="V373">
        <v>2</v>
      </c>
      <c r="W373" t="s">
        <v>929</v>
      </c>
      <c r="X373">
        <v>1</v>
      </c>
      <c r="Y373" t="s">
        <v>1244</v>
      </c>
      <c r="Z373">
        <v>1</v>
      </c>
    </row>
    <row r="374" spans="1:26" x14ac:dyDescent="0.4">
      <c r="A374" t="s">
        <v>796</v>
      </c>
      <c r="B374" t="s">
        <v>679</v>
      </c>
      <c r="C374" t="s">
        <v>327</v>
      </c>
      <c r="D374">
        <v>2.69</v>
      </c>
      <c r="E374" t="s">
        <v>1518</v>
      </c>
      <c r="F374">
        <v>2</v>
      </c>
      <c r="G374" t="s">
        <v>883</v>
      </c>
      <c r="H374">
        <v>1</v>
      </c>
      <c r="I374" t="s">
        <v>1333</v>
      </c>
      <c r="J374">
        <v>2</v>
      </c>
      <c r="K374" t="s">
        <v>1253</v>
      </c>
      <c r="L374">
        <v>5</v>
      </c>
      <c r="M374" t="s">
        <v>916</v>
      </c>
      <c r="N374">
        <v>5</v>
      </c>
      <c r="O374">
        <v>63.4</v>
      </c>
      <c r="P374">
        <v>3</v>
      </c>
      <c r="Q374" t="s">
        <v>1121</v>
      </c>
      <c r="R374">
        <v>3</v>
      </c>
      <c r="S374" t="s">
        <v>1086</v>
      </c>
      <c r="T374">
        <v>2</v>
      </c>
      <c r="U374" t="s">
        <v>625</v>
      </c>
      <c r="V374">
        <v>2</v>
      </c>
      <c r="W374" t="s">
        <v>1145</v>
      </c>
      <c r="X374">
        <v>1</v>
      </c>
      <c r="Y374" t="s">
        <v>906</v>
      </c>
      <c r="Z374">
        <v>1</v>
      </c>
    </row>
    <row r="375" spans="1:26" x14ac:dyDescent="0.4">
      <c r="A375" t="s">
        <v>804</v>
      </c>
      <c r="B375" t="s">
        <v>688</v>
      </c>
      <c r="C375" t="s">
        <v>120</v>
      </c>
      <c r="D375">
        <v>3.31</v>
      </c>
      <c r="E375" t="s">
        <v>1519</v>
      </c>
      <c r="F375">
        <v>5</v>
      </c>
      <c r="G375" t="s">
        <v>905</v>
      </c>
      <c r="H375">
        <v>1</v>
      </c>
      <c r="I375" t="s">
        <v>1520</v>
      </c>
      <c r="J375">
        <v>2</v>
      </c>
      <c r="K375" t="s">
        <v>949</v>
      </c>
      <c r="L375">
        <v>5</v>
      </c>
      <c r="M375" t="s">
        <v>1208</v>
      </c>
      <c r="N375">
        <v>5</v>
      </c>
      <c r="O375">
        <v>76.5</v>
      </c>
      <c r="P375">
        <v>5</v>
      </c>
      <c r="Q375" t="s">
        <v>800</v>
      </c>
      <c r="R375">
        <v>1</v>
      </c>
      <c r="S375" t="s">
        <v>1244</v>
      </c>
      <c r="T375">
        <v>1</v>
      </c>
      <c r="U375" t="s">
        <v>646</v>
      </c>
      <c r="V375">
        <v>1</v>
      </c>
      <c r="W375" t="s">
        <v>780</v>
      </c>
      <c r="X375">
        <v>4</v>
      </c>
      <c r="Y375" t="s">
        <v>715</v>
      </c>
      <c r="Z375">
        <v>2</v>
      </c>
    </row>
    <row r="376" spans="1:26" x14ac:dyDescent="0.4">
      <c r="A376" t="s">
        <v>814</v>
      </c>
      <c r="B376" t="s">
        <v>699</v>
      </c>
      <c r="C376" t="s">
        <v>366</v>
      </c>
      <c r="D376">
        <v>2.48</v>
      </c>
      <c r="E376" t="s">
        <v>1521</v>
      </c>
      <c r="F376">
        <v>5</v>
      </c>
      <c r="G376" t="s">
        <v>578</v>
      </c>
      <c r="H376">
        <v>3</v>
      </c>
      <c r="I376" t="s">
        <v>720</v>
      </c>
      <c r="J376">
        <v>5</v>
      </c>
      <c r="K376" t="s">
        <v>1292</v>
      </c>
      <c r="L376">
        <v>3</v>
      </c>
      <c r="M376" t="s">
        <v>1251</v>
      </c>
      <c r="N376">
        <v>2</v>
      </c>
      <c r="O376">
        <v>55.5</v>
      </c>
      <c r="P376">
        <v>1</v>
      </c>
      <c r="Q376" t="s">
        <v>654</v>
      </c>
      <c r="R376">
        <v>2</v>
      </c>
      <c r="S376" t="s">
        <v>1058</v>
      </c>
      <c r="T376">
        <v>4</v>
      </c>
      <c r="U376" t="s">
        <v>1016</v>
      </c>
      <c r="V376">
        <v>2</v>
      </c>
      <c r="W376" t="s">
        <v>674</v>
      </c>
      <c r="X376">
        <v>1</v>
      </c>
      <c r="Y376" t="s">
        <v>1363</v>
      </c>
      <c r="Z376">
        <v>1</v>
      </c>
    </row>
    <row r="377" spans="1:26" x14ac:dyDescent="0.4">
      <c r="A377" t="s">
        <v>822</v>
      </c>
      <c r="B377" t="s">
        <v>707</v>
      </c>
      <c r="C377" t="s">
        <v>190</v>
      </c>
      <c r="D377">
        <v>3.1</v>
      </c>
      <c r="E377" t="s">
        <v>1522</v>
      </c>
      <c r="F377">
        <v>5</v>
      </c>
      <c r="G377" t="s">
        <v>1184</v>
      </c>
      <c r="H377">
        <v>1</v>
      </c>
      <c r="I377" t="s">
        <v>1423</v>
      </c>
      <c r="J377">
        <v>3</v>
      </c>
      <c r="K377" t="s">
        <v>616</v>
      </c>
      <c r="L377">
        <v>5</v>
      </c>
      <c r="M377" t="s">
        <v>857</v>
      </c>
      <c r="N377">
        <v>5</v>
      </c>
      <c r="O377">
        <v>67.5</v>
      </c>
      <c r="P377">
        <v>4</v>
      </c>
      <c r="Q377" t="s">
        <v>623</v>
      </c>
      <c r="R377">
        <v>2</v>
      </c>
      <c r="S377" t="s">
        <v>784</v>
      </c>
      <c r="T377">
        <v>3</v>
      </c>
      <c r="U377" t="s">
        <v>660</v>
      </c>
      <c r="V377">
        <v>2</v>
      </c>
      <c r="W377" t="s">
        <v>1157</v>
      </c>
      <c r="X377">
        <v>1</v>
      </c>
      <c r="Y377" t="s">
        <v>952</v>
      </c>
      <c r="Z377">
        <v>1</v>
      </c>
    </row>
    <row r="378" spans="1:26" x14ac:dyDescent="0.4">
      <c r="A378" t="s">
        <v>831</v>
      </c>
      <c r="B378" t="s">
        <v>717</v>
      </c>
      <c r="C378" t="s">
        <v>104</v>
      </c>
      <c r="D378">
        <v>3.38</v>
      </c>
      <c r="E378" t="s">
        <v>1158</v>
      </c>
      <c r="F378">
        <v>4</v>
      </c>
      <c r="G378" t="s">
        <v>675</v>
      </c>
      <c r="H378">
        <v>1</v>
      </c>
      <c r="I378" t="s">
        <v>1523</v>
      </c>
      <c r="J378">
        <v>3</v>
      </c>
      <c r="K378" t="s">
        <v>980</v>
      </c>
      <c r="L378">
        <v>5</v>
      </c>
      <c r="M378" t="s">
        <v>949</v>
      </c>
      <c r="N378">
        <v>5</v>
      </c>
      <c r="O378">
        <v>70.8</v>
      </c>
      <c r="P378">
        <v>5</v>
      </c>
      <c r="Q378" t="s">
        <v>1112</v>
      </c>
      <c r="R378">
        <v>3</v>
      </c>
      <c r="S378" t="s">
        <v>984</v>
      </c>
      <c r="T378">
        <v>2</v>
      </c>
      <c r="U378" t="s">
        <v>940</v>
      </c>
      <c r="V378">
        <v>3</v>
      </c>
      <c r="W378" t="s">
        <v>1148</v>
      </c>
      <c r="X378">
        <v>2</v>
      </c>
      <c r="Y378" t="s">
        <v>1001</v>
      </c>
      <c r="Z378">
        <v>2</v>
      </c>
    </row>
    <row r="379" spans="1:26" x14ac:dyDescent="0.4">
      <c r="A379" t="s">
        <v>547</v>
      </c>
      <c r="B379" t="s">
        <v>729</v>
      </c>
      <c r="C379" t="s">
        <v>17</v>
      </c>
      <c r="D379">
        <v>3.88</v>
      </c>
      <c r="E379" t="s">
        <v>1524</v>
      </c>
      <c r="F379">
        <v>5</v>
      </c>
      <c r="G379" t="s">
        <v>1044</v>
      </c>
      <c r="H379">
        <v>1</v>
      </c>
      <c r="I379" t="s">
        <v>621</v>
      </c>
      <c r="J379">
        <v>5</v>
      </c>
      <c r="K379" t="s">
        <v>1164</v>
      </c>
      <c r="L379">
        <v>5</v>
      </c>
      <c r="M379" t="s">
        <v>892</v>
      </c>
      <c r="N379">
        <v>5</v>
      </c>
      <c r="O379">
        <v>73.599999999999994</v>
      </c>
      <c r="P379">
        <v>5</v>
      </c>
      <c r="Q379" t="s">
        <v>906</v>
      </c>
      <c r="R379">
        <v>1</v>
      </c>
      <c r="S379" t="s">
        <v>845</v>
      </c>
      <c r="T379">
        <v>3</v>
      </c>
      <c r="U379" t="s">
        <v>1143</v>
      </c>
      <c r="V379">
        <v>4</v>
      </c>
      <c r="W379" t="s">
        <v>1079</v>
      </c>
      <c r="X379">
        <v>3</v>
      </c>
      <c r="Y379" t="s">
        <v>1188</v>
      </c>
      <c r="Z379">
        <v>4</v>
      </c>
    </row>
    <row r="380" spans="1:26" x14ac:dyDescent="0.4">
      <c r="A380" t="s">
        <v>559</v>
      </c>
      <c r="B380" t="s">
        <v>737</v>
      </c>
      <c r="C380" t="s">
        <v>256</v>
      </c>
      <c r="D380">
        <v>2.91</v>
      </c>
      <c r="E380" t="s">
        <v>1389</v>
      </c>
      <c r="F380">
        <v>5</v>
      </c>
      <c r="G380" t="s">
        <v>1083</v>
      </c>
      <c r="H380">
        <v>1</v>
      </c>
      <c r="I380" t="s">
        <v>1035</v>
      </c>
      <c r="J380">
        <v>5</v>
      </c>
      <c r="K380" t="s">
        <v>952</v>
      </c>
      <c r="L380">
        <v>4</v>
      </c>
      <c r="M380" t="s">
        <v>1428</v>
      </c>
      <c r="N380">
        <v>5</v>
      </c>
      <c r="O380">
        <v>52.8</v>
      </c>
      <c r="P380">
        <v>1</v>
      </c>
      <c r="Q380" t="s">
        <v>895</v>
      </c>
      <c r="R380">
        <v>2</v>
      </c>
      <c r="S380" t="s">
        <v>1295</v>
      </c>
      <c r="T380">
        <v>2</v>
      </c>
      <c r="U380" t="s">
        <v>1015</v>
      </c>
      <c r="V380">
        <v>1</v>
      </c>
      <c r="W380" t="s">
        <v>917</v>
      </c>
      <c r="X380">
        <v>4</v>
      </c>
      <c r="Y380" t="s">
        <v>895</v>
      </c>
      <c r="Z380">
        <v>1</v>
      </c>
    </row>
    <row r="381" spans="1:26" x14ac:dyDescent="0.4">
      <c r="A381" t="s">
        <v>569</v>
      </c>
      <c r="B381" t="s">
        <v>747</v>
      </c>
      <c r="C381" t="s">
        <v>354</v>
      </c>
      <c r="D381">
        <v>2.57</v>
      </c>
      <c r="E381" t="s">
        <v>1525</v>
      </c>
      <c r="F381">
        <v>2</v>
      </c>
      <c r="G381" t="s">
        <v>876</v>
      </c>
      <c r="H381">
        <v>2</v>
      </c>
      <c r="I381" t="s">
        <v>1356</v>
      </c>
      <c r="J381">
        <v>2</v>
      </c>
      <c r="K381" t="s">
        <v>1013</v>
      </c>
      <c r="L381">
        <v>2</v>
      </c>
      <c r="M381" t="s">
        <v>1190</v>
      </c>
      <c r="N381">
        <v>4</v>
      </c>
      <c r="O381">
        <v>67.900000000000006</v>
      </c>
      <c r="P381">
        <v>4</v>
      </c>
      <c r="Q381" t="s">
        <v>562</v>
      </c>
      <c r="R381">
        <v>4</v>
      </c>
      <c r="S381" t="s">
        <v>875</v>
      </c>
      <c r="T381">
        <v>2</v>
      </c>
      <c r="U381" t="s">
        <v>1059</v>
      </c>
      <c r="V381">
        <v>3</v>
      </c>
      <c r="W381" t="s">
        <v>1013</v>
      </c>
      <c r="X381">
        <v>1</v>
      </c>
      <c r="Y381" t="s">
        <v>867</v>
      </c>
      <c r="Z381">
        <v>2</v>
      </c>
    </row>
    <row r="382" spans="1:26" x14ac:dyDescent="0.4">
      <c r="A382" t="s">
        <v>581</v>
      </c>
      <c r="B382" t="s">
        <v>758</v>
      </c>
      <c r="C382" t="s">
        <v>130</v>
      </c>
      <c r="D382">
        <v>3.29</v>
      </c>
      <c r="E382" t="s">
        <v>1526</v>
      </c>
      <c r="F382">
        <v>5</v>
      </c>
      <c r="G382" t="s">
        <v>704</v>
      </c>
      <c r="H382">
        <v>4</v>
      </c>
      <c r="I382" t="s">
        <v>1092</v>
      </c>
      <c r="J382">
        <v>4</v>
      </c>
      <c r="K382" t="s">
        <v>843</v>
      </c>
      <c r="L382">
        <v>2</v>
      </c>
      <c r="M382" t="s">
        <v>1068</v>
      </c>
      <c r="N382">
        <v>5</v>
      </c>
      <c r="O382">
        <v>66.5</v>
      </c>
      <c r="P382">
        <v>4</v>
      </c>
      <c r="Q382" t="s">
        <v>620</v>
      </c>
      <c r="R382">
        <v>2</v>
      </c>
      <c r="S382" t="s">
        <v>854</v>
      </c>
      <c r="T382">
        <v>2</v>
      </c>
      <c r="U382" t="s">
        <v>1103</v>
      </c>
      <c r="V382">
        <v>3</v>
      </c>
      <c r="W382" t="s">
        <v>665</v>
      </c>
      <c r="X382">
        <v>3</v>
      </c>
      <c r="Y382" t="s">
        <v>1009</v>
      </c>
      <c r="Z382">
        <v>1</v>
      </c>
    </row>
    <row r="383" spans="1:26" x14ac:dyDescent="0.4">
      <c r="A383" t="s">
        <v>593</v>
      </c>
      <c r="B383" t="s">
        <v>766</v>
      </c>
      <c r="C383" t="s">
        <v>184</v>
      </c>
      <c r="D383">
        <v>3.11</v>
      </c>
      <c r="E383" t="s">
        <v>1527</v>
      </c>
      <c r="F383">
        <v>5</v>
      </c>
      <c r="G383" t="s">
        <v>1225</v>
      </c>
      <c r="H383">
        <v>1</v>
      </c>
      <c r="I383" t="s">
        <v>1026</v>
      </c>
      <c r="J383">
        <v>5</v>
      </c>
      <c r="K383" t="s">
        <v>1104</v>
      </c>
      <c r="L383">
        <v>1</v>
      </c>
      <c r="M383" t="s">
        <v>1096</v>
      </c>
      <c r="N383">
        <v>5</v>
      </c>
      <c r="O383">
        <v>76.5</v>
      </c>
      <c r="P383">
        <v>5</v>
      </c>
      <c r="Q383" t="s">
        <v>633</v>
      </c>
      <c r="R383">
        <v>3</v>
      </c>
      <c r="S383" t="s">
        <v>966</v>
      </c>
      <c r="T383">
        <v>1</v>
      </c>
      <c r="U383" t="s">
        <v>642</v>
      </c>
      <c r="V383">
        <v>2</v>
      </c>
      <c r="W383" t="s">
        <v>872</v>
      </c>
      <c r="X383">
        <v>2</v>
      </c>
      <c r="Y383" t="s">
        <v>644</v>
      </c>
      <c r="Z383">
        <v>4</v>
      </c>
    </row>
    <row r="384" spans="1:26" x14ac:dyDescent="0.4">
      <c r="A384" t="s">
        <v>605</v>
      </c>
      <c r="B384" t="s">
        <v>776</v>
      </c>
      <c r="C384" t="s">
        <v>350</v>
      </c>
      <c r="D384">
        <v>2.59</v>
      </c>
      <c r="E384" t="s">
        <v>1267</v>
      </c>
      <c r="F384">
        <v>2</v>
      </c>
      <c r="G384" t="s">
        <v>683</v>
      </c>
      <c r="H384">
        <v>5</v>
      </c>
      <c r="I384" t="s">
        <v>842</v>
      </c>
      <c r="J384">
        <v>4</v>
      </c>
      <c r="K384" t="s">
        <v>950</v>
      </c>
      <c r="L384">
        <v>3</v>
      </c>
      <c r="M384" t="s">
        <v>994</v>
      </c>
      <c r="N384">
        <v>1</v>
      </c>
      <c r="O384">
        <v>57.5</v>
      </c>
      <c r="P384">
        <v>2</v>
      </c>
      <c r="Q384" t="s">
        <v>874</v>
      </c>
      <c r="R384">
        <v>5</v>
      </c>
      <c r="S384" t="s">
        <v>875</v>
      </c>
      <c r="T384">
        <v>2</v>
      </c>
      <c r="U384" t="s">
        <v>664</v>
      </c>
      <c r="V384">
        <v>3</v>
      </c>
      <c r="W384" t="s">
        <v>1086</v>
      </c>
      <c r="X384">
        <v>2</v>
      </c>
      <c r="Y384" t="s">
        <v>854</v>
      </c>
      <c r="Z384">
        <v>1</v>
      </c>
    </row>
    <row r="385" spans="1:26" x14ac:dyDescent="0.4">
      <c r="A385" t="s">
        <v>617</v>
      </c>
      <c r="B385" t="s">
        <v>786</v>
      </c>
      <c r="C385" t="s">
        <v>271</v>
      </c>
      <c r="D385">
        <v>2.88</v>
      </c>
      <c r="E385" t="s">
        <v>1528</v>
      </c>
      <c r="F385">
        <v>5</v>
      </c>
      <c r="G385" t="s">
        <v>1223</v>
      </c>
      <c r="H385">
        <v>4</v>
      </c>
      <c r="I385" t="s">
        <v>1087</v>
      </c>
      <c r="J385">
        <v>1</v>
      </c>
      <c r="K385" t="s">
        <v>1292</v>
      </c>
      <c r="L385">
        <v>3</v>
      </c>
      <c r="M385" t="s">
        <v>1139</v>
      </c>
      <c r="N385">
        <v>2</v>
      </c>
      <c r="O385">
        <v>65.3</v>
      </c>
      <c r="P385">
        <v>4</v>
      </c>
      <c r="Q385" t="s">
        <v>1170</v>
      </c>
      <c r="R385">
        <v>3</v>
      </c>
      <c r="S385" t="s">
        <v>985</v>
      </c>
      <c r="T385">
        <v>3</v>
      </c>
      <c r="U385" t="s">
        <v>1173</v>
      </c>
      <c r="V385">
        <v>2</v>
      </c>
      <c r="W385" t="s">
        <v>853</v>
      </c>
      <c r="X385">
        <v>2</v>
      </c>
      <c r="Y385" t="s">
        <v>1096</v>
      </c>
      <c r="Z385">
        <v>2</v>
      </c>
    </row>
    <row r="386" spans="1:26" x14ac:dyDescent="0.4">
      <c r="A386" t="s">
        <v>627</v>
      </c>
      <c r="B386" t="s">
        <v>797</v>
      </c>
      <c r="C386" t="s">
        <v>266</v>
      </c>
      <c r="D386">
        <v>2.89</v>
      </c>
      <c r="E386" t="s">
        <v>1529</v>
      </c>
      <c r="F386">
        <v>4</v>
      </c>
      <c r="G386" t="s">
        <v>654</v>
      </c>
      <c r="H386">
        <v>1</v>
      </c>
      <c r="I386" t="s">
        <v>1195</v>
      </c>
      <c r="J386">
        <v>4</v>
      </c>
      <c r="K386" t="s">
        <v>994</v>
      </c>
      <c r="L386">
        <v>1</v>
      </c>
      <c r="M386" t="s">
        <v>598</v>
      </c>
      <c r="N386">
        <v>5</v>
      </c>
      <c r="O386">
        <v>63.1</v>
      </c>
      <c r="P386">
        <v>3</v>
      </c>
      <c r="Q386" t="s">
        <v>744</v>
      </c>
      <c r="R386">
        <v>1</v>
      </c>
      <c r="S386" t="s">
        <v>1161</v>
      </c>
      <c r="T386">
        <v>2</v>
      </c>
      <c r="U386" t="s">
        <v>892</v>
      </c>
      <c r="V386">
        <v>2</v>
      </c>
      <c r="W386" t="s">
        <v>803</v>
      </c>
      <c r="X386">
        <v>3</v>
      </c>
      <c r="Y386" t="s">
        <v>1143</v>
      </c>
      <c r="Z386">
        <v>5</v>
      </c>
    </row>
    <row r="387" spans="1:26" x14ac:dyDescent="0.4">
      <c r="A387" t="s">
        <v>637</v>
      </c>
      <c r="B387" t="s">
        <v>805</v>
      </c>
      <c r="C387" t="s">
        <v>414</v>
      </c>
      <c r="D387">
        <v>2.11</v>
      </c>
      <c r="E387" t="s">
        <v>1007</v>
      </c>
      <c r="F387">
        <v>3</v>
      </c>
      <c r="G387" t="s">
        <v>1016</v>
      </c>
      <c r="H387">
        <v>1</v>
      </c>
      <c r="I387" t="s">
        <v>1520</v>
      </c>
      <c r="J387">
        <v>2</v>
      </c>
      <c r="K387" t="s">
        <v>1295</v>
      </c>
      <c r="L387">
        <v>5</v>
      </c>
      <c r="M387" t="s">
        <v>963</v>
      </c>
      <c r="N387">
        <v>1</v>
      </c>
      <c r="O387">
        <v>62.1</v>
      </c>
      <c r="P387">
        <v>3</v>
      </c>
      <c r="Q387" t="s">
        <v>986</v>
      </c>
      <c r="R387">
        <v>1</v>
      </c>
      <c r="S387" t="s">
        <v>745</v>
      </c>
      <c r="T387">
        <v>2</v>
      </c>
      <c r="U387" t="s">
        <v>625</v>
      </c>
      <c r="V387">
        <v>2</v>
      </c>
      <c r="W387" t="s">
        <v>885</v>
      </c>
      <c r="X387">
        <v>1</v>
      </c>
      <c r="Y387" t="s">
        <v>800</v>
      </c>
      <c r="Z387">
        <v>1</v>
      </c>
    </row>
    <row r="388" spans="1:26" x14ac:dyDescent="0.4">
      <c r="A388" t="s">
        <v>648</v>
      </c>
      <c r="B388" t="s">
        <v>815</v>
      </c>
      <c r="C388" t="s">
        <v>311</v>
      </c>
      <c r="D388">
        <v>2.73</v>
      </c>
      <c r="E388" t="s">
        <v>1530</v>
      </c>
      <c r="F388">
        <v>1</v>
      </c>
      <c r="G388" t="s">
        <v>1428</v>
      </c>
      <c r="H388">
        <v>1</v>
      </c>
      <c r="I388" t="s">
        <v>983</v>
      </c>
      <c r="J388">
        <v>3</v>
      </c>
      <c r="K388" t="s">
        <v>1253</v>
      </c>
      <c r="L388">
        <v>5</v>
      </c>
      <c r="M388" t="s">
        <v>1247</v>
      </c>
      <c r="N388">
        <v>4</v>
      </c>
      <c r="O388">
        <v>60.7</v>
      </c>
      <c r="P388">
        <v>2</v>
      </c>
      <c r="Q388" t="s">
        <v>1022</v>
      </c>
      <c r="R388">
        <v>2</v>
      </c>
      <c r="S388" t="s">
        <v>907</v>
      </c>
      <c r="T388">
        <v>2</v>
      </c>
      <c r="U388" t="s">
        <v>847</v>
      </c>
      <c r="V388">
        <v>2</v>
      </c>
      <c r="W388" t="s">
        <v>904</v>
      </c>
      <c r="X388">
        <v>5</v>
      </c>
      <c r="Y388" t="s">
        <v>1363</v>
      </c>
      <c r="Z388">
        <v>1</v>
      </c>
    </row>
    <row r="389" spans="1:26" x14ac:dyDescent="0.4">
      <c r="A389" t="s">
        <v>658</v>
      </c>
      <c r="B389" t="s">
        <v>823</v>
      </c>
      <c r="C389" t="s">
        <v>257</v>
      </c>
      <c r="D389">
        <v>2.91</v>
      </c>
      <c r="E389" t="s">
        <v>1226</v>
      </c>
      <c r="F389">
        <v>5</v>
      </c>
      <c r="G389" t="s">
        <v>646</v>
      </c>
      <c r="H389">
        <v>1</v>
      </c>
      <c r="I389" t="s">
        <v>1425</v>
      </c>
      <c r="J389">
        <v>4</v>
      </c>
      <c r="K389" t="s">
        <v>660</v>
      </c>
      <c r="L389">
        <v>4</v>
      </c>
      <c r="M389" t="s">
        <v>713</v>
      </c>
      <c r="N389">
        <v>4</v>
      </c>
      <c r="O389">
        <v>63.9</v>
      </c>
      <c r="P389">
        <v>3</v>
      </c>
      <c r="Q389" t="s">
        <v>1428</v>
      </c>
      <c r="R389">
        <v>2</v>
      </c>
      <c r="S389" t="s">
        <v>574</v>
      </c>
      <c r="T389">
        <v>2</v>
      </c>
      <c r="U389" t="s">
        <v>820</v>
      </c>
      <c r="V389">
        <v>2</v>
      </c>
      <c r="W389" t="s">
        <v>743</v>
      </c>
      <c r="X389">
        <v>2</v>
      </c>
      <c r="Y389" t="s">
        <v>1023</v>
      </c>
      <c r="Z389">
        <v>2</v>
      </c>
    </row>
    <row r="390" spans="1:26" x14ac:dyDescent="0.4">
      <c r="A390" t="s">
        <v>668</v>
      </c>
      <c r="B390" t="s">
        <v>832</v>
      </c>
      <c r="C390" t="s">
        <v>136</v>
      </c>
      <c r="D390">
        <v>3.27</v>
      </c>
      <c r="E390" t="s">
        <v>1531</v>
      </c>
      <c r="F390">
        <v>5</v>
      </c>
      <c r="G390" t="s">
        <v>1156</v>
      </c>
      <c r="H390">
        <v>2</v>
      </c>
      <c r="I390" t="s">
        <v>691</v>
      </c>
      <c r="J390">
        <v>2</v>
      </c>
      <c r="K390" t="s">
        <v>1154</v>
      </c>
      <c r="L390">
        <v>5</v>
      </c>
      <c r="M390" t="s">
        <v>741</v>
      </c>
      <c r="N390">
        <v>5</v>
      </c>
      <c r="O390">
        <v>71.3</v>
      </c>
      <c r="P390">
        <v>5</v>
      </c>
      <c r="Q390" t="s">
        <v>1090</v>
      </c>
      <c r="R390">
        <v>2</v>
      </c>
      <c r="S390" t="s">
        <v>772</v>
      </c>
      <c r="T390">
        <v>3</v>
      </c>
      <c r="U390" t="s">
        <v>1238</v>
      </c>
      <c r="V390">
        <v>2</v>
      </c>
      <c r="W390" t="s">
        <v>1002</v>
      </c>
      <c r="X390">
        <v>1</v>
      </c>
      <c r="Y390" t="s">
        <v>744</v>
      </c>
      <c r="Z390">
        <v>1</v>
      </c>
    </row>
    <row r="391" spans="1:26" x14ac:dyDescent="0.4">
      <c r="A391" t="s">
        <v>678</v>
      </c>
      <c r="B391" t="s">
        <v>840</v>
      </c>
      <c r="C391" t="s">
        <v>72</v>
      </c>
      <c r="D391">
        <v>3.53</v>
      </c>
      <c r="E391" t="s">
        <v>1379</v>
      </c>
      <c r="F391">
        <v>5</v>
      </c>
      <c r="G391" t="s">
        <v>568</v>
      </c>
      <c r="H391">
        <v>1</v>
      </c>
      <c r="I391" t="s">
        <v>551</v>
      </c>
      <c r="J391">
        <v>5</v>
      </c>
      <c r="K391" t="s">
        <v>846</v>
      </c>
      <c r="L391">
        <v>4</v>
      </c>
      <c r="M391" t="s">
        <v>838</v>
      </c>
      <c r="N391">
        <v>5</v>
      </c>
      <c r="O391">
        <v>62.4</v>
      </c>
      <c r="P391">
        <v>3</v>
      </c>
      <c r="Q391" t="s">
        <v>924</v>
      </c>
      <c r="R391">
        <v>3</v>
      </c>
      <c r="S391" t="s">
        <v>875</v>
      </c>
      <c r="T391">
        <v>2</v>
      </c>
      <c r="U391" t="s">
        <v>1079</v>
      </c>
      <c r="V391">
        <v>2</v>
      </c>
      <c r="W391" t="s">
        <v>684</v>
      </c>
      <c r="X391">
        <v>5</v>
      </c>
      <c r="Y391" t="s">
        <v>829</v>
      </c>
      <c r="Z391">
        <v>3</v>
      </c>
    </row>
    <row r="392" spans="1:26" x14ac:dyDescent="0.4">
      <c r="A392" t="s">
        <v>687</v>
      </c>
      <c r="B392" t="s">
        <v>849</v>
      </c>
      <c r="C392" t="s">
        <v>309</v>
      </c>
      <c r="D392">
        <v>2.74</v>
      </c>
      <c r="E392" t="s">
        <v>1532</v>
      </c>
      <c r="F392">
        <v>2</v>
      </c>
      <c r="G392" t="s">
        <v>784</v>
      </c>
      <c r="H392">
        <v>4</v>
      </c>
      <c r="I392" t="s">
        <v>928</v>
      </c>
      <c r="J392">
        <v>4</v>
      </c>
      <c r="K392" t="s">
        <v>1002</v>
      </c>
      <c r="L392">
        <v>2</v>
      </c>
      <c r="M392" t="s">
        <v>1063</v>
      </c>
      <c r="N392">
        <v>2</v>
      </c>
      <c r="O392">
        <v>70.8</v>
      </c>
      <c r="P392">
        <v>5</v>
      </c>
      <c r="Q392" t="s">
        <v>1137</v>
      </c>
      <c r="R392">
        <v>4</v>
      </c>
      <c r="S392" t="s">
        <v>732</v>
      </c>
      <c r="T392">
        <v>3</v>
      </c>
      <c r="U392" t="s">
        <v>611</v>
      </c>
      <c r="V392">
        <v>2</v>
      </c>
      <c r="W392" t="s">
        <v>754</v>
      </c>
      <c r="X392">
        <v>2</v>
      </c>
      <c r="Y392" t="s">
        <v>1016</v>
      </c>
      <c r="Z392">
        <v>1</v>
      </c>
    </row>
    <row r="393" spans="1:26" x14ac:dyDescent="0.4">
      <c r="A393" t="s">
        <v>698</v>
      </c>
      <c r="B393" t="s">
        <v>858</v>
      </c>
      <c r="C393" t="s">
        <v>376</v>
      </c>
      <c r="D393">
        <v>2.44</v>
      </c>
      <c r="E393" t="s">
        <v>1229</v>
      </c>
      <c r="F393">
        <v>5</v>
      </c>
      <c r="G393" t="s">
        <v>1086</v>
      </c>
      <c r="H393">
        <v>1</v>
      </c>
      <c r="I393" t="s">
        <v>1342</v>
      </c>
      <c r="J393">
        <v>4</v>
      </c>
      <c r="K393" t="s">
        <v>956</v>
      </c>
      <c r="L393">
        <v>2</v>
      </c>
      <c r="M393" t="s">
        <v>1002</v>
      </c>
      <c r="N393">
        <v>2</v>
      </c>
      <c r="O393">
        <v>62.5</v>
      </c>
      <c r="P393">
        <v>3</v>
      </c>
      <c r="Q393" t="s">
        <v>1111</v>
      </c>
      <c r="R393">
        <v>2</v>
      </c>
      <c r="S393" t="s">
        <v>1277</v>
      </c>
      <c r="T393">
        <v>2</v>
      </c>
      <c r="U393" t="s">
        <v>1194</v>
      </c>
      <c r="V393">
        <v>2</v>
      </c>
      <c r="W393" t="s">
        <v>756</v>
      </c>
      <c r="X393">
        <v>3</v>
      </c>
      <c r="Y393" t="s">
        <v>1023</v>
      </c>
      <c r="Z393">
        <v>2</v>
      </c>
    </row>
    <row r="394" spans="1:26" x14ac:dyDescent="0.4">
      <c r="A394" t="s">
        <v>706</v>
      </c>
      <c r="B394" t="s">
        <v>865</v>
      </c>
      <c r="C394" t="s">
        <v>157</v>
      </c>
      <c r="D394">
        <v>3.21</v>
      </c>
      <c r="E394" t="s">
        <v>1533</v>
      </c>
      <c r="F394">
        <v>5</v>
      </c>
      <c r="G394" t="s">
        <v>886</v>
      </c>
      <c r="H394">
        <v>1</v>
      </c>
      <c r="I394" t="s">
        <v>621</v>
      </c>
      <c r="J394">
        <v>5</v>
      </c>
      <c r="K394" t="s">
        <v>1039</v>
      </c>
      <c r="L394">
        <v>4</v>
      </c>
      <c r="M394" t="s">
        <v>1360</v>
      </c>
      <c r="N394">
        <v>5</v>
      </c>
      <c r="O394">
        <v>63.1</v>
      </c>
      <c r="P394">
        <v>3</v>
      </c>
      <c r="Q394" t="s">
        <v>640</v>
      </c>
      <c r="R394">
        <v>4</v>
      </c>
      <c r="S394" t="s">
        <v>614</v>
      </c>
      <c r="T394">
        <v>2</v>
      </c>
      <c r="U394" t="s">
        <v>868</v>
      </c>
      <c r="V394">
        <v>2</v>
      </c>
      <c r="W394" t="s">
        <v>1082</v>
      </c>
      <c r="X394">
        <v>2</v>
      </c>
      <c r="Y394" t="s">
        <v>1228</v>
      </c>
      <c r="Z394">
        <v>2</v>
      </c>
    </row>
    <row r="395" spans="1:26" x14ac:dyDescent="0.4">
      <c r="A395" t="s">
        <v>716</v>
      </c>
      <c r="B395" t="s">
        <v>870</v>
      </c>
      <c r="C395" t="s">
        <v>358</v>
      </c>
      <c r="D395">
        <v>2.5499999999999998</v>
      </c>
      <c r="E395" t="s">
        <v>1466</v>
      </c>
      <c r="F395">
        <v>4</v>
      </c>
      <c r="G395" t="s">
        <v>844</v>
      </c>
      <c r="H395">
        <v>1</v>
      </c>
      <c r="I395" t="s">
        <v>1262</v>
      </c>
      <c r="J395">
        <v>2</v>
      </c>
      <c r="K395" t="s">
        <v>819</v>
      </c>
      <c r="L395">
        <v>1</v>
      </c>
      <c r="M395" t="s">
        <v>818</v>
      </c>
      <c r="N395">
        <v>3</v>
      </c>
      <c r="O395">
        <v>76.400000000000006</v>
      </c>
      <c r="P395">
        <v>5</v>
      </c>
      <c r="Q395" t="s">
        <v>677</v>
      </c>
      <c r="R395">
        <v>2</v>
      </c>
      <c r="S395" t="s">
        <v>1140</v>
      </c>
      <c r="T395">
        <v>2</v>
      </c>
      <c r="U395" t="s">
        <v>1140</v>
      </c>
      <c r="V395">
        <v>2</v>
      </c>
      <c r="W395" t="s">
        <v>1106</v>
      </c>
      <c r="X395">
        <v>4</v>
      </c>
      <c r="Y395" t="s">
        <v>893</v>
      </c>
      <c r="Z395">
        <v>2</v>
      </c>
    </row>
    <row r="396" spans="1:26" x14ac:dyDescent="0.4">
      <c r="A396" t="s">
        <v>728</v>
      </c>
      <c r="B396" t="s">
        <v>879</v>
      </c>
      <c r="C396" t="s">
        <v>388</v>
      </c>
      <c r="D396">
        <v>2.36</v>
      </c>
      <c r="E396" t="s">
        <v>1534</v>
      </c>
      <c r="F396">
        <v>4</v>
      </c>
      <c r="G396" t="s">
        <v>1351</v>
      </c>
      <c r="H396">
        <v>1</v>
      </c>
      <c r="I396" t="s">
        <v>621</v>
      </c>
      <c r="J396">
        <v>5</v>
      </c>
      <c r="K396" t="s">
        <v>1045</v>
      </c>
      <c r="L396">
        <v>3</v>
      </c>
      <c r="M396" t="s">
        <v>1038</v>
      </c>
      <c r="N396">
        <v>1</v>
      </c>
      <c r="O396">
        <v>53.7</v>
      </c>
      <c r="P396">
        <v>1</v>
      </c>
      <c r="Q396" t="s">
        <v>1057</v>
      </c>
      <c r="R396">
        <v>1</v>
      </c>
      <c r="S396" t="s">
        <v>1076</v>
      </c>
      <c r="T396">
        <v>1</v>
      </c>
      <c r="U396" t="s">
        <v>1106</v>
      </c>
      <c r="V396">
        <v>3</v>
      </c>
      <c r="W396" t="s">
        <v>1256</v>
      </c>
      <c r="X396">
        <v>3</v>
      </c>
      <c r="Y396" t="s">
        <v>562</v>
      </c>
      <c r="Z396">
        <v>4</v>
      </c>
    </row>
    <row r="397" spans="1:26" x14ac:dyDescent="0.4">
      <c r="A397" t="s">
        <v>736</v>
      </c>
      <c r="B397" t="s">
        <v>887</v>
      </c>
      <c r="C397" t="s">
        <v>168</v>
      </c>
      <c r="D397">
        <v>3.17</v>
      </c>
      <c r="E397" t="s">
        <v>777</v>
      </c>
      <c r="F397">
        <v>2</v>
      </c>
      <c r="G397" t="s">
        <v>1188</v>
      </c>
      <c r="H397">
        <v>5</v>
      </c>
      <c r="I397" t="s">
        <v>621</v>
      </c>
      <c r="J397">
        <v>5</v>
      </c>
      <c r="K397" t="s">
        <v>1134</v>
      </c>
      <c r="L397">
        <v>5</v>
      </c>
      <c r="M397" t="s">
        <v>749</v>
      </c>
      <c r="N397">
        <v>4</v>
      </c>
      <c r="O397">
        <v>56.8</v>
      </c>
      <c r="P397">
        <v>1</v>
      </c>
      <c r="Q397" t="s">
        <v>1041</v>
      </c>
      <c r="R397">
        <v>2</v>
      </c>
      <c r="S397" t="s">
        <v>1103</v>
      </c>
      <c r="T397">
        <v>3</v>
      </c>
      <c r="U397" t="s">
        <v>752</v>
      </c>
      <c r="V397">
        <v>5</v>
      </c>
      <c r="W397" t="s">
        <v>567</v>
      </c>
      <c r="X397">
        <v>1</v>
      </c>
      <c r="Y397" t="s">
        <v>826</v>
      </c>
      <c r="Z397">
        <v>1</v>
      </c>
    </row>
    <row r="398" spans="1:26" x14ac:dyDescent="0.4">
      <c r="A398" t="s">
        <v>746</v>
      </c>
      <c r="B398" t="s">
        <v>896</v>
      </c>
      <c r="C398" t="s">
        <v>402</v>
      </c>
      <c r="D398">
        <v>2.2400000000000002</v>
      </c>
      <c r="E398" t="s">
        <v>1535</v>
      </c>
      <c r="F398">
        <v>4</v>
      </c>
      <c r="G398" t="s">
        <v>950</v>
      </c>
      <c r="H398">
        <v>1</v>
      </c>
      <c r="I398" t="s">
        <v>1195</v>
      </c>
      <c r="J398">
        <v>4</v>
      </c>
      <c r="K398" t="s">
        <v>966</v>
      </c>
      <c r="L398">
        <v>1</v>
      </c>
      <c r="M398" t="s">
        <v>1063</v>
      </c>
      <c r="N398">
        <v>2</v>
      </c>
      <c r="O398">
        <v>61.3</v>
      </c>
      <c r="P398">
        <v>3</v>
      </c>
      <c r="Q398" t="s">
        <v>821</v>
      </c>
      <c r="R398">
        <v>3</v>
      </c>
      <c r="S398" t="s">
        <v>916</v>
      </c>
      <c r="T398">
        <v>2</v>
      </c>
      <c r="U398" t="s">
        <v>942</v>
      </c>
      <c r="V398">
        <v>3</v>
      </c>
      <c r="W398" t="s">
        <v>675</v>
      </c>
      <c r="X398">
        <v>2</v>
      </c>
      <c r="Y398" t="s">
        <v>788</v>
      </c>
      <c r="Z398">
        <v>2</v>
      </c>
    </row>
    <row r="399" spans="1:26" x14ac:dyDescent="0.4">
      <c r="A399" t="s">
        <v>757</v>
      </c>
      <c r="B399" t="s">
        <v>901</v>
      </c>
      <c r="C399" t="s">
        <v>172</v>
      </c>
      <c r="D399">
        <v>3.16</v>
      </c>
      <c r="E399" t="s">
        <v>1536</v>
      </c>
      <c r="F399">
        <v>5</v>
      </c>
      <c r="G399" t="s">
        <v>642</v>
      </c>
      <c r="H399">
        <v>1</v>
      </c>
      <c r="I399" t="s">
        <v>1195</v>
      </c>
      <c r="J399">
        <v>4</v>
      </c>
      <c r="K399" t="s">
        <v>792</v>
      </c>
      <c r="L399">
        <v>5</v>
      </c>
      <c r="M399" t="s">
        <v>719</v>
      </c>
      <c r="N399">
        <v>5</v>
      </c>
      <c r="O399">
        <v>65.5</v>
      </c>
      <c r="P399">
        <v>4</v>
      </c>
      <c r="Q399" t="s">
        <v>914</v>
      </c>
      <c r="R399">
        <v>1</v>
      </c>
      <c r="S399" t="s">
        <v>997</v>
      </c>
      <c r="T399">
        <v>2</v>
      </c>
      <c r="U399" t="s">
        <v>1009</v>
      </c>
      <c r="V399">
        <v>2</v>
      </c>
      <c r="W399" t="s">
        <v>651</v>
      </c>
      <c r="X399">
        <v>1</v>
      </c>
      <c r="Y399" t="s">
        <v>1215</v>
      </c>
      <c r="Z399">
        <v>2</v>
      </c>
    </row>
    <row r="400" spans="1:26" x14ac:dyDescent="0.4">
      <c r="A400" t="s">
        <v>765</v>
      </c>
      <c r="B400" t="s">
        <v>909</v>
      </c>
      <c r="C400" t="s">
        <v>315</v>
      </c>
      <c r="D400">
        <v>2.72</v>
      </c>
      <c r="E400" t="s">
        <v>1537</v>
      </c>
      <c r="F400">
        <v>1</v>
      </c>
      <c r="G400" t="s">
        <v>1202</v>
      </c>
      <c r="H400">
        <v>3</v>
      </c>
      <c r="I400" t="s">
        <v>1227</v>
      </c>
      <c r="J400">
        <v>1</v>
      </c>
      <c r="K400" t="s">
        <v>558</v>
      </c>
      <c r="L400">
        <v>5</v>
      </c>
      <c r="M400" t="s">
        <v>643</v>
      </c>
      <c r="N400">
        <v>2</v>
      </c>
      <c r="O400">
        <v>63.9</v>
      </c>
      <c r="P400">
        <v>3</v>
      </c>
      <c r="Q400" t="s">
        <v>807</v>
      </c>
      <c r="R400">
        <v>2</v>
      </c>
      <c r="S400" t="s">
        <v>920</v>
      </c>
      <c r="T400">
        <v>2</v>
      </c>
      <c r="U400" t="s">
        <v>951</v>
      </c>
      <c r="V400">
        <v>4</v>
      </c>
      <c r="W400" t="s">
        <v>953</v>
      </c>
      <c r="X400">
        <v>3</v>
      </c>
      <c r="Y400" t="s">
        <v>915</v>
      </c>
      <c r="Z400">
        <v>2</v>
      </c>
    </row>
    <row r="401" spans="1:26" x14ac:dyDescent="0.4">
      <c r="A401" t="s">
        <v>775</v>
      </c>
      <c r="B401" t="s">
        <v>918</v>
      </c>
      <c r="C401" t="s">
        <v>45</v>
      </c>
      <c r="D401">
        <v>3.72</v>
      </c>
      <c r="E401" t="s">
        <v>1303</v>
      </c>
      <c r="F401">
        <v>5</v>
      </c>
      <c r="G401" t="s">
        <v>975</v>
      </c>
      <c r="H401">
        <v>5</v>
      </c>
      <c r="I401" t="s">
        <v>1183</v>
      </c>
      <c r="J401">
        <v>2</v>
      </c>
      <c r="K401" t="s">
        <v>592</v>
      </c>
      <c r="L401">
        <v>5</v>
      </c>
      <c r="M401" t="s">
        <v>579</v>
      </c>
      <c r="N401">
        <v>5</v>
      </c>
      <c r="O401">
        <v>68.599999999999994</v>
      </c>
      <c r="P401">
        <v>4</v>
      </c>
      <c r="Q401" t="s">
        <v>610</v>
      </c>
      <c r="R401">
        <v>3</v>
      </c>
      <c r="S401" t="s">
        <v>962</v>
      </c>
      <c r="T401">
        <v>2</v>
      </c>
      <c r="U401" t="s">
        <v>916</v>
      </c>
      <c r="V401">
        <v>2</v>
      </c>
      <c r="W401" t="s">
        <v>1168</v>
      </c>
      <c r="X401">
        <v>1</v>
      </c>
      <c r="Y401" t="s">
        <v>1152</v>
      </c>
      <c r="Z401">
        <v>3</v>
      </c>
    </row>
    <row r="402" spans="1:26" x14ac:dyDescent="0.4">
      <c r="A402" t="s">
        <v>785</v>
      </c>
      <c r="B402" t="s">
        <v>548</v>
      </c>
      <c r="C402" t="s">
        <v>106</v>
      </c>
      <c r="D402">
        <v>3.36</v>
      </c>
      <c r="E402" t="s">
        <v>1538</v>
      </c>
      <c r="F402">
        <v>3</v>
      </c>
      <c r="G402" t="s">
        <v>784</v>
      </c>
      <c r="H402">
        <v>4</v>
      </c>
      <c r="I402" t="s">
        <v>1463</v>
      </c>
      <c r="J402">
        <v>3</v>
      </c>
      <c r="K402" t="s">
        <v>709</v>
      </c>
      <c r="L402">
        <v>5</v>
      </c>
      <c r="M402" t="s">
        <v>801</v>
      </c>
      <c r="N402">
        <v>4</v>
      </c>
      <c r="O402">
        <v>57.3</v>
      </c>
      <c r="P402">
        <v>2</v>
      </c>
      <c r="Q402" t="s">
        <v>590</v>
      </c>
      <c r="R402">
        <v>4</v>
      </c>
      <c r="S402" t="s">
        <v>1016</v>
      </c>
      <c r="T402">
        <v>2</v>
      </c>
      <c r="U402" t="s">
        <v>1300</v>
      </c>
      <c r="V402">
        <v>2</v>
      </c>
      <c r="W402" t="s">
        <v>998</v>
      </c>
      <c r="X402">
        <v>4</v>
      </c>
      <c r="Y402" t="s">
        <v>1154</v>
      </c>
      <c r="Z402">
        <v>2</v>
      </c>
    </row>
    <row r="403" spans="1:26" x14ac:dyDescent="0.4">
      <c r="A403" t="s">
        <v>796</v>
      </c>
      <c r="B403" t="s">
        <v>560</v>
      </c>
      <c r="C403" t="s">
        <v>196</v>
      </c>
      <c r="D403">
        <v>3.08</v>
      </c>
      <c r="E403" t="s">
        <v>1539</v>
      </c>
      <c r="F403">
        <v>3</v>
      </c>
      <c r="G403" t="s">
        <v>1119</v>
      </c>
      <c r="H403">
        <v>2</v>
      </c>
      <c r="I403" t="s">
        <v>1151</v>
      </c>
      <c r="J403">
        <v>4</v>
      </c>
      <c r="K403" t="s">
        <v>1068</v>
      </c>
      <c r="L403">
        <v>5</v>
      </c>
      <c r="M403" t="s">
        <v>1001</v>
      </c>
      <c r="N403">
        <v>5</v>
      </c>
      <c r="O403">
        <v>56.9</v>
      </c>
      <c r="P403">
        <v>1</v>
      </c>
      <c r="Q403" t="s">
        <v>998</v>
      </c>
      <c r="R403">
        <v>4</v>
      </c>
      <c r="S403" t="s">
        <v>923</v>
      </c>
      <c r="T403">
        <v>3</v>
      </c>
      <c r="U403" t="s">
        <v>654</v>
      </c>
      <c r="V403">
        <v>2</v>
      </c>
      <c r="W403" t="s">
        <v>743</v>
      </c>
      <c r="X403">
        <v>2</v>
      </c>
      <c r="Y403" t="s">
        <v>1428</v>
      </c>
      <c r="Z403">
        <v>2</v>
      </c>
    </row>
    <row r="404" spans="1:26" x14ac:dyDescent="0.4">
      <c r="A404" t="s">
        <v>804</v>
      </c>
      <c r="B404" t="s">
        <v>570</v>
      </c>
      <c r="C404" t="s">
        <v>230</v>
      </c>
      <c r="D404">
        <v>2.98</v>
      </c>
      <c r="E404" t="s">
        <v>1540</v>
      </c>
      <c r="F404">
        <v>5</v>
      </c>
      <c r="G404" t="s">
        <v>1173</v>
      </c>
      <c r="H404">
        <v>1</v>
      </c>
      <c r="I404" t="s">
        <v>881</v>
      </c>
      <c r="J404">
        <v>3</v>
      </c>
      <c r="K404" t="s">
        <v>664</v>
      </c>
      <c r="L404">
        <v>5</v>
      </c>
      <c r="M404" t="s">
        <v>1143</v>
      </c>
      <c r="N404">
        <v>5</v>
      </c>
      <c r="O404">
        <v>57.3</v>
      </c>
      <c r="P404">
        <v>2</v>
      </c>
      <c r="Q404" t="s">
        <v>1112</v>
      </c>
      <c r="R404">
        <v>3</v>
      </c>
      <c r="S404" t="s">
        <v>553</v>
      </c>
      <c r="T404">
        <v>4</v>
      </c>
      <c r="U404" t="s">
        <v>916</v>
      </c>
      <c r="V404">
        <v>2</v>
      </c>
      <c r="W404" t="s">
        <v>1257</v>
      </c>
      <c r="X404">
        <v>1</v>
      </c>
      <c r="Y404" t="s">
        <v>885</v>
      </c>
      <c r="Z404">
        <v>1</v>
      </c>
    </row>
    <row r="405" spans="1:26" x14ac:dyDescent="0.4">
      <c r="A405" t="s">
        <v>814</v>
      </c>
      <c r="B405" t="s">
        <v>582</v>
      </c>
      <c r="C405" t="s">
        <v>422</v>
      </c>
      <c r="D405">
        <v>1.82</v>
      </c>
      <c r="E405" t="s">
        <v>1541</v>
      </c>
      <c r="F405">
        <v>5</v>
      </c>
      <c r="G405" t="s">
        <v>654</v>
      </c>
      <c r="H405">
        <v>1</v>
      </c>
      <c r="I405" t="s">
        <v>1051</v>
      </c>
      <c r="J405">
        <v>2</v>
      </c>
      <c r="K405" t="s">
        <v>771</v>
      </c>
      <c r="L405">
        <v>1</v>
      </c>
      <c r="M405" t="s">
        <v>1184</v>
      </c>
      <c r="N405">
        <v>2</v>
      </c>
      <c r="O405">
        <v>53.2</v>
      </c>
      <c r="P405">
        <v>1</v>
      </c>
      <c r="Q405" t="s">
        <v>1360</v>
      </c>
      <c r="R405">
        <v>2</v>
      </c>
      <c r="S405" t="s">
        <v>1121</v>
      </c>
      <c r="T405">
        <v>3</v>
      </c>
      <c r="U405" t="s">
        <v>793</v>
      </c>
      <c r="V405">
        <v>2</v>
      </c>
      <c r="W405" t="s">
        <v>1360</v>
      </c>
      <c r="X405">
        <v>2</v>
      </c>
      <c r="Y405" t="s">
        <v>625</v>
      </c>
      <c r="Z40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405"/>
  <sheetViews>
    <sheetView view="pageBreakPreview" zoomScale="85" zoomScaleNormal="100" zoomScaleSheetLayoutView="85" workbookViewId="0">
      <pane ySplit="1" topLeftCell="A2" activePane="bottomLeft" state="frozen"/>
      <selection activeCell="C411" sqref="C411"/>
      <selection pane="bottomLeft" activeCell="R20" sqref="R20"/>
    </sheetView>
  </sheetViews>
  <sheetFormatPr defaultColWidth="8.61328125" defaultRowHeight="15.9" x14ac:dyDescent="0.45"/>
  <cols>
    <col min="2" max="2" width="16.3828125" style="16" customWidth="1"/>
    <col min="3" max="3" width="10.07421875" style="16" customWidth="1"/>
    <col min="4" max="4" width="13" customWidth="1"/>
    <col min="5" max="5" width="47.53515625" bestFit="1" customWidth="1"/>
    <col min="6" max="6" width="13.921875" customWidth="1"/>
    <col min="7" max="7" width="12.921875" customWidth="1"/>
    <col min="8" max="8" width="11.921875" bestFit="1" customWidth="1"/>
    <col min="9" max="9" width="10.07421875" customWidth="1"/>
    <col min="26" max="26" width="37.07421875" bestFit="1" customWidth="1"/>
  </cols>
  <sheetData>
    <row r="1" spans="2:26" ht="27" customHeight="1" thickTop="1" thickBot="1" x14ac:dyDescent="0.45">
      <c r="B1" s="280" t="s">
        <v>15</v>
      </c>
      <c r="C1" s="281"/>
      <c r="D1" s="281"/>
      <c r="E1" s="281"/>
      <c r="F1" s="281"/>
      <c r="G1" s="17"/>
      <c r="H1" s="8"/>
      <c r="Z1" t="s">
        <v>1542</v>
      </c>
    </row>
    <row r="2" spans="2:26" ht="19.5" customHeight="1" thickTop="1" thickBot="1" x14ac:dyDescent="0.55000000000000004">
      <c r="B2" s="283" t="str">
        <f>"Classement:"&amp;+VLOOKUP($B$1,'Restaurant Dashboard'!$C:$D,2,0)&amp;"/"&amp;+COUNT('Restaurant Dashboard'!D7:D2810)</f>
        <v>Classement:6/404</v>
      </c>
      <c r="C2" s="284"/>
      <c r="D2" s="285"/>
      <c r="E2" s="5"/>
      <c r="F2" s="6" t="s">
        <v>1</v>
      </c>
      <c r="G2" s="7" t="str">
        <f>VLOOKUP(B1,'Restaurant Base (Hidden)'!$C:$V,3,0)</f>
        <v>4,627</v>
      </c>
      <c r="H2" s="8"/>
      <c r="Z2" t="s">
        <v>1543</v>
      </c>
    </row>
    <row r="3" spans="2:26" ht="16" customHeight="1" thickTop="1" x14ac:dyDescent="0.45">
      <c r="B3" s="9"/>
      <c r="C3" s="9"/>
      <c r="D3" s="8"/>
      <c r="E3" s="74"/>
      <c r="F3" s="8"/>
      <c r="G3" s="8"/>
      <c r="H3" s="8"/>
      <c r="Z3" t="s">
        <v>1544</v>
      </c>
    </row>
    <row r="4" spans="2:26" ht="21" customHeight="1" x14ac:dyDescent="0.55000000000000004">
      <c r="B4" s="10" t="s">
        <v>4</v>
      </c>
      <c r="C4" s="287" t="s">
        <v>5</v>
      </c>
      <c r="D4" s="288"/>
      <c r="E4" s="11"/>
      <c r="F4" s="15" t="s">
        <v>7</v>
      </c>
      <c r="G4" s="15" t="s">
        <v>8</v>
      </c>
      <c r="H4" s="12" t="s">
        <v>9</v>
      </c>
      <c r="Z4" t="s">
        <v>1545</v>
      </c>
    </row>
    <row r="5" spans="2:26" s="16" customFormat="1" ht="18.899999999999999" customHeight="1" x14ac:dyDescent="0.5">
      <c r="B5" s="286" t="s">
        <v>1546</v>
      </c>
      <c r="C5" s="279">
        <v>0.4</v>
      </c>
      <c r="D5" s="41">
        <v>0.2</v>
      </c>
      <c r="E5" s="24" t="s">
        <v>1547</v>
      </c>
      <c r="F5" s="25">
        <f>+VLOOKUP($B$1,'Restaurant Base (Hidden)'!$C:$V,4,0)</f>
        <v>5</v>
      </c>
      <c r="G5" s="25">
        <f>+VLOOKUP($B$1,'Restaurant Base (Hidden)'!$C:$V,6,0)</f>
        <v>5</v>
      </c>
      <c r="H5" s="47">
        <v>0.65</v>
      </c>
      <c r="Z5" t="s">
        <v>1548</v>
      </c>
    </row>
    <row r="6" spans="2:26" s="16" customFormat="1" ht="18.899999999999999" customHeight="1" x14ac:dyDescent="0.5">
      <c r="B6" s="245"/>
      <c r="C6" s="245"/>
      <c r="D6" s="40">
        <v>0.1</v>
      </c>
      <c r="E6" s="36" t="s">
        <v>1549</v>
      </c>
      <c r="F6" s="42" t="str">
        <f>+VLOOKUP($B$1,'Restaurant Base (Hidden)'!$C:$V,7,0)</f>
        <v>0,035</v>
      </c>
      <c r="G6" s="42">
        <f>+VLOOKUP($B$1,'Restaurant Base (Hidden)'!$C:$V,8,0)</f>
        <v>5</v>
      </c>
      <c r="H6" s="42">
        <v>0.08</v>
      </c>
      <c r="Z6" t="s">
        <v>1550</v>
      </c>
    </row>
    <row r="7" spans="2:26" s="16" customFormat="1" ht="18.899999999999999" customHeight="1" x14ac:dyDescent="0.5">
      <c r="B7" s="245"/>
      <c r="C7" s="245"/>
      <c r="D7" s="41">
        <v>0.1</v>
      </c>
      <c r="E7" s="19" t="s">
        <v>441</v>
      </c>
      <c r="F7" s="25" t="str">
        <f>+VLOOKUP($B$1,'Restaurant Base (Hidden)'!$C:$V,9,0)</f>
        <v>85,20 %</v>
      </c>
      <c r="G7" s="25">
        <f>+VLOOKUP($B$1,'Restaurant Base (Hidden)'!$C:$V,10,0)</f>
        <v>5</v>
      </c>
      <c r="H7" s="25">
        <v>4.5</v>
      </c>
      <c r="Z7" t="s">
        <v>1551</v>
      </c>
    </row>
    <row r="8" spans="2:26" s="16" customFormat="1" ht="18.899999999999999" customHeight="1" x14ac:dyDescent="0.5">
      <c r="B8" s="278" t="s">
        <v>520</v>
      </c>
      <c r="C8" s="276">
        <v>0.3</v>
      </c>
      <c r="D8" s="38">
        <v>0.2</v>
      </c>
      <c r="E8" s="26" t="s">
        <v>1552</v>
      </c>
      <c r="F8" s="27" t="str">
        <f>+VLOOKUP($B$1,'Restaurant Base (Hidden)'!$C:$V,11,0)</f>
        <v>94,20 %</v>
      </c>
      <c r="G8" s="28">
        <f>+VLOOKUP($B$1,'Restaurant Base (Hidden)'!$C:$V,12,0)</f>
        <v>5</v>
      </c>
      <c r="H8" s="43">
        <v>0.86</v>
      </c>
      <c r="Z8" t="s">
        <v>1553</v>
      </c>
    </row>
    <row r="9" spans="2:26" s="16" customFormat="1" ht="18.899999999999999" customHeight="1" x14ac:dyDescent="0.5">
      <c r="B9" s="245"/>
      <c r="C9" s="245"/>
      <c r="D9" s="39">
        <v>0.1</v>
      </c>
      <c r="E9" s="29" t="s">
        <v>1554</v>
      </c>
      <c r="F9" s="30">
        <f>+VLOOKUP($B$1,'Restaurant Base (Hidden)'!$C:$V,13,0)</f>
        <v>66.5</v>
      </c>
      <c r="G9" s="31">
        <f>+VLOOKUP($B$1,'Restaurant Base (Hidden)'!$C:$V,14,0)</f>
        <v>4</v>
      </c>
      <c r="H9" s="44">
        <v>0.92</v>
      </c>
      <c r="Z9" t="s">
        <v>1555</v>
      </c>
    </row>
    <row r="10" spans="2:26" s="16" customFormat="1" ht="18.899999999999999" customHeight="1" x14ac:dyDescent="0.5">
      <c r="B10" s="277" t="s">
        <v>1556</v>
      </c>
      <c r="C10" s="282">
        <v>0.3</v>
      </c>
      <c r="D10" s="33">
        <v>0.05</v>
      </c>
      <c r="E10" s="32" t="s">
        <v>1557</v>
      </c>
      <c r="F10" s="33" t="str">
        <f>+VLOOKUP($B$1,'Restaurant Base (Hidden)'!$C:$V,15,0)</f>
        <v>91,80 %</v>
      </c>
      <c r="G10" s="34">
        <f>+VLOOKUP($B$1,'Restaurant Base (Hidden)'!$C:$V,16,0)</f>
        <v>3</v>
      </c>
      <c r="H10" s="45">
        <v>0.9</v>
      </c>
      <c r="Z10" t="s">
        <v>1558</v>
      </c>
    </row>
    <row r="11" spans="2:26" s="16" customFormat="1" ht="18.899999999999999" customHeight="1" x14ac:dyDescent="0.45">
      <c r="B11" s="245"/>
      <c r="C11" s="245"/>
      <c r="D11" s="46">
        <v>0.05</v>
      </c>
      <c r="E11" s="48" t="s">
        <v>490</v>
      </c>
      <c r="F11" s="46" t="str">
        <f>+VLOOKUP($B$1,'Restaurant Base (Hidden)'!$C:$V,17,0)</f>
        <v>86,60 %</v>
      </c>
      <c r="G11" s="37">
        <f>+VLOOKUP($B$1,'Restaurant Base (Hidden)'!$C:$V,18,0)</f>
        <v>3</v>
      </c>
      <c r="H11" s="46">
        <v>0.93</v>
      </c>
      <c r="Z11" t="s">
        <v>1559</v>
      </c>
    </row>
    <row r="12" spans="2:26" s="16" customFormat="1" ht="18.899999999999999" customHeight="1" x14ac:dyDescent="0.5">
      <c r="B12" s="245"/>
      <c r="C12" s="245"/>
      <c r="D12" s="33">
        <v>0.2</v>
      </c>
      <c r="E12" s="32" t="s">
        <v>1560</v>
      </c>
      <c r="F12" s="33" t="str">
        <f>+VLOOKUP($B$1,'Restaurant Base (Hidden)'!$C:$V,19,0)</f>
        <v>88,00 %</v>
      </c>
      <c r="G12" s="34">
        <f>+VLOOKUP($B$1,'Restaurant Base (Hidden)'!$C:$V,20,0)</f>
        <v>3</v>
      </c>
      <c r="H12" s="45">
        <v>0.95</v>
      </c>
      <c r="Z12" t="s">
        <v>1561</v>
      </c>
    </row>
    <row r="13" spans="2:26" x14ac:dyDescent="0.45">
      <c r="Z13" t="s">
        <v>1562</v>
      </c>
    </row>
    <row r="14" spans="2:26" x14ac:dyDescent="0.45">
      <c r="Z14" t="s">
        <v>1563</v>
      </c>
    </row>
    <row r="15" spans="2:26" x14ac:dyDescent="0.45">
      <c r="Z15" t="s">
        <v>1564</v>
      </c>
    </row>
    <row r="16" spans="2:26" x14ac:dyDescent="0.45">
      <c r="Z16" t="s">
        <v>1565</v>
      </c>
    </row>
    <row r="17" spans="26:26" x14ac:dyDescent="0.45">
      <c r="Z17" t="s">
        <v>1566</v>
      </c>
    </row>
    <row r="18" spans="26:26" x14ac:dyDescent="0.45">
      <c r="Z18" t="s">
        <v>1567</v>
      </c>
    </row>
    <row r="19" spans="26:26" x14ac:dyDescent="0.45">
      <c r="Z19" t="s">
        <v>1568</v>
      </c>
    </row>
    <row r="20" spans="26:26" x14ac:dyDescent="0.45">
      <c r="Z20" t="s">
        <v>1569</v>
      </c>
    </row>
    <row r="21" spans="26:26" x14ac:dyDescent="0.45">
      <c r="Z21" t="s">
        <v>1570</v>
      </c>
    </row>
    <row r="22" spans="26:26" x14ac:dyDescent="0.45">
      <c r="Z22" t="s">
        <v>1571</v>
      </c>
    </row>
    <row r="23" spans="26:26" x14ac:dyDescent="0.45">
      <c r="Z23" t="s">
        <v>1572</v>
      </c>
    </row>
    <row r="24" spans="26:26" x14ac:dyDescent="0.45">
      <c r="Z24" t="s">
        <v>1573</v>
      </c>
    </row>
    <row r="25" spans="26:26" x14ac:dyDescent="0.45">
      <c r="Z25" t="s">
        <v>1574</v>
      </c>
    </row>
    <row r="26" spans="26:26" x14ac:dyDescent="0.45">
      <c r="Z26" t="s">
        <v>1575</v>
      </c>
    </row>
    <row r="27" spans="26:26" x14ac:dyDescent="0.45">
      <c r="Z27" t="s">
        <v>1576</v>
      </c>
    </row>
    <row r="28" spans="26:26" x14ac:dyDescent="0.45">
      <c r="Z28" t="s">
        <v>1577</v>
      </c>
    </row>
    <row r="29" spans="26:26" x14ac:dyDescent="0.45">
      <c r="Z29" t="s">
        <v>1578</v>
      </c>
    </row>
    <row r="30" spans="26:26" x14ac:dyDescent="0.45">
      <c r="Z30" t="s">
        <v>1579</v>
      </c>
    </row>
    <row r="31" spans="26:26" x14ac:dyDescent="0.45">
      <c r="Z31" t="s">
        <v>1580</v>
      </c>
    </row>
    <row r="32" spans="26:26" x14ac:dyDescent="0.45">
      <c r="Z32" t="s">
        <v>1581</v>
      </c>
    </row>
    <row r="33" spans="1:26" x14ac:dyDescent="0.45">
      <c r="Z33" t="s">
        <v>1582</v>
      </c>
    </row>
    <row r="34" spans="1:26" x14ac:dyDescent="0.45">
      <c r="Z34" t="s">
        <v>1583</v>
      </c>
    </row>
    <row r="35" spans="1:26" x14ac:dyDescent="0.45">
      <c r="Z35" t="s">
        <v>1584</v>
      </c>
    </row>
    <row r="36" spans="1:26" x14ac:dyDescent="0.45">
      <c r="Z36" t="s">
        <v>1585</v>
      </c>
    </row>
    <row r="37" spans="1:26" x14ac:dyDescent="0.45">
      <c r="Z37" t="s">
        <v>1586</v>
      </c>
    </row>
    <row r="38" spans="1:26" x14ac:dyDescent="0.45">
      <c r="Z38" t="s">
        <v>1587</v>
      </c>
    </row>
    <row r="39" spans="1:26" x14ac:dyDescent="0.45">
      <c r="Z39" t="s">
        <v>1588</v>
      </c>
    </row>
    <row r="40" spans="1:26" x14ac:dyDescent="0.45">
      <c r="Z40" t="s">
        <v>1589</v>
      </c>
    </row>
    <row r="41" spans="1:26" x14ac:dyDescent="0.45">
      <c r="Z41" t="s">
        <v>1590</v>
      </c>
    </row>
    <row r="42" spans="1:26" x14ac:dyDescent="0.45">
      <c r="Z42" t="s">
        <v>1591</v>
      </c>
    </row>
    <row r="43" spans="1:26" x14ac:dyDescent="0.45">
      <c r="Z43" t="s">
        <v>1592</v>
      </c>
    </row>
    <row r="44" spans="1:26" x14ac:dyDescent="0.45">
      <c r="Z44" t="s">
        <v>1593</v>
      </c>
    </row>
    <row r="45" spans="1:26" x14ac:dyDescent="0.45">
      <c r="A45" s="3"/>
      <c r="B45" s="4"/>
      <c r="C45" s="4"/>
      <c r="D45" s="3"/>
      <c r="E45" s="3"/>
      <c r="F45" s="3"/>
      <c r="G45" s="3"/>
      <c r="H45" s="3"/>
      <c r="Z45" t="s">
        <v>1594</v>
      </c>
    </row>
    <row r="46" spans="1:26" x14ac:dyDescent="0.45">
      <c r="A46" s="3"/>
      <c r="B46" s="4"/>
      <c r="C46" s="4"/>
      <c r="D46" s="3"/>
      <c r="E46" s="3"/>
      <c r="F46" s="3"/>
      <c r="G46" s="3"/>
      <c r="H46" s="3"/>
      <c r="Z46" t="s">
        <v>1595</v>
      </c>
    </row>
    <row r="47" spans="1:26" x14ac:dyDescent="0.45">
      <c r="A47" s="3"/>
      <c r="B47" s="4"/>
      <c r="C47" s="4"/>
      <c r="D47" s="3"/>
      <c r="E47" s="3"/>
      <c r="F47" s="3"/>
      <c r="G47" s="3"/>
      <c r="H47" s="3"/>
      <c r="Z47" t="s">
        <v>1596</v>
      </c>
    </row>
    <row r="48" spans="1:26" x14ac:dyDescent="0.45">
      <c r="A48" s="3"/>
      <c r="B48" s="4"/>
      <c r="C48" s="4"/>
      <c r="D48" s="3"/>
      <c r="E48" s="3"/>
      <c r="F48" s="3"/>
      <c r="G48" s="3"/>
      <c r="H48" s="3"/>
      <c r="Z48" t="s">
        <v>1597</v>
      </c>
    </row>
    <row r="49" spans="1:26" x14ac:dyDescent="0.45">
      <c r="A49" s="3"/>
      <c r="B49" s="4"/>
      <c r="C49" s="4"/>
      <c r="D49" s="3"/>
      <c r="E49" s="3"/>
      <c r="F49" s="3"/>
      <c r="G49" s="3"/>
      <c r="H49" s="3"/>
      <c r="Z49" t="s">
        <v>1598</v>
      </c>
    </row>
    <row r="50" spans="1:26" x14ac:dyDescent="0.45">
      <c r="A50" s="3"/>
      <c r="B50" s="4"/>
      <c r="C50" s="4"/>
      <c r="D50" s="3"/>
      <c r="E50" s="3"/>
      <c r="F50" s="3"/>
      <c r="G50" s="3"/>
      <c r="H50" s="3"/>
      <c r="Z50" t="s">
        <v>1599</v>
      </c>
    </row>
    <row r="51" spans="1:26" x14ac:dyDescent="0.45">
      <c r="A51" s="3"/>
      <c r="B51" s="4"/>
      <c r="C51" s="4"/>
      <c r="D51" s="3"/>
      <c r="E51" s="3"/>
      <c r="F51" s="3"/>
      <c r="G51" s="3"/>
      <c r="H51" s="3"/>
      <c r="Z51" t="s">
        <v>1600</v>
      </c>
    </row>
    <row r="52" spans="1:26" x14ac:dyDescent="0.45">
      <c r="A52" s="3"/>
      <c r="B52" s="4"/>
      <c r="C52" s="4"/>
      <c r="D52" s="3"/>
      <c r="E52" s="3"/>
      <c r="F52" s="3"/>
      <c r="G52" s="3"/>
      <c r="H52" s="3"/>
      <c r="Z52" t="s">
        <v>1601</v>
      </c>
    </row>
    <row r="53" spans="1:26" x14ac:dyDescent="0.45">
      <c r="A53" s="3"/>
      <c r="B53" s="4"/>
      <c r="C53" s="4"/>
      <c r="D53" s="3"/>
      <c r="E53" s="3"/>
      <c r="F53" s="3"/>
      <c r="G53" s="3"/>
      <c r="H53" s="3"/>
      <c r="Z53" t="s">
        <v>1602</v>
      </c>
    </row>
    <row r="54" spans="1:26" x14ac:dyDescent="0.45">
      <c r="A54" s="3"/>
      <c r="B54" s="4"/>
      <c r="C54" s="4"/>
      <c r="D54" s="3"/>
      <c r="E54" s="3"/>
      <c r="F54" s="3"/>
      <c r="G54" s="3"/>
      <c r="H54" s="3"/>
      <c r="Z54" t="s">
        <v>1603</v>
      </c>
    </row>
    <row r="55" spans="1:26" x14ac:dyDescent="0.45">
      <c r="A55" s="3"/>
      <c r="B55" s="4"/>
      <c r="C55" s="4"/>
      <c r="D55" s="3"/>
      <c r="E55" s="3"/>
      <c r="F55" s="3"/>
      <c r="G55" s="3"/>
      <c r="H55" s="3"/>
      <c r="Z55" t="s">
        <v>1604</v>
      </c>
    </row>
    <row r="56" spans="1:26" x14ac:dyDescent="0.45">
      <c r="A56" s="3"/>
      <c r="B56" s="4"/>
      <c r="C56" s="4"/>
      <c r="D56" s="3"/>
      <c r="E56" s="3"/>
      <c r="F56" s="3"/>
      <c r="G56" s="3"/>
      <c r="H56" s="3"/>
      <c r="Z56" t="s">
        <v>1605</v>
      </c>
    </row>
    <row r="57" spans="1:26" x14ac:dyDescent="0.45">
      <c r="A57" s="3"/>
      <c r="B57" s="4"/>
      <c r="C57" s="4"/>
      <c r="D57" s="3"/>
      <c r="E57" s="3"/>
      <c r="F57" s="3"/>
      <c r="G57" s="3"/>
      <c r="H57" s="3"/>
      <c r="Z57" t="s">
        <v>1606</v>
      </c>
    </row>
    <row r="58" spans="1:26" x14ac:dyDescent="0.45">
      <c r="A58" s="3"/>
      <c r="B58" s="4"/>
      <c r="C58" s="4"/>
      <c r="D58" s="3"/>
      <c r="E58" s="3"/>
      <c r="F58" s="3"/>
      <c r="G58" s="3"/>
      <c r="H58" s="3"/>
      <c r="Z58" t="s">
        <v>1607</v>
      </c>
    </row>
    <row r="59" spans="1:26" x14ac:dyDescent="0.45">
      <c r="A59" s="3"/>
      <c r="B59" s="4"/>
      <c r="C59" s="4"/>
      <c r="D59" s="3"/>
      <c r="E59" s="3"/>
      <c r="F59" s="3"/>
      <c r="G59" s="3"/>
      <c r="H59" s="3"/>
      <c r="Z59" t="s">
        <v>1608</v>
      </c>
    </row>
    <row r="60" spans="1:26" x14ac:dyDescent="0.45">
      <c r="A60" s="3"/>
      <c r="B60" s="4"/>
      <c r="C60" s="4"/>
      <c r="D60" s="3"/>
      <c r="E60" s="3"/>
      <c r="F60" s="3"/>
      <c r="G60" s="3"/>
      <c r="H60" s="3"/>
      <c r="Z60" t="s">
        <v>1609</v>
      </c>
    </row>
    <row r="61" spans="1:26" x14ac:dyDescent="0.45">
      <c r="A61" s="3"/>
      <c r="B61" s="4"/>
      <c r="C61" s="4"/>
      <c r="D61" s="3"/>
      <c r="E61" s="3"/>
      <c r="F61" s="3"/>
      <c r="G61" s="3"/>
      <c r="H61" s="3"/>
      <c r="Z61" t="s">
        <v>1610</v>
      </c>
    </row>
    <row r="62" spans="1:26" x14ac:dyDescent="0.45">
      <c r="A62" s="3"/>
      <c r="B62" s="4"/>
      <c r="C62" s="4"/>
      <c r="D62" s="3"/>
      <c r="E62" s="3"/>
      <c r="F62" s="3"/>
      <c r="G62" s="3"/>
      <c r="H62" s="3"/>
      <c r="Z62" t="s">
        <v>1611</v>
      </c>
    </row>
    <row r="63" spans="1:26" x14ac:dyDescent="0.45">
      <c r="A63" s="3"/>
      <c r="B63" s="4"/>
      <c r="C63" s="4"/>
      <c r="D63" s="3"/>
      <c r="E63" s="3"/>
      <c r="F63" s="3"/>
      <c r="G63" s="3"/>
      <c r="H63" s="3"/>
      <c r="Z63" t="s">
        <v>1612</v>
      </c>
    </row>
    <row r="64" spans="1:26" x14ac:dyDescent="0.45">
      <c r="A64" s="3"/>
      <c r="B64" s="4"/>
      <c r="C64" s="4"/>
      <c r="D64" s="3"/>
      <c r="E64" s="3"/>
      <c r="F64" s="3"/>
      <c r="G64" s="3"/>
      <c r="H64" s="3"/>
      <c r="Z64" t="s">
        <v>1613</v>
      </c>
    </row>
    <row r="65" spans="1:26" x14ac:dyDescent="0.45">
      <c r="A65" s="3"/>
      <c r="B65" s="4"/>
      <c r="C65" s="4"/>
      <c r="D65" s="3"/>
      <c r="E65" s="3"/>
      <c r="F65" s="3"/>
      <c r="G65" s="3"/>
      <c r="H65" s="3"/>
      <c r="Z65" t="s">
        <v>1614</v>
      </c>
    </row>
    <row r="66" spans="1:26" x14ac:dyDescent="0.45">
      <c r="A66" s="3"/>
      <c r="B66" s="4"/>
      <c r="C66" s="4"/>
      <c r="D66" s="3"/>
      <c r="E66" s="3"/>
      <c r="F66" s="3"/>
      <c r="G66" s="3"/>
      <c r="H66" s="3"/>
      <c r="Z66" t="s">
        <v>1615</v>
      </c>
    </row>
    <row r="67" spans="1:26" x14ac:dyDescent="0.45">
      <c r="A67" s="3"/>
      <c r="B67" s="4"/>
      <c r="C67" s="4"/>
      <c r="D67" s="3"/>
      <c r="E67" s="3"/>
      <c r="F67" s="3"/>
      <c r="G67" s="3"/>
      <c r="H67" s="3"/>
      <c r="Z67" t="s">
        <v>1616</v>
      </c>
    </row>
    <row r="68" spans="1:26" x14ac:dyDescent="0.45">
      <c r="A68" s="3"/>
      <c r="B68" s="4"/>
      <c r="C68" s="4"/>
      <c r="D68" s="3"/>
      <c r="E68" s="3"/>
      <c r="F68" s="3"/>
      <c r="G68" s="3"/>
      <c r="H68" s="3"/>
      <c r="Z68" t="s">
        <v>1617</v>
      </c>
    </row>
    <row r="69" spans="1:26" x14ac:dyDescent="0.45">
      <c r="A69" s="3"/>
      <c r="B69" s="4"/>
      <c r="C69" s="4"/>
      <c r="D69" s="3"/>
      <c r="E69" s="3"/>
      <c r="F69" s="3"/>
      <c r="G69" s="3"/>
      <c r="H69" s="3"/>
      <c r="Z69" t="s">
        <v>1618</v>
      </c>
    </row>
    <row r="70" spans="1:26" x14ac:dyDescent="0.45">
      <c r="A70" s="3"/>
      <c r="B70" s="4"/>
      <c r="C70" s="4"/>
      <c r="D70" s="3"/>
      <c r="E70" s="3"/>
      <c r="F70" s="3"/>
      <c r="G70" s="3"/>
      <c r="H70" s="3"/>
      <c r="Z70" t="s">
        <v>1619</v>
      </c>
    </row>
    <row r="71" spans="1:26" x14ac:dyDescent="0.45">
      <c r="A71" s="3"/>
      <c r="B71" s="4"/>
      <c r="C71" s="4"/>
      <c r="D71" s="3"/>
      <c r="E71" s="3"/>
      <c r="F71" s="3"/>
      <c r="G71" s="3"/>
      <c r="H71" s="3"/>
      <c r="Z71" t="s">
        <v>1620</v>
      </c>
    </row>
    <row r="72" spans="1:26" x14ac:dyDescent="0.45">
      <c r="A72" s="3"/>
      <c r="B72" s="4"/>
      <c r="C72" s="4"/>
      <c r="D72" s="3"/>
      <c r="E72" s="3"/>
      <c r="F72" s="3"/>
      <c r="G72" s="3"/>
      <c r="H72" s="3"/>
      <c r="Z72" t="s">
        <v>1621</v>
      </c>
    </row>
    <row r="73" spans="1:26" x14ac:dyDescent="0.45">
      <c r="A73" s="3"/>
      <c r="B73" s="4"/>
      <c r="C73" s="4"/>
      <c r="D73" s="3"/>
      <c r="E73" s="3"/>
      <c r="F73" s="3"/>
      <c r="G73" s="3"/>
      <c r="H73" s="3"/>
      <c r="Z73" t="s">
        <v>1622</v>
      </c>
    </row>
    <row r="74" spans="1:26" x14ac:dyDescent="0.45">
      <c r="A74" s="3"/>
      <c r="B74" s="4"/>
      <c r="C74" s="4"/>
      <c r="D74" s="3"/>
      <c r="E74" s="3"/>
      <c r="F74" s="3"/>
      <c r="G74" s="3"/>
      <c r="H74" s="3"/>
      <c r="Z74" t="s">
        <v>1623</v>
      </c>
    </row>
    <row r="75" spans="1:26" x14ac:dyDescent="0.45">
      <c r="Z75" t="s">
        <v>1624</v>
      </c>
    </row>
    <row r="76" spans="1:26" x14ac:dyDescent="0.45">
      <c r="Z76" t="s">
        <v>1625</v>
      </c>
    </row>
    <row r="77" spans="1:26" x14ac:dyDescent="0.45">
      <c r="Z77" t="s">
        <v>1626</v>
      </c>
    </row>
    <row r="78" spans="1:26" x14ac:dyDescent="0.45">
      <c r="Z78" t="s">
        <v>1627</v>
      </c>
    </row>
    <row r="79" spans="1:26" x14ac:dyDescent="0.45">
      <c r="Z79" t="s">
        <v>1628</v>
      </c>
    </row>
    <row r="80" spans="1:26" x14ac:dyDescent="0.45">
      <c r="Z80" t="s">
        <v>1629</v>
      </c>
    </row>
    <row r="81" spans="26:26" x14ac:dyDescent="0.45">
      <c r="Z81" t="s">
        <v>1630</v>
      </c>
    </row>
    <row r="82" spans="26:26" x14ac:dyDescent="0.45">
      <c r="Z82" t="s">
        <v>1631</v>
      </c>
    </row>
    <row r="83" spans="26:26" x14ac:dyDescent="0.45">
      <c r="Z83" t="s">
        <v>1632</v>
      </c>
    </row>
    <row r="84" spans="26:26" x14ac:dyDescent="0.45">
      <c r="Z84" t="s">
        <v>1633</v>
      </c>
    </row>
    <row r="85" spans="26:26" x14ac:dyDescent="0.45">
      <c r="Z85" t="s">
        <v>1634</v>
      </c>
    </row>
    <row r="86" spans="26:26" x14ac:dyDescent="0.45">
      <c r="Z86" t="s">
        <v>1635</v>
      </c>
    </row>
    <row r="87" spans="26:26" x14ac:dyDescent="0.45">
      <c r="Z87" t="s">
        <v>1636</v>
      </c>
    </row>
    <row r="88" spans="26:26" x14ac:dyDescent="0.45">
      <c r="Z88" t="s">
        <v>1637</v>
      </c>
    </row>
    <row r="89" spans="26:26" x14ac:dyDescent="0.45">
      <c r="Z89" t="s">
        <v>1638</v>
      </c>
    </row>
    <row r="90" spans="26:26" x14ac:dyDescent="0.45">
      <c r="Z90" t="s">
        <v>1639</v>
      </c>
    </row>
    <row r="91" spans="26:26" x14ac:dyDescent="0.45">
      <c r="Z91" t="s">
        <v>1640</v>
      </c>
    </row>
    <row r="92" spans="26:26" x14ac:dyDescent="0.45">
      <c r="Z92" t="s">
        <v>1641</v>
      </c>
    </row>
    <row r="93" spans="26:26" x14ac:dyDescent="0.45">
      <c r="Z93" t="s">
        <v>1642</v>
      </c>
    </row>
    <row r="94" spans="26:26" x14ac:dyDescent="0.45">
      <c r="Z94" t="s">
        <v>1643</v>
      </c>
    </row>
    <row r="95" spans="26:26" x14ac:dyDescent="0.45">
      <c r="Z95" t="s">
        <v>1644</v>
      </c>
    </row>
    <row r="96" spans="26:26" x14ac:dyDescent="0.45">
      <c r="Z96" t="s">
        <v>1645</v>
      </c>
    </row>
    <row r="97" spans="26:26" x14ac:dyDescent="0.45">
      <c r="Z97" t="s">
        <v>1646</v>
      </c>
    </row>
    <row r="98" spans="26:26" x14ac:dyDescent="0.45">
      <c r="Z98" t="s">
        <v>1647</v>
      </c>
    </row>
    <row r="99" spans="26:26" x14ac:dyDescent="0.45">
      <c r="Z99" t="s">
        <v>1648</v>
      </c>
    </row>
    <row r="100" spans="26:26" x14ac:dyDescent="0.45">
      <c r="Z100" t="s">
        <v>1649</v>
      </c>
    </row>
    <row r="101" spans="26:26" x14ac:dyDescent="0.45">
      <c r="Z101" t="s">
        <v>1650</v>
      </c>
    </row>
    <row r="102" spans="26:26" x14ac:dyDescent="0.45">
      <c r="Z102" t="s">
        <v>1651</v>
      </c>
    </row>
    <row r="103" spans="26:26" x14ac:dyDescent="0.45">
      <c r="Z103" t="s">
        <v>1652</v>
      </c>
    </row>
    <row r="104" spans="26:26" x14ac:dyDescent="0.45">
      <c r="Z104" t="s">
        <v>1653</v>
      </c>
    </row>
    <row r="105" spans="26:26" x14ac:dyDescent="0.45">
      <c r="Z105" t="s">
        <v>1654</v>
      </c>
    </row>
    <row r="106" spans="26:26" x14ac:dyDescent="0.45">
      <c r="Z106" t="s">
        <v>1655</v>
      </c>
    </row>
    <row r="107" spans="26:26" x14ac:dyDescent="0.45">
      <c r="Z107" t="s">
        <v>1656</v>
      </c>
    </row>
    <row r="108" spans="26:26" x14ac:dyDescent="0.45">
      <c r="Z108" t="s">
        <v>1657</v>
      </c>
    </row>
    <row r="109" spans="26:26" x14ac:dyDescent="0.45">
      <c r="Z109" t="s">
        <v>1658</v>
      </c>
    </row>
    <row r="110" spans="26:26" x14ac:dyDescent="0.45">
      <c r="Z110" t="s">
        <v>1659</v>
      </c>
    </row>
    <row r="111" spans="26:26" x14ac:dyDescent="0.45">
      <c r="Z111" t="s">
        <v>1660</v>
      </c>
    </row>
    <row r="112" spans="26:26" x14ac:dyDescent="0.45">
      <c r="Z112" t="s">
        <v>1661</v>
      </c>
    </row>
    <row r="113" spans="26:26" x14ac:dyDescent="0.45">
      <c r="Z113" t="s">
        <v>1662</v>
      </c>
    </row>
    <row r="114" spans="26:26" x14ac:dyDescent="0.45">
      <c r="Z114" t="s">
        <v>1663</v>
      </c>
    </row>
    <row r="115" spans="26:26" x14ac:dyDescent="0.45">
      <c r="Z115" t="s">
        <v>1664</v>
      </c>
    </row>
    <row r="116" spans="26:26" x14ac:dyDescent="0.45">
      <c r="Z116" t="s">
        <v>1665</v>
      </c>
    </row>
    <row r="117" spans="26:26" x14ac:dyDescent="0.45">
      <c r="Z117" t="s">
        <v>1666</v>
      </c>
    </row>
    <row r="118" spans="26:26" x14ac:dyDescent="0.45">
      <c r="Z118" t="s">
        <v>1667</v>
      </c>
    </row>
    <row r="119" spans="26:26" x14ac:dyDescent="0.45">
      <c r="Z119" t="s">
        <v>1668</v>
      </c>
    </row>
    <row r="120" spans="26:26" x14ac:dyDescent="0.45">
      <c r="Z120" t="s">
        <v>1669</v>
      </c>
    </row>
    <row r="121" spans="26:26" x14ac:dyDescent="0.45">
      <c r="Z121" t="s">
        <v>1670</v>
      </c>
    </row>
    <row r="122" spans="26:26" x14ac:dyDescent="0.45">
      <c r="Z122" t="s">
        <v>1671</v>
      </c>
    </row>
    <row r="123" spans="26:26" x14ac:dyDescent="0.45">
      <c r="Z123" t="s">
        <v>1672</v>
      </c>
    </row>
    <row r="124" spans="26:26" x14ac:dyDescent="0.45">
      <c r="Z124" t="s">
        <v>1673</v>
      </c>
    </row>
    <row r="125" spans="26:26" x14ac:dyDescent="0.45">
      <c r="Z125" t="s">
        <v>1674</v>
      </c>
    </row>
    <row r="126" spans="26:26" x14ac:dyDescent="0.45">
      <c r="Z126" t="s">
        <v>1675</v>
      </c>
    </row>
    <row r="127" spans="26:26" x14ac:dyDescent="0.45">
      <c r="Z127" t="s">
        <v>1676</v>
      </c>
    </row>
    <row r="128" spans="26:26" x14ac:dyDescent="0.45">
      <c r="Z128" t="s">
        <v>1677</v>
      </c>
    </row>
    <row r="129" spans="26:26" x14ac:dyDescent="0.45">
      <c r="Z129" t="s">
        <v>1678</v>
      </c>
    </row>
    <row r="130" spans="26:26" x14ac:dyDescent="0.45">
      <c r="Z130" t="s">
        <v>1679</v>
      </c>
    </row>
    <row r="131" spans="26:26" x14ac:dyDescent="0.45">
      <c r="Z131" t="s">
        <v>1680</v>
      </c>
    </row>
    <row r="132" spans="26:26" x14ac:dyDescent="0.45">
      <c r="Z132" t="s">
        <v>1681</v>
      </c>
    </row>
    <row r="133" spans="26:26" x14ac:dyDescent="0.45">
      <c r="Z133" t="s">
        <v>1682</v>
      </c>
    </row>
    <row r="134" spans="26:26" x14ac:dyDescent="0.45">
      <c r="Z134" t="s">
        <v>1683</v>
      </c>
    </row>
    <row r="135" spans="26:26" x14ac:dyDescent="0.45">
      <c r="Z135" t="s">
        <v>1684</v>
      </c>
    </row>
    <row r="136" spans="26:26" x14ac:dyDescent="0.45">
      <c r="Z136" t="s">
        <v>1685</v>
      </c>
    </row>
    <row r="137" spans="26:26" x14ac:dyDescent="0.45">
      <c r="Z137" t="s">
        <v>1686</v>
      </c>
    </row>
    <row r="138" spans="26:26" x14ac:dyDescent="0.45">
      <c r="Z138" t="s">
        <v>1687</v>
      </c>
    </row>
    <row r="139" spans="26:26" x14ac:dyDescent="0.45">
      <c r="Z139" t="s">
        <v>1688</v>
      </c>
    </row>
    <row r="140" spans="26:26" x14ac:dyDescent="0.45">
      <c r="Z140" t="s">
        <v>1689</v>
      </c>
    </row>
    <row r="141" spans="26:26" x14ac:dyDescent="0.45">
      <c r="Z141" t="s">
        <v>1690</v>
      </c>
    </row>
    <row r="142" spans="26:26" x14ac:dyDescent="0.45">
      <c r="Z142" t="s">
        <v>1691</v>
      </c>
    </row>
    <row r="143" spans="26:26" x14ac:dyDescent="0.45">
      <c r="Z143" t="s">
        <v>1692</v>
      </c>
    </row>
    <row r="144" spans="26:26" x14ac:dyDescent="0.45">
      <c r="Z144" t="s">
        <v>1693</v>
      </c>
    </row>
    <row r="145" spans="26:26" x14ac:dyDescent="0.45">
      <c r="Z145" t="s">
        <v>1694</v>
      </c>
    </row>
    <row r="146" spans="26:26" x14ac:dyDescent="0.45">
      <c r="Z146" t="s">
        <v>1695</v>
      </c>
    </row>
    <row r="147" spans="26:26" x14ac:dyDescent="0.45">
      <c r="Z147" t="s">
        <v>1696</v>
      </c>
    </row>
    <row r="148" spans="26:26" x14ac:dyDescent="0.45">
      <c r="Z148" t="s">
        <v>1697</v>
      </c>
    </row>
    <row r="149" spans="26:26" x14ac:dyDescent="0.45">
      <c r="Z149" t="s">
        <v>1698</v>
      </c>
    </row>
    <row r="150" spans="26:26" x14ac:dyDescent="0.45">
      <c r="Z150" t="s">
        <v>1699</v>
      </c>
    </row>
    <row r="151" spans="26:26" x14ac:dyDescent="0.45">
      <c r="Z151" t="s">
        <v>1700</v>
      </c>
    </row>
    <row r="152" spans="26:26" x14ac:dyDescent="0.45">
      <c r="Z152" t="s">
        <v>1701</v>
      </c>
    </row>
    <row r="153" spans="26:26" x14ac:dyDescent="0.45">
      <c r="Z153" t="s">
        <v>1702</v>
      </c>
    </row>
    <row r="154" spans="26:26" x14ac:dyDescent="0.45">
      <c r="Z154" t="s">
        <v>1703</v>
      </c>
    </row>
    <row r="155" spans="26:26" x14ac:dyDescent="0.45">
      <c r="Z155" t="s">
        <v>1704</v>
      </c>
    </row>
    <row r="156" spans="26:26" x14ac:dyDescent="0.45">
      <c r="Z156" t="s">
        <v>1705</v>
      </c>
    </row>
    <row r="157" spans="26:26" x14ac:dyDescent="0.45">
      <c r="Z157" t="s">
        <v>1706</v>
      </c>
    </row>
    <row r="158" spans="26:26" x14ac:dyDescent="0.45">
      <c r="Z158" t="s">
        <v>1707</v>
      </c>
    </row>
    <row r="159" spans="26:26" x14ac:dyDescent="0.45">
      <c r="Z159" t="s">
        <v>1708</v>
      </c>
    </row>
    <row r="160" spans="26:26" x14ac:dyDescent="0.45">
      <c r="Z160" t="s">
        <v>1709</v>
      </c>
    </row>
    <row r="161" spans="26:26" x14ac:dyDescent="0.45">
      <c r="Z161" t="s">
        <v>1710</v>
      </c>
    </row>
    <row r="162" spans="26:26" x14ac:dyDescent="0.45">
      <c r="Z162" t="s">
        <v>1711</v>
      </c>
    </row>
    <row r="163" spans="26:26" x14ac:dyDescent="0.45">
      <c r="Z163" t="s">
        <v>1712</v>
      </c>
    </row>
    <row r="164" spans="26:26" x14ac:dyDescent="0.45">
      <c r="Z164" t="s">
        <v>1713</v>
      </c>
    </row>
    <row r="165" spans="26:26" x14ac:dyDescent="0.45">
      <c r="Z165" t="s">
        <v>1714</v>
      </c>
    </row>
    <row r="166" spans="26:26" x14ac:dyDescent="0.45">
      <c r="Z166" t="s">
        <v>1715</v>
      </c>
    </row>
    <row r="167" spans="26:26" x14ac:dyDescent="0.45">
      <c r="Z167" t="s">
        <v>1716</v>
      </c>
    </row>
    <row r="168" spans="26:26" x14ac:dyDescent="0.45">
      <c r="Z168" t="s">
        <v>1717</v>
      </c>
    </row>
    <row r="169" spans="26:26" x14ac:dyDescent="0.45">
      <c r="Z169" t="s">
        <v>1718</v>
      </c>
    </row>
    <row r="170" spans="26:26" x14ac:dyDescent="0.45">
      <c r="Z170" t="s">
        <v>1719</v>
      </c>
    </row>
    <row r="171" spans="26:26" x14ac:dyDescent="0.45">
      <c r="Z171" t="s">
        <v>1720</v>
      </c>
    </row>
    <row r="172" spans="26:26" x14ac:dyDescent="0.45">
      <c r="Z172" t="s">
        <v>1721</v>
      </c>
    </row>
    <row r="173" spans="26:26" x14ac:dyDescent="0.45">
      <c r="Z173" t="s">
        <v>1722</v>
      </c>
    </row>
    <row r="174" spans="26:26" x14ac:dyDescent="0.45">
      <c r="Z174" t="s">
        <v>1723</v>
      </c>
    </row>
    <row r="175" spans="26:26" x14ac:dyDescent="0.45">
      <c r="Z175" t="s">
        <v>1724</v>
      </c>
    </row>
    <row r="176" spans="26:26" x14ac:dyDescent="0.45">
      <c r="Z176" t="s">
        <v>1725</v>
      </c>
    </row>
    <row r="177" spans="26:26" x14ac:dyDescent="0.45">
      <c r="Z177" t="s">
        <v>1726</v>
      </c>
    </row>
    <row r="178" spans="26:26" x14ac:dyDescent="0.45">
      <c r="Z178" t="s">
        <v>1727</v>
      </c>
    </row>
    <row r="179" spans="26:26" x14ac:dyDescent="0.45">
      <c r="Z179" t="s">
        <v>1728</v>
      </c>
    </row>
    <row r="180" spans="26:26" x14ac:dyDescent="0.45">
      <c r="Z180" t="s">
        <v>1729</v>
      </c>
    </row>
    <row r="181" spans="26:26" x14ac:dyDescent="0.45">
      <c r="Z181" t="s">
        <v>1730</v>
      </c>
    </row>
    <row r="182" spans="26:26" x14ac:dyDescent="0.45">
      <c r="Z182" t="s">
        <v>1731</v>
      </c>
    </row>
    <row r="183" spans="26:26" x14ac:dyDescent="0.45">
      <c r="Z183" t="s">
        <v>1732</v>
      </c>
    </row>
    <row r="184" spans="26:26" x14ac:dyDescent="0.45">
      <c r="Z184" t="s">
        <v>1733</v>
      </c>
    </row>
    <row r="185" spans="26:26" x14ac:dyDescent="0.45">
      <c r="Z185" t="s">
        <v>1734</v>
      </c>
    </row>
    <row r="186" spans="26:26" x14ac:dyDescent="0.45">
      <c r="Z186" t="s">
        <v>1735</v>
      </c>
    </row>
    <row r="187" spans="26:26" x14ac:dyDescent="0.45">
      <c r="Z187" t="s">
        <v>1736</v>
      </c>
    </row>
    <row r="188" spans="26:26" x14ac:dyDescent="0.45">
      <c r="Z188" t="s">
        <v>1737</v>
      </c>
    </row>
    <row r="189" spans="26:26" x14ac:dyDescent="0.45">
      <c r="Z189" t="s">
        <v>1738</v>
      </c>
    </row>
    <row r="190" spans="26:26" x14ac:dyDescent="0.45">
      <c r="Z190" t="s">
        <v>1739</v>
      </c>
    </row>
    <row r="191" spans="26:26" x14ac:dyDescent="0.45">
      <c r="Z191" t="s">
        <v>1740</v>
      </c>
    </row>
    <row r="192" spans="26:26" x14ac:dyDescent="0.45">
      <c r="Z192" t="s">
        <v>1741</v>
      </c>
    </row>
    <row r="193" spans="26:26" x14ac:dyDescent="0.45">
      <c r="Z193" t="s">
        <v>1742</v>
      </c>
    </row>
    <row r="194" spans="26:26" x14ac:dyDescent="0.45">
      <c r="Z194" t="s">
        <v>1743</v>
      </c>
    </row>
    <row r="195" spans="26:26" x14ac:dyDescent="0.45">
      <c r="Z195" t="s">
        <v>1744</v>
      </c>
    </row>
    <row r="196" spans="26:26" x14ac:dyDescent="0.45">
      <c r="Z196" t="s">
        <v>1745</v>
      </c>
    </row>
    <row r="197" spans="26:26" x14ac:dyDescent="0.45">
      <c r="Z197" t="s">
        <v>1746</v>
      </c>
    </row>
    <row r="198" spans="26:26" x14ac:dyDescent="0.45">
      <c r="Z198" t="s">
        <v>1747</v>
      </c>
    </row>
    <row r="199" spans="26:26" x14ac:dyDescent="0.45">
      <c r="Z199" t="s">
        <v>1748</v>
      </c>
    </row>
    <row r="200" spans="26:26" x14ac:dyDescent="0.45">
      <c r="Z200" t="s">
        <v>1749</v>
      </c>
    </row>
    <row r="201" spans="26:26" x14ac:dyDescent="0.45">
      <c r="Z201" t="s">
        <v>1750</v>
      </c>
    </row>
    <row r="202" spans="26:26" x14ac:dyDescent="0.45">
      <c r="Z202" t="s">
        <v>1751</v>
      </c>
    </row>
    <row r="203" spans="26:26" x14ac:dyDescent="0.45">
      <c r="Z203" t="s">
        <v>1752</v>
      </c>
    </row>
    <row r="204" spans="26:26" x14ac:dyDescent="0.45">
      <c r="Z204" t="s">
        <v>1753</v>
      </c>
    </row>
    <row r="205" spans="26:26" x14ac:dyDescent="0.45">
      <c r="Z205" t="s">
        <v>1754</v>
      </c>
    </row>
    <row r="206" spans="26:26" x14ac:dyDescent="0.45">
      <c r="Z206" t="s">
        <v>1755</v>
      </c>
    </row>
    <row r="207" spans="26:26" x14ac:dyDescent="0.45">
      <c r="Z207" t="s">
        <v>1756</v>
      </c>
    </row>
    <row r="208" spans="26:26" x14ac:dyDescent="0.45">
      <c r="Z208" t="s">
        <v>1757</v>
      </c>
    </row>
    <row r="209" spans="26:26" x14ac:dyDescent="0.45">
      <c r="Z209" t="s">
        <v>1758</v>
      </c>
    </row>
    <row r="210" spans="26:26" x14ac:dyDescent="0.45">
      <c r="Z210" t="s">
        <v>1759</v>
      </c>
    </row>
    <row r="211" spans="26:26" x14ac:dyDescent="0.45">
      <c r="Z211" t="s">
        <v>1760</v>
      </c>
    </row>
    <row r="212" spans="26:26" x14ac:dyDescent="0.45">
      <c r="Z212" t="s">
        <v>1761</v>
      </c>
    </row>
    <row r="213" spans="26:26" x14ac:dyDescent="0.45">
      <c r="Z213" t="s">
        <v>1762</v>
      </c>
    </row>
    <row r="214" spans="26:26" x14ac:dyDescent="0.45">
      <c r="Z214" t="s">
        <v>1763</v>
      </c>
    </row>
    <row r="215" spans="26:26" x14ac:dyDescent="0.45">
      <c r="Z215" t="s">
        <v>1764</v>
      </c>
    </row>
    <row r="216" spans="26:26" x14ac:dyDescent="0.45">
      <c r="Z216" t="s">
        <v>1765</v>
      </c>
    </row>
    <row r="217" spans="26:26" x14ac:dyDescent="0.45">
      <c r="Z217" t="s">
        <v>1766</v>
      </c>
    </row>
    <row r="218" spans="26:26" x14ac:dyDescent="0.45">
      <c r="Z218" t="s">
        <v>1767</v>
      </c>
    </row>
    <row r="219" spans="26:26" x14ac:dyDescent="0.45">
      <c r="Z219" t="s">
        <v>1768</v>
      </c>
    </row>
    <row r="220" spans="26:26" x14ac:dyDescent="0.45">
      <c r="Z220" t="s">
        <v>1769</v>
      </c>
    </row>
    <row r="221" spans="26:26" x14ac:dyDescent="0.45">
      <c r="Z221" t="s">
        <v>1770</v>
      </c>
    </row>
    <row r="222" spans="26:26" x14ac:dyDescent="0.45">
      <c r="Z222" t="s">
        <v>1771</v>
      </c>
    </row>
    <row r="223" spans="26:26" x14ac:dyDescent="0.45">
      <c r="Z223" t="s">
        <v>1772</v>
      </c>
    </row>
    <row r="224" spans="26:26" x14ac:dyDescent="0.45">
      <c r="Z224" t="s">
        <v>1773</v>
      </c>
    </row>
    <row r="225" spans="26:26" x14ac:dyDescent="0.45">
      <c r="Z225" t="s">
        <v>1774</v>
      </c>
    </row>
    <row r="226" spans="26:26" x14ac:dyDescent="0.45">
      <c r="Z226" t="s">
        <v>1775</v>
      </c>
    </row>
    <row r="227" spans="26:26" x14ac:dyDescent="0.45">
      <c r="Z227" t="s">
        <v>1776</v>
      </c>
    </row>
    <row r="228" spans="26:26" x14ac:dyDescent="0.45">
      <c r="Z228" t="s">
        <v>1777</v>
      </c>
    </row>
    <row r="229" spans="26:26" x14ac:dyDescent="0.45">
      <c r="Z229" t="s">
        <v>1778</v>
      </c>
    </row>
    <row r="230" spans="26:26" x14ac:dyDescent="0.45">
      <c r="Z230" t="s">
        <v>1779</v>
      </c>
    </row>
    <row r="231" spans="26:26" x14ac:dyDescent="0.45">
      <c r="Z231" t="s">
        <v>1780</v>
      </c>
    </row>
    <row r="232" spans="26:26" x14ac:dyDescent="0.45">
      <c r="Z232" t="s">
        <v>1781</v>
      </c>
    </row>
    <row r="233" spans="26:26" x14ac:dyDescent="0.45">
      <c r="Z233" t="s">
        <v>1782</v>
      </c>
    </row>
    <row r="234" spans="26:26" x14ac:dyDescent="0.45">
      <c r="Z234" t="s">
        <v>1783</v>
      </c>
    </row>
    <row r="235" spans="26:26" x14ac:dyDescent="0.45">
      <c r="Z235" t="s">
        <v>1784</v>
      </c>
    </row>
    <row r="236" spans="26:26" x14ac:dyDescent="0.45">
      <c r="Z236" t="s">
        <v>1785</v>
      </c>
    </row>
    <row r="237" spans="26:26" x14ac:dyDescent="0.45">
      <c r="Z237" t="s">
        <v>1786</v>
      </c>
    </row>
    <row r="238" spans="26:26" x14ac:dyDescent="0.45">
      <c r="Z238" t="s">
        <v>1787</v>
      </c>
    </row>
    <row r="239" spans="26:26" x14ac:dyDescent="0.45">
      <c r="Z239" t="s">
        <v>1788</v>
      </c>
    </row>
    <row r="240" spans="26:26" x14ac:dyDescent="0.45">
      <c r="Z240" t="s">
        <v>1789</v>
      </c>
    </row>
    <row r="241" spans="26:26" x14ac:dyDescent="0.45">
      <c r="Z241" t="s">
        <v>1790</v>
      </c>
    </row>
    <row r="242" spans="26:26" x14ac:dyDescent="0.45">
      <c r="Z242" t="s">
        <v>1791</v>
      </c>
    </row>
    <row r="243" spans="26:26" x14ac:dyDescent="0.45">
      <c r="Z243" t="s">
        <v>1792</v>
      </c>
    </row>
    <row r="244" spans="26:26" x14ac:dyDescent="0.45">
      <c r="Z244" t="s">
        <v>1793</v>
      </c>
    </row>
    <row r="245" spans="26:26" x14ac:dyDescent="0.45">
      <c r="Z245" t="s">
        <v>1794</v>
      </c>
    </row>
    <row r="246" spans="26:26" x14ac:dyDescent="0.45">
      <c r="Z246" t="s">
        <v>1795</v>
      </c>
    </row>
    <row r="247" spans="26:26" x14ac:dyDescent="0.45">
      <c r="Z247" t="s">
        <v>1796</v>
      </c>
    </row>
    <row r="248" spans="26:26" x14ac:dyDescent="0.45">
      <c r="Z248" t="s">
        <v>1797</v>
      </c>
    </row>
    <row r="249" spans="26:26" x14ac:dyDescent="0.45">
      <c r="Z249" t="s">
        <v>1798</v>
      </c>
    </row>
    <row r="250" spans="26:26" x14ac:dyDescent="0.45">
      <c r="Z250" t="s">
        <v>1799</v>
      </c>
    </row>
    <row r="251" spans="26:26" x14ac:dyDescent="0.45">
      <c r="Z251" t="s">
        <v>1800</v>
      </c>
    </row>
    <row r="252" spans="26:26" x14ac:dyDescent="0.45">
      <c r="Z252" t="s">
        <v>1801</v>
      </c>
    </row>
    <row r="253" spans="26:26" x14ac:dyDescent="0.45">
      <c r="Z253" t="s">
        <v>1802</v>
      </c>
    </row>
    <row r="254" spans="26:26" x14ac:dyDescent="0.45">
      <c r="Z254" t="s">
        <v>1803</v>
      </c>
    </row>
    <row r="255" spans="26:26" x14ac:dyDescent="0.45">
      <c r="Z255" t="s">
        <v>1804</v>
      </c>
    </row>
    <row r="256" spans="26:26" x14ac:dyDescent="0.45">
      <c r="Z256" t="s">
        <v>1805</v>
      </c>
    </row>
    <row r="257" spans="26:26" x14ac:dyDescent="0.45">
      <c r="Z257" t="s">
        <v>1806</v>
      </c>
    </row>
    <row r="258" spans="26:26" x14ac:dyDescent="0.45">
      <c r="Z258" t="s">
        <v>1807</v>
      </c>
    </row>
    <row r="259" spans="26:26" x14ac:dyDescent="0.45">
      <c r="Z259" t="s">
        <v>1808</v>
      </c>
    </row>
    <row r="260" spans="26:26" x14ac:dyDescent="0.45">
      <c r="Z260" t="s">
        <v>1809</v>
      </c>
    </row>
    <row r="261" spans="26:26" x14ac:dyDescent="0.45">
      <c r="Z261" t="s">
        <v>1810</v>
      </c>
    </row>
    <row r="262" spans="26:26" x14ac:dyDescent="0.45">
      <c r="Z262" t="s">
        <v>1811</v>
      </c>
    </row>
    <row r="263" spans="26:26" x14ac:dyDescent="0.45">
      <c r="Z263" t="s">
        <v>1812</v>
      </c>
    </row>
    <row r="264" spans="26:26" x14ac:dyDescent="0.45">
      <c r="Z264" t="s">
        <v>1813</v>
      </c>
    </row>
    <row r="265" spans="26:26" x14ac:dyDescent="0.45">
      <c r="Z265" t="s">
        <v>1814</v>
      </c>
    </row>
    <row r="266" spans="26:26" x14ac:dyDescent="0.45">
      <c r="Z266" t="s">
        <v>1815</v>
      </c>
    </row>
    <row r="267" spans="26:26" x14ac:dyDescent="0.45">
      <c r="Z267" t="s">
        <v>1816</v>
      </c>
    </row>
    <row r="268" spans="26:26" x14ac:dyDescent="0.45">
      <c r="Z268" t="s">
        <v>1817</v>
      </c>
    </row>
    <row r="269" spans="26:26" x14ac:dyDescent="0.45">
      <c r="Z269" t="s">
        <v>1818</v>
      </c>
    </row>
    <row r="270" spans="26:26" x14ac:dyDescent="0.45">
      <c r="Z270" t="s">
        <v>1819</v>
      </c>
    </row>
    <row r="271" spans="26:26" x14ac:dyDescent="0.45">
      <c r="Z271" t="s">
        <v>1820</v>
      </c>
    </row>
    <row r="272" spans="26:26" x14ac:dyDescent="0.45">
      <c r="Z272" t="s">
        <v>1821</v>
      </c>
    </row>
    <row r="273" spans="26:26" x14ac:dyDescent="0.45">
      <c r="Z273" t="s">
        <v>1822</v>
      </c>
    </row>
    <row r="274" spans="26:26" x14ac:dyDescent="0.45">
      <c r="Z274" t="s">
        <v>1823</v>
      </c>
    </row>
    <row r="275" spans="26:26" x14ac:dyDescent="0.45">
      <c r="Z275" t="s">
        <v>1824</v>
      </c>
    </row>
    <row r="276" spans="26:26" x14ac:dyDescent="0.45">
      <c r="Z276" t="s">
        <v>1825</v>
      </c>
    </row>
    <row r="277" spans="26:26" x14ac:dyDescent="0.45">
      <c r="Z277" t="s">
        <v>1826</v>
      </c>
    </row>
    <row r="278" spans="26:26" x14ac:dyDescent="0.45">
      <c r="Z278" t="s">
        <v>1827</v>
      </c>
    </row>
    <row r="279" spans="26:26" x14ac:dyDescent="0.45">
      <c r="Z279" t="s">
        <v>1828</v>
      </c>
    </row>
    <row r="280" spans="26:26" x14ac:dyDescent="0.45">
      <c r="Z280" t="s">
        <v>1829</v>
      </c>
    </row>
    <row r="281" spans="26:26" x14ac:dyDescent="0.45">
      <c r="Z281" t="s">
        <v>1830</v>
      </c>
    </row>
    <row r="282" spans="26:26" x14ac:dyDescent="0.45">
      <c r="Z282" t="s">
        <v>1831</v>
      </c>
    </row>
    <row r="283" spans="26:26" x14ac:dyDescent="0.45">
      <c r="Z283" t="s">
        <v>1832</v>
      </c>
    </row>
    <row r="284" spans="26:26" x14ac:dyDescent="0.45">
      <c r="Z284" t="s">
        <v>1833</v>
      </c>
    </row>
    <row r="285" spans="26:26" x14ac:dyDescent="0.45">
      <c r="Z285" t="s">
        <v>1834</v>
      </c>
    </row>
    <row r="286" spans="26:26" x14ac:dyDescent="0.45">
      <c r="Z286" t="s">
        <v>1835</v>
      </c>
    </row>
    <row r="287" spans="26:26" x14ac:dyDescent="0.45">
      <c r="Z287" t="s">
        <v>1836</v>
      </c>
    </row>
    <row r="288" spans="26:26" x14ac:dyDescent="0.45">
      <c r="Z288" t="s">
        <v>1837</v>
      </c>
    </row>
    <row r="289" spans="26:26" x14ac:dyDescent="0.45">
      <c r="Z289" t="s">
        <v>1838</v>
      </c>
    </row>
    <row r="290" spans="26:26" x14ac:dyDescent="0.45">
      <c r="Z290" t="s">
        <v>1839</v>
      </c>
    </row>
    <row r="291" spans="26:26" x14ac:dyDescent="0.45">
      <c r="Z291" t="s">
        <v>1840</v>
      </c>
    </row>
    <row r="292" spans="26:26" x14ac:dyDescent="0.45">
      <c r="Z292" t="s">
        <v>1841</v>
      </c>
    </row>
    <row r="293" spans="26:26" x14ac:dyDescent="0.45">
      <c r="Z293" t="s">
        <v>1842</v>
      </c>
    </row>
    <row r="294" spans="26:26" x14ac:dyDescent="0.45">
      <c r="Z294" t="s">
        <v>1843</v>
      </c>
    </row>
    <row r="295" spans="26:26" x14ac:dyDescent="0.45">
      <c r="Z295" t="s">
        <v>1844</v>
      </c>
    </row>
    <row r="296" spans="26:26" x14ac:dyDescent="0.45">
      <c r="Z296" t="s">
        <v>1845</v>
      </c>
    </row>
    <row r="297" spans="26:26" x14ac:dyDescent="0.45">
      <c r="Z297" t="s">
        <v>1846</v>
      </c>
    </row>
    <row r="298" spans="26:26" x14ac:dyDescent="0.45">
      <c r="Z298" t="s">
        <v>1847</v>
      </c>
    </row>
    <row r="299" spans="26:26" x14ac:dyDescent="0.45">
      <c r="Z299" t="s">
        <v>1848</v>
      </c>
    </row>
    <row r="300" spans="26:26" x14ac:dyDescent="0.45">
      <c r="Z300" t="s">
        <v>1849</v>
      </c>
    </row>
    <row r="301" spans="26:26" x14ac:dyDescent="0.45">
      <c r="Z301" t="s">
        <v>1850</v>
      </c>
    </row>
    <row r="302" spans="26:26" x14ac:dyDescent="0.45">
      <c r="Z302" t="s">
        <v>1851</v>
      </c>
    </row>
    <row r="303" spans="26:26" x14ac:dyDescent="0.45">
      <c r="Z303" t="s">
        <v>1852</v>
      </c>
    </row>
    <row r="304" spans="26:26" x14ac:dyDescent="0.45">
      <c r="Z304" t="s">
        <v>1853</v>
      </c>
    </row>
    <row r="305" spans="26:26" x14ac:dyDescent="0.45">
      <c r="Z305" t="s">
        <v>1854</v>
      </c>
    </row>
    <row r="306" spans="26:26" x14ac:dyDescent="0.45">
      <c r="Z306" t="s">
        <v>1855</v>
      </c>
    </row>
    <row r="307" spans="26:26" x14ac:dyDescent="0.45">
      <c r="Z307" t="s">
        <v>1856</v>
      </c>
    </row>
    <row r="308" spans="26:26" x14ac:dyDescent="0.45">
      <c r="Z308" t="s">
        <v>1857</v>
      </c>
    </row>
    <row r="309" spans="26:26" x14ac:dyDescent="0.45">
      <c r="Z309" t="s">
        <v>1858</v>
      </c>
    </row>
    <row r="310" spans="26:26" x14ac:dyDescent="0.45">
      <c r="Z310" t="s">
        <v>1859</v>
      </c>
    </row>
    <row r="311" spans="26:26" x14ac:dyDescent="0.45">
      <c r="Z311" t="s">
        <v>1860</v>
      </c>
    </row>
    <row r="312" spans="26:26" x14ac:dyDescent="0.45">
      <c r="Z312" t="s">
        <v>1861</v>
      </c>
    </row>
    <row r="313" spans="26:26" x14ac:dyDescent="0.45">
      <c r="Z313" t="s">
        <v>1862</v>
      </c>
    </row>
    <row r="314" spans="26:26" x14ac:dyDescent="0.45">
      <c r="Z314" t="s">
        <v>1863</v>
      </c>
    </row>
    <row r="315" spans="26:26" x14ac:dyDescent="0.45">
      <c r="Z315" t="s">
        <v>1864</v>
      </c>
    </row>
    <row r="316" spans="26:26" x14ac:dyDescent="0.45">
      <c r="Z316" t="s">
        <v>1865</v>
      </c>
    </row>
    <row r="317" spans="26:26" x14ac:dyDescent="0.45">
      <c r="Z317" t="s">
        <v>1866</v>
      </c>
    </row>
    <row r="318" spans="26:26" x14ac:dyDescent="0.45">
      <c r="Z318" t="s">
        <v>1867</v>
      </c>
    </row>
    <row r="319" spans="26:26" x14ac:dyDescent="0.45">
      <c r="Z319" t="s">
        <v>1868</v>
      </c>
    </row>
    <row r="320" spans="26:26" x14ac:dyDescent="0.45">
      <c r="Z320" t="s">
        <v>1869</v>
      </c>
    </row>
    <row r="321" spans="26:26" x14ac:dyDescent="0.45">
      <c r="Z321" t="s">
        <v>1870</v>
      </c>
    </row>
    <row r="322" spans="26:26" x14ac:dyDescent="0.45">
      <c r="Z322" t="s">
        <v>1871</v>
      </c>
    </row>
    <row r="323" spans="26:26" x14ac:dyDescent="0.45">
      <c r="Z323" t="s">
        <v>1872</v>
      </c>
    </row>
    <row r="324" spans="26:26" x14ac:dyDescent="0.45">
      <c r="Z324" t="s">
        <v>1873</v>
      </c>
    </row>
    <row r="325" spans="26:26" x14ac:dyDescent="0.45">
      <c r="Z325" t="s">
        <v>1874</v>
      </c>
    </row>
    <row r="326" spans="26:26" x14ac:dyDescent="0.45">
      <c r="Z326" t="s">
        <v>1875</v>
      </c>
    </row>
    <row r="327" spans="26:26" x14ac:dyDescent="0.45">
      <c r="Z327" t="s">
        <v>1876</v>
      </c>
    </row>
    <row r="328" spans="26:26" x14ac:dyDescent="0.45">
      <c r="Z328" t="s">
        <v>1877</v>
      </c>
    </row>
    <row r="329" spans="26:26" x14ac:dyDescent="0.45">
      <c r="Z329" t="s">
        <v>1878</v>
      </c>
    </row>
    <row r="330" spans="26:26" x14ac:dyDescent="0.45">
      <c r="Z330" t="s">
        <v>1879</v>
      </c>
    </row>
    <row r="331" spans="26:26" x14ac:dyDescent="0.45">
      <c r="Z331" t="s">
        <v>1880</v>
      </c>
    </row>
    <row r="332" spans="26:26" x14ac:dyDescent="0.45">
      <c r="Z332" t="s">
        <v>1881</v>
      </c>
    </row>
    <row r="333" spans="26:26" x14ac:dyDescent="0.45">
      <c r="Z333" t="s">
        <v>1882</v>
      </c>
    </row>
    <row r="334" spans="26:26" x14ac:dyDescent="0.45">
      <c r="Z334" t="s">
        <v>1883</v>
      </c>
    </row>
    <row r="335" spans="26:26" x14ac:dyDescent="0.45">
      <c r="Z335" t="s">
        <v>1884</v>
      </c>
    </row>
    <row r="336" spans="26:26" x14ac:dyDescent="0.45">
      <c r="Z336" t="s">
        <v>1885</v>
      </c>
    </row>
    <row r="337" spans="26:26" x14ac:dyDescent="0.45">
      <c r="Z337" t="s">
        <v>1886</v>
      </c>
    </row>
    <row r="338" spans="26:26" x14ac:dyDescent="0.45">
      <c r="Z338" t="s">
        <v>1887</v>
      </c>
    </row>
    <row r="339" spans="26:26" x14ac:dyDescent="0.45">
      <c r="Z339" t="s">
        <v>1888</v>
      </c>
    </row>
    <row r="340" spans="26:26" x14ac:dyDescent="0.45">
      <c r="Z340" t="s">
        <v>1889</v>
      </c>
    </row>
    <row r="341" spans="26:26" x14ac:dyDescent="0.45">
      <c r="Z341" t="s">
        <v>1890</v>
      </c>
    </row>
    <row r="342" spans="26:26" x14ac:dyDescent="0.45">
      <c r="Z342" t="s">
        <v>1891</v>
      </c>
    </row>
    <row r="343" spans="26:26" x14ac:dyDescent="0.45">
      <c r="Z343" t="s">
        <v>1892</v>
      </c>
    </row>
    <row r="344" spans="26:26" x14ac:dyDescent="0.45">
      <c r="Z344" t="s">
        <v>1893</v>
      </c>
    </row>
    <row r="345" spans="26:26" x14ac:dyDescent="0.45">
      <c r="Z345" t="s">
        <v>1894</v>
      </c>
    </row>
    <row r="346" spans="26:26" x14ac:dyDescent="0.45">
      <c r="Z346" t="s">
        <v>1895</v>
      </c>
    </row>
    <row r="347" spans="26:26" x14ac:dyDescent="0.45">
      <c r="Z347" t="s">
        <v>1896</v>
      </c>
    </row>
    <row r="348" spans="26:26" x14ac:dyDescent="0.45">
      <c r="Z348" t="s">
        <v>1897</v>
      </c>
    </row>
    <row r="349" spans="26:26" x14ac:dyDescent="0.45">
      <c r="Z349" t="s">
        <v>1898</v>
      </c>
    </row>
    <row r="350" spans="26:26" x14ac:dyDescent="0.45">
      <c r="Z350" t="s">
        <v>1899</v>
      </c>
    </row>
    <row r="351" spans="26:26" x14ac:dyDescent="0.45">
      <c r="Z351" t="s">
        <v>1900</v>
      </c>
    </row>
    <row r="352" spans="26:26" x14ac:dyDescent="0.45">
      <c r="Z352" t="s">
        <v>1901</v>
      </c>
    </row>
    <row r="353" spans="26:26" x14ac:dyDescent="0.45">
      <c r="Z353" t="s">
        <v>1902</v>
      </c>
    </row>
    <row r="354" spans="26:26" x14ac:dyDescent="0.45">
      <c r="Z354" t="s">
        <v>1903</v>
      </c>
    </row>
    <row r="355" spans="26:26" x14ac:dyDescent="0.45">
      <c r="Z355" t="s">
        <v>1904</v>
      </c>
    </row>
    <row r="356" spans="26:26" x14ac:dyDescent="0.45">
      <c r="Z356" t="s">
        <v>1905</v>
      </c>
    </row>
    <row r="357" spans="26:26" x14ac:dyDescent="0.45">
      <c r="Z357" t="s">
        <v>1906</v>
      </c>
    </row>
    <row r="358" spans="26:26" x14ac:dyDescent="0.45">
      <c r="Z358" t="s">
        <v>1907</v>
      </c>
    </row>
    <row r="359" spans="26:26" x14ac:dyDescent="0.45">
      <c r="Z359" t="s">
        <v>1908</v>
      </c>
    </row>
    <row r="360" spans="26:26" x14ac:dyDescent="0.45">
      <c r="Z360" t="s">
        <v>1909</v>
      </c>
    </row>
    <row r="361" spans="26:26" x14ac:dyDescent="0.45">
      <c r="Z361" t="s">
        <v>1910</v>
      </c>
    </row>
    <row r="362" spans="26:26" x14ac:dyDescent="0.45">
      <c r="Z362" t="s">
        <v>1911</v>
      </c>
    </row>
    <row r="363" spans="26:26" x14ac:dyDescent="0.45">
      <c r="Z363" t="s">
        <v>1912</v>
      </c>
    </row>
    <row r="364" spans="26:26" x14ac:dyDescent="0.45">
      <c r="Z364" t="s">
        <v>1913</v>
      </c>
    </row>
    <row r="365" spans="26:26" x14ac:dyDescent="0.45">
      <c r="Z365" t="s">
        <v>1914</v>
      </c>
    </row>
    <row r="366" spans="26:26" x14ac:dyDescent="0.45">
      <c r="Z366" t="s">
        <v>1915</v>
      </c>
    </row>
    <row r="367" spans="26:26" x14ac:dyDescent="0.45">
      <c r="Z367" t="s">
        <v>1916</v>
      </c>
    </row>
    <row r="368" spans="26:26" x14ac:dyDescent="0.45">
      <c r="Z368" t="s">
        <v>1917</v>
      </c>
    </row>
    <row r="369" spans="26:26" x14ac:dyDescent="0.45">
      <c r="Z369" t="s">
        <v>1918</v>
      </c>
    </row>
    <row r="370" spans="26:26" x14ac:dyDescent="0.45">
      <c r="Z370" t="s">
        <v>1919</v>
      </c>
    </row>
    <row r="371" spans="26:26" x14ac:dyDescent="0.45">
      <c r="Z371" t="s">
        <v>1920</v>
      </c>
    </row>
    <row r="372" spans="26:26" x14ac:dyDescent="0.45">
      <c r="Z372" t="s">
        <v>1921</v>
      </c>
    </row>
    <row r="373" spans="26:26" x14ac:dyDescent="0.45">
      <c r="Z373" t="s">
        <v>1922</v>
      </c>
    </row>
    <row r="374" spans="26:26" x14ac:dyDescent="0.45">
      <c r="Z374" t="s">
        <v>1923</v>
      </c>
    </row>
    <row r="375" spans="26:26" x14ac:dyDescent="0.45">
      <c r="Z375" t="s">
        <v>1924</v>
      </c>
    </row>
    <row r="376" spans="26:26" x14ac:dyDescent="0.45">
      <c r="Z376" t="s">
        <v>1925</v>
      </c>
    </row>
    <row r="377" spans="26:26" x14ac:dyDescent="0.45">
      <c r="Z377" t="s">
        <v>1926</v>
      </c>
    </row>
    <row r="378" spans="26:26" x14ac:dyDescent="0.45">
      <c r="Z378" t="s">
        <v>1927</v>
      </c>
    </row>
    <row r="379" spans="26:26" x14ac:dyDescent="0.45">
      <c r="Z379" t="s">
        <v>1928</v>
      </c>
    </row>
    <row r="380" spans="26:26" x14ac:dyDescent="0.45">
      <c r="Z380" t="s">
        <v>1929</v>
      </c>
    </row>
    <row r="381" spans="26:26" x14ac:dyDescent="0.45">
      <c r="Z381" t="s">
        <v>1930</v>
      </c>
    </row>
    <row r="382" spans="26:26" x14ac:dyDescent="0.45">
      <c r="Z382" t="s">
        <v>1931</v>
      </c>
    </row>
    <row r="383" spans="26:26" x14ac:dyDescent="0.45">
      <c r="Z383" t="s">
        <v>1932</v>
      </c>
    </row>
    <row r="384" spans="26:26" x14ac:dyDescent="0.45">
      <c r="Z384" t="s">
        <v>1933</v>
      </c>
    </row>
    <row r="385" spans="26:26" x14ac:dyDescent="0.45">
      <c r="Z385" t="s">
        <v>1934</v>
      </c>
    </row>
    <row r="386" spans="26:26" x14ac:dyDescent="0.45">
      <c r="Z386" t="s">
        <v>1935</v>
      </c>
    </row>
    <row r="387" spans="26:26" x14ac:dyDescent="0.45">
      <c r="Z387" t="s">
        <v>1936</v>
      </c>
    </row>
    <row r="388" spans="26:26" x14ac:dyDescent="0.45">
      <c r="Z388" t="s">
        <v>1937</v>
      </c>
    </row>
    <row r="389" spans="26:26" x14ac:dyDescent="0.45">
      <c r="Z389" t="s">
        <v>1938</v>
      </c>
    </row>
    <row r="390" spans="26:26" x14ac:dyDescent="0.45">
      <c r="Z390" t="s">
        <v>1939</v>
      </c>
    </row>
    <row r="391" spans="26:26" x14ac:dyDescent="0.45">
      <c r="Z391" t="s">
        <v>1940</v>
      </c>
    </row>
    <row r="392" spans="26:26" x14ac:dyDescent="0.45">
      <c r="Z392" t="s">
        <v>1941</v>
      </c>
    </row>
    <row r="393" spans="26:26" x14ac:dyDescent="0.45">
      <c r="Z393" t="s">
        <v>1942</v>
      </c>
    </row>
    <row r="394" spans="26:26" x14ac:dyDescent="0.45">
      <c r="Z394" t="s">
        <v>1943</v>
      </c>
    </row>
    <row r="395" spans="26:26" x14ac:dyDescent="0.45">
      <c r="Z395" t="s">
        <v>1944</v>
      </c>
    </row>
    <row r="396" spans="26:26" x14ac:dyDescent="0.45">
      <c r="Z396" t="s">
        <v>1945</v>
      </c>
    </row>
    <row r="397" spans="26:26" x14ac:dyDescent="0.45">
      <c r="Z397" t="s">
        <v>1946</v>
      </c>
    </row>
    <row r="398" spans="26:26" x14ac:dyDescent="0.45">
      <c r="Z398" t="s">
        <v>1947</v>
      </c>
    </row>
    <row r="399" spans="26:26" x14ac:dyDescent="0.45">
      <c r="Z399" t="s">
        <v>1948</v>
      </c>
    </row>
    <row r="400" spans="26:26" x14ac:dyDescent="0.45">
      <c r="Z400" t="s">
        <v>1949</v>
      </c>
    </row>
    <row r="401" spans="26:26" x14ac:dyDescent="0.45">
      <c r="Z401" t="s">
        <v>1950</v>
      </c>
    </row>
    <row r="402" spans="26:26" x14ac:dyDescent="0.45">
      <c r="Z402" t="s">
        <v>1951</v>
      </c>
    </row>
    <row r="403" spans="26:26" x14ac:dyDescent="0.45">
      <c r="Z403" t="s">
        <v>1952</v>
      </c>
    </row>
    <row r="404" spans="26:26" x14ac:dyDescent="0.45">
      <c r="Z404" t="s">
        <v>1951</v>
      </c>
    </row>
    <row r="405" spans="26:26" x14ac:dyDescent="0.45">
      <c r="Z405" t="s">
        <v>1952</v>
      </c>
    </row>
  </sheetData>
  <mergeCells count="9">
    <mergeCell ref="C8:C9"/>
    <mergeCell ref="B10:B12"/>
    <mergeCell ref="B8:B9"/>
    <mergeCell ref="C5:C7"/>
    <mergeCell ref="B1:F1"/>
    <mergeCell ref="C10:C12"/>
    <mergeCell ref="B2:D2"/>
    <mergeCell ref="B5:B7"/>
    <mergeCell ref="C4:D4"/>
  </mergeCells>
  <dataValidations count="2">
    <dataValidation type="list" showInputMessage="1" showErrorMessage="1" sqref="B1:F1" xr:uid="{00000000-0002-0000-0400-000000000000}">
      <formula1>$Z$1:$Z$405</formula1>
    </dataValidation>
    <dataValidation type="list" sqref="B1" xr:uid="{00000000-0002-0000-0400-000001000000}">
      <formula1>Z1:Z403</formula1>
    </dataValidation>
  </dataValidations>
  <pageMargins left="0.7" right="0.7" top="0.75" bottom="0.75" header="0.3" footer="0.3"/>
  <pageSetup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Scoring 2026</vt:lpstr>
      <vt:lpstr>Restaurant Dashboard</vt:lpstr>
      <vt:lpstr>Scorecard</vt:lpstr>
      <vt:lpstr>Restaurant Base (Hidden)</vt:lpstr>
      <vt:lpstr>Previous Scorecard</vt:lpstr>
      <vt:lpstr>'Previous Scorecard'!Print_Area</vt:lpstr>
      <vt:lpstr>Scorecard!Print_Area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Sciaudone, Antonio</dc:creator>
  <cp:lastModifiedBy>Niang, Soukeyna-Kine</cp:lastModifiedBy>
  <cp:lastPrinted>2021-02-12T17:39:48Z</cp:lastPrinted>
  <dcterms:created xsi:type="dcterms:W3CDTF">2021-02-12T10:14:20Z</dcterms:created>
  <dcterms:modified xsi:type="dcterms:W3CDTF">2026-08-16T17:20:36Z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bffa3880-44e8-458b-8d4d-5acc5ed3d728_Enabled">
    <vt:lpwstr>true</vt:lpwstr>
  </property>
  <property fmtid="{D5CDD505-2E9C-101B-9397-08002B2CF9AE}" pid="5" name="MSIP_Label_bffa3880-44e8-458b-8d4d-5acc5ed3d728_SetDate">
    <vt:lpwstr>2024-02-23T16:56:02Z</vt:lpwstr>
  </property>
  <property fmtid="{D5CDD505-2E9C-101B-9397-08002B2CF9AE}" pid="6" name="MSIP_Label_bffa3880-44e8-458b-8d4d-5acc5ed3d728_Method">
    <vt:lpwstr>Standard</vt:lpwstr>
  </property>
  <property fmtid="{D5CDD505-2E9C-101B-9397-08002B2CF9AE}" pid="7" name="MSIP_Label_bffa3880-44e8-458b-8d4d-5acc5ed3d728_Name">
    <vt:lpwstr>bffa3880-44e8-458b-8d4d-5acc5ed3d728</vt:lpwstr>
  </property>
  <property fmtid="{D5CDD505-2E9C-101B-9397-08002B2CF9AE}" pid="8" name="MSIP_Label_bffa3880-44e8-458b-8d4d-5acc5ed3d728_SiteId">
    <vt:lpwstr>2ba9001d-d7f9-43a3-a098-6a927ac715ca</vt:lpwstr>
  </property>
  <property fmtid="{D5CDD505-2E9C-101B-9397-08002B2CF9AE}" pid="9" name="MSIP_Label_bffa3880-44e8-458b-8d4d-5acc5ed3d728_ActionId">
    <vt:lpwstr>4bb09e7c-854d-463b-9c54-948e3c5e37b9</vt:lpwstr>
  </property>
  <property fmtid="{D5CDD505-2E9C-101B-9397-08002B2CF9AE}" pid="10" name="MSIP_Label_bffa3880-44e8-458b-8d4d-5acc5ed3d728_ContentBits">
    <vt:lpwstr>0</vt:lpwstr>
  </property>
</Properties>
</file>